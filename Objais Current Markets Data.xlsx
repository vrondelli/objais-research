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Assessment" sheetId="4" state="visible" r:id="rId4"/>
    <sheet xmlns:r="http://schemas.openxmlformats.org/officeDocument/2006/relationships" name="Competition" sheetId="5" state="visible" r:id="rId5"/>
    <sheet xmlns:r="http://schemas.openxmlformats.org/officeDocument/2006/relationships" name="Economic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Research Gaps" sheetId="8" state="visible" r:id="rId8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73247"/>
      <sz val="10"/>
    </font>
    <font>
      <name val="Arial"/>
      <color rgb="00007D89"/>
      <sz val="10"/>
      <u val="single"/>
    </font>
    <font>
      <name val="Arial"/>
      <color rgb="00005BBB"/>
    </font>
  </fonts>
  <fills count="4">
    <fill>
      <patternFill/>
    </fill>
    <fill>
      <patternFill patternType="gray125"/>
    </fill>
    <fill>
      <patternFill patternType="solid">
        <fgColor rgb="00173247"/>
      </patternFill>
    </fill>
    <fill>
      <patternFill patternType="solid">
        <fgColor rgb="00E5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5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MarketDataTable" displayName="MarketDataTable" ref="A1:L105" headerRowCount="1">
  <autoFilter ref="A1:L105"/>
  <tableColumns count="12">
    <tableColumn id="1" name="metric_id"/>
    <tableColumn id="2" name="segment"/>
    <tableColumn id="3" name="geography"/>
    <tableColumn id="4" name="metric"/>
    <tableColumn id="5" name="value"/>
    <tableColumn id="6" name="unit"/>
    <tableColumn id="7" name="qualifier"/>
    <tableColumn id="8" name="period"/>
    <tableColumn id="9" name="source_id"/>
    <tableColumn id="10" name="note"/>
    <tableColumn id="11" name="source_url"/>
    <tableColumn id="12" name="accessed"/>
  </tableColumns>
  <tableStyleInfo name="TableStyleMedium2" showRowStripes="1"/>
</table>
</file>

<file path=xl/tables/table2.xml><?xml version="1.0" encoding="utf-8"?>
<table xmlns="http://schemas.openxmlformats.org/spreadsheetml/2006/main" id="2" name="ScopeTable" displayName="ScopeTable" ref="A1:F15" headerRowCount="1">
  <autoFilter ref="A1:F15"/>
  <tableColumns count="6">
    <tableColumn id="1" name="Market"/>
    <tableColumn id="2" name="Product"/>
    <tableColumn id="3" name="Status"/>
    <tableColumn id="4" name="Evidence"/>
    <tableColumn id="5" name="Geographic or rollout limit"/>
    <tableColumn id="6" name="Source IDs"/>
  </tableColumns>
  <tableStyleInfo name="TableStyleMedium2" showRowStripes="1"/>
</table>
</file>

<file path=xl/tables/table3.xml><?xml version="1.0" encoding="utf-8"?>
<table xmlns="http://schemas.openxmlformats.org/spreadsheetml/2006/main" id="3" name="AssessmentTable" displayName="AssessmentTable" ref="A1:G9" headerRowCount="1">
  <autoFilter ref="A1:G9"/>
  <tableColumns count="7">
    <tableColumn id="1" name="Segment"/>
    <tableColumn id="2" name="Insurance value hypothesis"/>
    <tableColumn id="3" name="Frequency hypothesis"/>
    <tableColumn id="4" name="Useful continuing tasks"/>
    <tableColumn id="5" name="Distribution hypothesis"/>
    <tableColumn id="6" name="Research priority"/>
    <tableColumn id="7" name="Unresolved issue"/>
  </tableColumns>
  <tableStyleInfo name="TableStyleMedium2" showRowStripes="1"/>
</table>
</file>

<file path=xl/tables/table4.xml><?xml version="1.0" encoding="utf-8"?>
<table xmlns="http://schemas.openxmlformats.org/spreadsheetml/2006/main" id="4" name="CompetitionTable" displayName="CompetitionTable" ref="A1:F11" headerRowCount="1">
  <autoFilter ref="A1:F11"/>
  <tableColumns count="6">
    <tableColumn id="1" name="Company or product"/>
    <tableColumn id="2" name="Category"/>
    <tableColumn id="3" name="Advertised capabilities"/>
    <tableColumn id="4" name="Geography and scope"/>
    <tableColumn id="5" name="Commercial implication"/>
    <tableColumn id="6" name="Source IDs"/>
  </tableColumns>
  <tableStyleInfo name="TableStyleMedium2" showRowStripes="1"/>
</table>
</file>

<file path=xl/tables/table5.xml><?xml version="1.0" encoding="utf-8"?>
<table xmlns="http://schemas.openxmlformats.org/spreadsheetml/2006/main" id="5" name="SourcesTable" displayName="SourcesTable" ref="A1:G47" headerRowCount="1">
  <autoFilter ref="A1:G47"/>
  <tableColumns count="7">
    <tableColumn id="1" name="source_id"/>
    <tableColumn id="2" name="title"/>
    <tableColumn id="3" name="url"/>
    <tableColumn id="4" name="period"/>
    <tableColumn id="5" name="basis"/>
    <tableColumn id="6" name="limitation"/>
    <tableColumn id="7" name="accessed"/>
  </tableColumns>
  <tableStyleInfo name="TableStyleMedium2" showRowStripes="1"/>
</table>
</file>

<file path=xl/tables/table6.xml><?xml version="1.0" encoding="utf-8"?>
<table xmlns="http://schemas.openxmlformats.org/spreadsheetml/2006/main" id="6" name="ResearchGapsTable" displayName="ResearchGapsTable" ref="A1:C9" headerRowCount="1">
  <autoFilter ref="A1:C9"/>
  <tableColumns count="3">
    <tableColumn id="1" name="Gap"/>
    <tableColumn id="2" name="Required evidence"/>
    <tableColumn id="3" name="Why it matt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rtbasel.com/stories/the-art-basel-and-ubs-global-art-market-report-2026" TargetMode="External" Id="rId1"/><Relationship Type="http://schemas.openxmlformats.org/officeDocument/2006/relationships/hyperlink" Target="https://www.artbasel.com/stories/the-art-basel-and-ubs-global-art-market-report-2026" TargetMode="External" Id="rId2"/><Relationship Type="http://schemas.openxmlformats.org/officeDocument/2006/relationships/hyperlink" Target="https://www.artbasel.com/stories/the-art-basel-and-ubs-global-art-market-report-2026" TargetMode="External" Id="rId3"/><Relationship Type="http://schemas.openxmlformats.org/officeDocument/2006/relationships/hyperlink" Target="https://www.artbasel.com/stories/the-art-basel-and-ubs-global-art-market-report-2026" TargetMode="External" Id="rId4"/><Relationship Type="http://schemas.openxmlformats.org/officeDocument/2006/relationships/hyperlink" Target="https://www.artbasel.com/stories/the-art-basel-and-ubs-global-art-market-report-2026" TargetMode="External" Id="rId5"/><Relationship Type="http://schemas.openxmlformats.org/officeDocument/2006/relationships/hyperlink" Target="https://www.artbasel.com/stories/the-art-basel-and-ubs-global-art-market-report-2026" TargetMode="External" Id="rId6"/><Relationship Type="http://schemas.openxmlformats.org/officeDocument/2006/relationships/hyperlink" Target="https://www.artbasel.com/stories/the-art-basel-and-ubs-global-art-market-report-2026" TargetMode="External" Id="rId7"/><Relationship Type="http://schemas.openxmlformats.org/officeDocument/2006/relationships/hyperlink" Target="https://www.artbasel.com/stories/the-art-basel-and-ubs-global-art-market-report-2026" TargetMode="External" Id="rId8"/><Relationship Type="http://schemas.openxmlformats.org/officeDocument/2006/relationships/hyperlink" Target="https://www.artbasel.com/stories/the-art-basel-and-ubs-global-art-market-report-2026" TargetMode="External" Id="rId9"/><Relationship Type="http://schemas.openxmlformats.org/officeDocument/2006/relationships/hyperlink" Target="https://www.artbasel.com/stories/the-art-basel-and-ubs-global-art-market-report-2026" TargetMode="External" Id="rId10"/><Relationship Type="http://schemas.openxmlformats.org/officeDocument/2006/relationships/hyperlink" Target="https://theartmarket.artbasel.com/" TargetMode="External" Id="rId11"/><Relationship Type="http://schemas.openxmlformats.org/officeDocument/2006/relationships/hyperlink" Target="https://theartmarket.artbasel.com/" TargetMode="External" Id="rId12"/><Relationship Type="http://schemas.openxmlformats.org/officeDocument/2006/relationships/hyperlink" Target="https://theartmarket.artbasel.com/research" TargetMode="External" Id="rId13"/><Relationship Type="http://schemas.openxmlformats.org/officeDocument/2006/relationships/hyperlink" Target="https://theartmarket.artbasel.com/research" TargetMode="External" Id="rId14"/><Relationship Type="http://schemas.openxmlformats.org/officeDocument/2006/relationships/hyperlink" Target="https://theartmarket.artbasel.com/research" TargetMode="External" Id="rId15"/><Relationship Type="http://schemas.openxmlformats.org/officeDocument/2006/relationships/hyperlink" Target="https://theartmarket.artbasel.com/research" TargetMode="External" Id="rId16"/><Relationship Type="http://schemas.openxmlformats.org/officeDocument/2006/relationships/hyperlink" Target="https://theartmarket.artbasel.com/ownership" TargetMode="External" Id="rId17"/><Relationship Type="http://schemas.openxmlformats.org/officeDocument/2006/relationships/hyperlink" Target="https://www.ubs.com/global/en/our-firm/art/2025/collecting-in-the-americas.html" TargetMode="External" Id="rId18"/><Relationship Type="http://schemas.openxmlformats.org/officeDocument/2006/relationships/hyperlink" Target="https://www.fhs.swiss/eng/2026_01_29_statistics.html" TargetMode="External" Id="rId19"/><Relationship Type="http://schemas.openxmlformats.org/officeDocument/2006/relationships/hyperlink" Target="https://www.fhs.swiss/eng/2026_01_29_statistics.html" TargetMode="External" Id="rId20"/><Relationship Type="http://schemas.openxmlformats.org/officeDocument/2006/relationships/hyperlink" Target="https://www.fhs.swiss/eng/2026_01_29_statistics.html" TargetMode="External" Id="rId21"/><Relationship Type="http://schemas.openxmlformats.org/officeDocument/2006/relationships/hyperlink" Target="https://www.fhs.swiss/eng/2026_01_29_statistics.html" TargetMode="External" Id="rId22"/><Relationship Type="http://schemas.openxmlformats.org/officeDocument/2006/relationships/hyperlink" Target="https://www.fhs.swiss/eng/2026_01_29_statistics.html" TargetMode="External" Id="rId23"/><Relationship Type="http://schemas.openxmlformats.org/officeDocument/2006/relationships/hyperlink" Target="https://www.fhs.swiss/eng/2026_01_29_statistics.html" TargetMode="External" Id="rId24"/><Relationship Type="http://schemas.openxmlformats.org/officeDocument/2006/relationships/hyperlink" Target="https://www.fhs.swiss/eng/2026_07_21_statistics.html" TargetMode="External" Id="rId25"/><Relationship Type="http://schemas.openxmlformats.org/officeDocument/2006/relationships/hyperlink" Target="https://www.fhs.swiss/eng/2026_07_21_statistics.html" TargetMode="External" Id="rId26"/><Relationship Type="http://schemas.openxmlformats.org/officeDocument/2006/relationships/hyperlink" Target="https://www.fhs.swiss/eng/2026_07_21_statistics.html" TargetMode="External" Id="rId27"/><Relationship Type="http://schemas.openxmlformats.org/officeDocument/2006/relationships/hyperlink" Target="https://www.fhs.swiss/eng/2026_07_21_statistics.html" TargetMode="External" Id="rId28"/><Relationship Type="http://schemas.openxmlformats.org/officeDocument/2006/relationships/hyperlink" Target="https://www.fhs.swiss/eng/2026_07_21_statistics.html" TargetMode="External" Id="rId29"/><Relationship Type="http://schemas.openxmlformats.org/officeDocument/2006/relationships/hyperlink" Target="https://www.fhs.swiss/eng/2026_07_21_statistics.html" TargetMode="External" Id="rId30"/><Relationship Type="http://schemas.openxmlformats.org/officeDocument/2006/relationships/hyperlink" Target="https://www.fhs.swiss/eng/2026_07_21_statistics.html" TargetMode="External" Id="rId31"/><Relationship Type="http://schemas.openxmlformats.org/officeDocument/2006/relationships/hyperlink" Target="https://www.deloitte.com/ch/en/about/press-room/swiss-watch-industry-study-2025.html" TargetMode="External" Id="rId32"/><Relationship Type="http://schemas.openxmlformats.org/officeDocument/2006/relationships/hyperlink" Target="https://www.deloitte.com/ch/en/about/press-room/swiss-watch-industry-study-2025.html" TargetMode="External" Id="rId33"/><Relationship Type="http://schemas.openxmlformats.org/officeDocument/2006/relationships/hyperlink" Target="https://www.deloitte.com/ch/en/about/press-room/swiss-watch-industry-study-2025.html" TargetMode="External" Id="rId34"/><Relationship Type="http://schemas.openxmlformats.org/officeDocument/2006/relationships/hyperlink" Target="https://www.deloitte.com/ch/en/about/press-room/swiss-watch-industry-study-2025.html" TargetMode="External" Id="rId35"/><Relationship Type="http://schemas.openxmlformats.org/officeDocument/2006/relationships/hyperlink" Target="https://about.chrono24.com/en/press/Secondary-Watch-Market-Report-H1-2025" TargetMode="External" Id="rId36"/><Relationship Type="http://schemas.openxmlformats.org/officeDocument/2006/relationships/hyperlink" Target="https://about.chrono24.com/en/press/Secondary-Watch-Market-Report-H1-2025" TargetMode="External" Id="rId37"/><Relationship Type="http://schemas.openxmlformats.org/officeDocument/2006/relationships/hyperlink" Target="https://altagamma.it/media/source/COMUNICATO%20STAMPA_OSSERVATORIO%20ALTAGAMMA%202025.pdf" TargetMode="External" Id="rId38"/><Relationship Type="http://schemas.openxmlformats.org/officeDocument/2006/relationships/hyperlink" Target="https://altagamma.it/media/source/COMUNICATO%20STAMPA_OSSERVATORIO%20ALTAGAMMA%202025.pdf" TargetMode="External" Id="rId39"/><Relationship Type="http://schemas.openxmlformats.org/officeDocument/2006/relationships/hyperlink" Target="https://altagamma.it/media/source/COMUNICATO%20STAMPA_OSSERVATORIO%20ALTAGAMMA%202025.pdf" TargetMode="External" Id="rId40"/><Relationship Type="http://schemas.openxmlformats.org/officeDocument/2006/relationships/hyperlink" Target="https://altagamma.it/media/source/COMUNICATO%20STAMPA_OSSERVATORIO%20ALTAGAMMA%202025.pdf" TargetMode="External" Id="rId41"/><Relationship Type="http://schemas.openxmlformats.org/officeDocument/2006/relationships/hyperlink" Target="https://altagamma.it/media/source/COMUNICATO%20STAMPA_OSSERVATORIO%20ALTAGAMMA%202025.pdf" TargetMode="External" Id="rId42"/><Relationship Type="http://schemas.openxmlformats.org/officeDocument/2006/relationships/hyperlink" Target="https://altagamma.it/media/source/COMUNICATO%20STAMPA_OSSERVATORIO%20ALTAGAMMA%202025.pdf" TargetMode="External" Id="rId43"/><Relationship Type="http://schemas.openxmlformats.org/officeDocument/2006/relationships/hyperlink" Target="https://www.gold.org/goldhub/research/gold-demand-trends/gold-demand-trends-full-year-2025/jewellery" TargetMode="External" Id="rId44"/><Relationship Type="http://schemas.openxmlformats.org/officeDocument/2006/relationships/hyperlink" Target="https://www.gold.org/goldhub/research/gold-demand-trends/gold-demand-trends-full-year-2025/jewellery" TargetMode="External" Id="rId45"/><Relationship Type="http://schemas.openxmlformats.org/officeDocument/2006/relationships/hyperlink" Target="https://www.gold.org/goldhub/research/gold-demand-trends/gold-demand-trends-full-year-2025/jewellery" TargetMode="External" Id="rId46"/><Relationship Type="http://schemas.openxmlformats.org/officeDocument/2006/relationships/hyperlink" Target="https://www.gold.org/goldhub/research/gold-demand-trends/gold-demand-trends-full-year-2025/jewellery" TargetMode="External" Id="rId47"/><Relationship Type="http://schemas.openxmlformats.org/officeDocument/2006/relationships/hyperlink" Target="https://www.gold.org/goldhub/research/gold-demand-trends/gold-demand-trends-q2-2026/jewellery" TargetMode="External" Id="rId48"/><Relationship Type="http://schemas.openxmlformats.org/officeDocument/2006/relationships/hyperlink" Target="https://www.gold.org/goldhub/research/gold-demand-trends/gold-demand-trends-q2-2026/jewellery" TargetMode="External" Id="rId49"/><Relationship Type="http://schemas.openxmlformats.org/officeDocument/2006/relationships/hyperlink" Target="https://www.gold.org/goldhub/research/gold-demand-trends/gold-demand-trends-q2-2026/jewellery" TargetMode="External" Id="rId50"/><Relationship Type="http://schemas.openxmlformats.org/officeDocument/2006/relationships/hyperlink" Target="https://www.gold.org/goldhub/research/gold-demand-trends/gold-demand-trends-q2-2026/jewellery" TargetMode="External" Id="rId51"/><Relationship Type="http://schemas.openxmlformats.org/officeDocument/2006/relationships/hyperlink" Target="https://www.richemont.com/news-media/press-releases-news/richemont-delivers-strong-sales-growth-and-solid-results-for-the-year-ended-31-march-2026/" TargetMode="External" Id="rId52"/><Relationship Type="http://schemas.openxmlformats.org/officeDocument/2006/relationships/hyperlink" Target="https://www.richemont.com/news-media/press-releases-news/richemont-delivers-strong-sales-growth-and-solid-results-for-the-year-ended-31-march-2026/" TargetMode="External" Id="rId53"/><Relationship Type="http://schemas.openxmlformats.org/officeDocument/2006/relationships/hyperlink" Target="https://www.richemont.com/news-media/press-releases-news/richemont-delivers-strong-sales-growth-and-solid-results-for-the-year-ended-31-march-2026/" TargetMode="External" Id="rId54"/><Relationship Type="http://schemas.openxmlformats.org/officeDocument/2006/relationships/hyperlink" Target="https://www.richemont.com/news-media/press-releases-news/richemont-delivers-strong-sales-growth-and-solid-results-for-the-year-ended-31-march-2026/" TargetMode="External" Id="rId55"/><Relationship Type="http://schemas.openxmlformats.org/officeDocument/2006/relationships/hyperlink" Target="https://assets-finance.hermes.com/s3fs-public/node/pdf_file/2026-02/1770842738/hermes_20260212_pr_2025fullyearresults_va.pdf?VersionId=b_gXeCpcnuB3ftYcPgTb8IVxf8wfnw0k" TargetMode="External" Id="rId56"/><Relationship Type="http://schemas.openxmlformats.org/officeDocument/2006/relationships/hyperlink" Target="https://assets-finance.hermes.com/s3fs-public/node/pdf_file/2026-02/1770842738/hermes_20260212_pr_2025fullyearresults_va.pdf?VersionId=b_gXeCpcnuB3ftYcPgTb8IVxf8wfnw0k" TargetMode="External" Id="rId57"/><Relationship Type="http://schemas.openxmlformats.org/officeDocument/2006/relationships/hyperlink" Target="https://assets-finance.hermes.com/s3fs-public/node/pdf_file/2026-02/1770842738/hermes_20260212_pr_2025fullyearresults_va.pdf?VersionId=b_gXeCpcnuB3ftYcPgTb8IVxf8wfnw0k" TargetMode="External" Id="rId58"/><Relationship Type="http://schemas.openxmlformats.org/officeDocument/2006/relationships/hyperlink" Target="https://assets-finance.hermes.com/s3fs-public/node/pdf_file/2026-02/1770842738/hermes_20260212_pr_2025fullyearresults_va.pdf?VersionId=b_gXeCpcnuB3ftYcPgTb8IVxf8wfnw0k" TargetMode="External" Id="rId59"/><Relationship Type="http://schemas.openxmlformats.org/officeDocument/2006/relationships/hyperlink" Target="https://cdn.ferrari.com/cms/network/media/pdf/2026_02_10%20-%20Ferrari%20FY%202025%20Results%20Press%20Release.pdf" TargetMode="External" Id="rId60"/><Relationship Type="http://schemas.openxmlformats.org/officeDocument/2006/relationships/hyperlink" Target="https://europeanboatingindustry.eu/about-us/about-ebi" TargetMode="External" Id="rId61"/><Relationship Type="http://schemas.openxmlformats.org/officeDocument/2006/relationships/hyperlink" Target="https://europeanboatingindustry.eu/about-us/about-ebi" TargetMode="External" Id="rId62"/><Relationship Type="http://schemas.openxmlformats.org/officeDocument/2006/relationships/hyperlink" Target="https://europeanboatingindustry.eu/about-us/about-ebi" TargetMode="External" Id="rId63"/><Relationship Type="http://schemas.openxmlformats.org/officeDocument/2006/relationships/hyperlink" Target="https://www.nmma.org/press/article/25432" TargetMode="External" Id="rId64"/><Relationship Type="http://schemas.openxmlformats.org/officeDocument/2006/relationships/hyperlink" Target="https://www.nmma.org/press/article/25432" TargetMode="External" Id="rId65"/><Relationship Type="http://schemas.openxmlformats.org/officeDocument/2006/relationships/hyperlink" Target="https://www.sanlorenzoyacht.com/en/investors" TargetMode="External" Id="rId66"/><Relationship Type="http://schemas.openxmlformats.org/officeDocument/2006/relationships/hyperlink" Target="https://www.acea.auto/publication/economic-and-market-report-global-and-eu-auto-industry-full-year-2025/" TargetMode="External" Id="rId67"/><Relationship Type="http://schemas.openxmlformats.org/officeDocument/2006/relationships/hyperlink" Target="https://www.acea.auto/publication/economic-and-market-report-global-and-eu-auto-industry-full-year-2025/" TargetMode="External" Id="rId68"/><Relationship Type="http://schemas.openxmlformats.org/officeDocument/2006/relationships/hyperlink" Target="https://www.acea.auto/publication/economic-and-market-report-global-and-eu-auto-industry-full-year-2025/" TargetMode="External" Id="rId69"/><Relationship Type="http://schemas.openxmlformats.org/officeDocument/2006/relationships/hyperlink" Target="https://www.gov.br/susep/pt-br/central-de-conteudos/noticias/2026/agosto/setor-supervisionado-pela-susep-registra-r-207-12-bilhoes-em-receitas-no-primeiro-semestre" TargetMode="External" Id="rId70"/><Relationship Type="http://schemas.openxmlformats.org/officeDocument/2006/relationships/hyperlink" Target="https://www.gov.br/susep/pt-br/central-de-conteudos/noticias/2026/agosto/setor-supervisionado-pela-susep-registra-r-207-12-bilhoes-em-receitas-no-primeiro-semestre" TargetMode="External" Id="rId71"/><Relationship Type="http://schemas.openxmlformats.org/officeDocument/2006/relationships/hyperlink" Target="https://www.gov.br/susep/pt-br/central-de-conteudos/noticias/2026/agosto/setor-supervisionado-pela-susep-registra-r-207-12-bilhoes-em-receitas-no-primeiro-semestre" TargetMode="External" Id="rId72"/><Relationship Type="http://schemas.openxmlformats.org/officeDocument/2006/relationships/hyperlink" Target="https://www.gov.br/susep/pt-br/central-de-conteudos/noticias/2026/fevereiro/em-ano-de-avancos-em-inclusao-e-modernizacao-regulatoria-setor-de-seguros-arrecada-r-415-bilhoes" TargetMode="External" Id="rId73"/><Relationship Type="http://schemas.openxmlformats.org/officeDocument/2006/relationships/hyperlink" Target="https://www.gov.br/susep/pt-br/central-de-conteudos/noticias/2026/fevereiro/em-ano-de-avancos-em-inclusao-e-modernizacao-regulatoria-setor-de-seguros-arrecada-r-415-bilhoes" TargetMode="External" Id="rId74"/><Relationship Type="http://schemas.openxmlformats.org/officeDocument/2006/relationships/hyperlink" Target="https://www.consumidor.asf.com.pt/web/site-asf/publica%C3%A7%C3%B5es/publica%C3%A7%C3%B5es/relat%C3%B3rio-da-evolu%C3%A7%C3%A3o-da-atividade-seguradora" TargetMode="External" Id="rId75"/><Relationship Type="http://schemas.openxmlformats.org/officeDocument/2006/relationships/hyperlink" Target="https://www.consumidor.asf.com.pt/web/site-asf/publica%C3%A7%C3%B5es/publica%C3%A7%C3%B5es/relat%C3%B3rio-da-evolu%C3%A7%C3%A3o-da-atividade-seguradora" TargetMode="External" Id="rId76"/><Relationship Type="http://schemas.openxmlformats.org/officeDocument/2006/relationships/hyperlink" Target="https://www.consumidor.asf.com.pt/web/site-asf/publica%C3%A7%C3%B5es/publica%C3%A7%C3%B5es/relat%C3%B3rio-da-evolu%C3%A7%C3%A3o-da-atividade-seguradora" TargetMode="External" Id="rId77"/><Relationship Type="http://schemas.openxmlformats.org/officeDocument/2006/relationships/hyperlink" Target="https://www.consumidor.asf.com.pt/web/site-asf/publica%C3%A7%C3%B5es/publica%C3%A7%C3%B5es/relat%C3%B3rio-da-evolu%C3%A7%C3%A3o-da-atividade-seguradora" TargetMode="External" Id="rId78"/><Relationship Type="http://schemas.openxmlformats.org/officeDocument/2006/relationships/hyperlink" Target="https://www.consumidor.asf.com.pt/web/site-asf/publica%C3%A7%C3%B5es/publica%C3%A7%C3%B5es/relat%C3%B3rio-da-evolu%C3%A7%C3%A3o-da-atividade-seguradora" TargetMode="External" Id="rId79"/><Relationship Type="http://schemas.openxmlformats.org/officeDocument/2006/relationships/hyperlink" Target="https://www.apseguradores.pt/pt/not%C3%ADcias-e-eventos/not%C3%ADcias/2026/articleid/854/seguro-autom%C3%B3vel-mant%C3%A9m-trajet%C3%B3ria-de-crescimento-em-2025" TargetMode="External" Id="rId80"/><Relationship Type="http://schemas.openxmlformats.org/officeDocument/2006/relationships/hyperlink" Target="https://www.apseguradores.pt/pt/not%C3%ADcias-e-eventos/not%C3%ADcias/2026/articleid/854/seguro-autom%C3%B3vel-mant%C3%A9m-trajet%C3%B3ria-de-crescimento-em-2025" TargetMode="External" Id="rId81"/><Relationship Type="http://schemas.openxmlformats.org/officeDocument/2006/relationships/hyperlink" Target="https://www.apseguradores.pt/pt/not%C3%ADcias-e-eventos/not%C3%ADcias/2026/articleid/854/seguro-autom%C3%B3vel-mant%C3%A9m-trajet%C3%B3ria-de-crescimento-em-2025" TargetMode="External" Id="rId82"/><Relationship Type="http://schemas.openxmlformats.org/officeDocument/2006/relationships/hyperlink" Target="https://www.apseguradores.pt/pt/not%C3%ADcias-e-eventos/not%C3%ADcias/2026/articleid/854/seguro-autom%C3%B3vel-mant%C3%A9m-trajet%C3%B3ria-de-crescimento-em-2025" TargetMode="External" Id="rId83"/><Relationship Type="http://schemas.openxmlformats.org/officeDocument/2006/relationships/hyperlink" Target="https://www.apseguradores.pt/pt/not%C3%ADcias-e-eventos/not%C3%ADcias/2026/articleid/854/seguro-autom%C3%B3vel-mant%C3%A9m-trajet%C3%B3ria-de-crescimento-em-2025" TargetMode="External" Id="rId84"/><Relationship Type="http://schemas.openxmlformats.org/officeDocument/2006/relationships/hyperlink" Target="https://www.apseguradores.pt/pt/not%C3%ADcias-e-eventos/not%C3%ADcias/2026/articleid/854/seguro-autom%C3%B3vel-mant%C3%A9m-trajet%C3%B3ria-de-crescimento-em-2025" TargetMode="External" Id="rId85"/><Relationship Type="http://schemas.openxmlformats.org/officeDocument/2006/relationships/hyperlink" Target="https://www.apseguradores.pt/pt/not%C3%ADcias-e-eventos/not%C3%ADcias/2026/articleid/863/seguro-autom%C3%B3vel-indicadores-do-1%C2%BA-semestre-2026" TargetMode="External" Id="rId86"/><Relationship Type="http://schemas.openxmlformats.org/officeDocument/2006/relationships/hyperlink" Target="https://www.apseguradores.pt/pt/not%C3%ADcias-e-eventos/not%C3%ADcias/2026/articleid/863/seguro-autom%C3%B3vel-indicadores-do-1%C2%BA-semestre-2026" TargetMode="External" Id="rId87"/><Relationship Type="http://schemas.openxmlformats.org/officeDocument/2006/relationships/hyperlink" Target="https://www.apseguradores.pt/pt/not%C3%ADcias-e-eventos/not%C3%ADcias/2026/articleid/863/seguro-autom%C3%B3vel-indicadores-do-1%C2%BA-semestre-2026" TargetMode="External" Id="rId88"/><Relationship Type="http://schemas.openxmlformats.org/officeDocument/2006/relationships/hyperlink" Target="https://europeanpetfood.org/about/statistics/" TargetMode="External" Id="rId89"/><Relationship Type="http://schemas.openxmlformats.org/officeDocument/2006/relationships/hyperlink" Target="https://europeanpetfood.org/about/statistics/" TargetMode="External" Id="rId90"/><Relationship Type="http://schemas.openxmlformats.org/officeDocument/2006/relationships/hyperlink" Target="https://europeanpetfood.org/about/statistics/" TargetMode="External" Id="rId91"/><Relationship Type="http://schemas.openxmlformats.org/officeDocument/2006/relationships/hyperlink" Target="https://europeanpetfood.org/about/statistics/" TargetMode="External" Id="rId92"/><Relationship Type="http://schemas.openxmlformats.org/officeDocument/2006/relationships/hyperlink" Target="https://naphia.org/industry-data/" TargetMode="External" Id="rId93"/><Relationship Type="http://schemas.openxmlformats.org/officeDocument/2006/relationships/hyperlink" Target="https://naphia.org/industry-data/" TargetMode="External" Id="rId94"/><Relationship Type="http://schemas.openxmlformats.org/officeDocument/2006/relationships/hyperlink" Target="https://www.abi.org.uk/media-hub/news-post/insurance-payouts-for-pawly-pets-top-1-billion-for-third-year-in-a-row" TargetMode="External" Id="rId95"/><Relationship Type="http://schemas.openxmlformats.org/officeDocument/2006/relationships/hyperlink" Target="https://www.abi.org.uk/media-hub/news-post/insurance-payouts-for-pawly-pets-top-1-billion-for-third-year-in-a-row" TargetMode="External" Id="rId96"/><Relationship Type="http://schemas.openxmlformats.org/officeDocument/2006/relationships/hyperlink" Target="https://www.abi.org.uk/media-hub/news-post/insurance-payouts-for-pawly-pets-top-1-billion-for-third-year-in-a-row" TargetMode="External" Id="rId97"/><Relationship Type="http://schemas.openxmlformats.org/officeDocument/2006/relationships/hyperlink" Target="https://www.abi.org.uk/media-hub/news-post/insurance-payouts-for-pawly-pets-top-1-billion-for-third-year-in-a-row" TargetMode="External" Id="rId98"/><Relationship Type="http://schemas.openxmlformats.org/officeDocument/2006/relationships/hyperlink" Target="https://www.abi.org.uk/media-hub/news-post/insurance-payouts-for-pawly-pets-top-1-billion-for-third-year-in-a-row" TargetMode="External" Id="rId99"/><Relationship Type="http://schemas.openxmlformats.org/officeDocument/2006/relationships/hyperlink" Target="https://abinpet.org.br/informacoes-gerais-do-setor/" TargetMode="External" Id="rId100"/><Relationship Type="http://schemas.openxmlformats.org/officeDocument/2006/relationships/hyperlink" Target="https://abinpet.org.br/informacoes-gerais-do-setor/" TargetMode="External" Id="rId101"/><Relationship Type="http://schemas.openxmlformats.org/officeDocument/2006/relationships/hyperlink" Target="https://abempet.org.br/2025/10/no-digital-o-varejo-especializado-mantem-a-lideranca/" TargetMode="External" Id="rId102"/><Relationship Type="http://schemas.openxmlformats.org/officeDocument/2006/relationships/hyperlink" Target="https://www.jewelersmutual.com/jewelry-insurance-explained/cost" TargetMode="External" Id="rId103"/><Relationship Type="http://schemas.openxmlformats.org/officeDocument/2006/relationships/hyperlink" Target="https://www.jewelersmutual.com/jewelry-insurance-explained/cost" TargetMode="External" Id="rId104"/><Relationship Type="http://schemas.openxmlformats.org/officeDocument/2006/relationships/table" Target="/xl/tables/table1.xml" Id="rId105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objais.com/en" TargetMode="External" Id="rId1"/><Relationship Type="http://schemas.openxmlformats.org/officeDocument/2006/relationships/hyperlink" Target="https://objais.com/en/insurance" TargetMode="External" Id="rId2"/><Relationship Type="http://schemas.openxmlformats.org/officeDocument/2006/relationships/hyperlink" Target="https://objais.com/en/select" TargetMode="External" Id="rId3"/><Relationship Type="http://schemas.openxmlformats.org/officeDocument/2006/relationships/hyperlink" Target="https://objais.com/en/family" TargetMode="External" Id="rId4"/><Relationship Type="http://schemas.openxmlformats.org/officeDocument/2006/relationships/hyperlink" Target="https://objais.com/en/business" TargetMode="External" Id="rId5"/><Relationship Type="http://schemas.openxmlformats.org/officeDocument/2006/relationships/hyperlink" Target="https://objais.com/en/faq" TargetMode="External" Id="rId6"/><Relationship Type="http://schemas.openxmlformats.org/officeDocument/2006/relationships/hyperlink" Target="https://www.artbasel.com/stories/the-art-basel-and-ubs-global-art-market-report-2026" TargetMode="External" Id="rId7"/><Relationship Type="http://schemas.openxmlformats.org/officeDocument/2006/relationships/hyperlink" Target="https://theartmarket.artbasel.com/" TargetMode="External" Id="rId8"/><Relationship Type="http://schemas.openxmlformats.org/officeDocument/2006/relationships/hyperlink" Target="https://theartmarket.artbasel.com/research" TargetMode="External" Id="rId9"/><Relationship Type="http://schemas.openxmlformats.org/officeDocument/2006/relationships/hyperlink" Target="https://theartmarket.artbasel.com/ownership" TargetMode="External" Id="rId10"/><Relationship Type="http://schemas.openxmlformats.org/officeDocument/2006/relationships/hyperlink" Target="https://www.ubs.com/global/en/our-firm/art/2025/collecting-in-the-americas.html" TargetMode="External" Id="rId11"/><Relationship Type="http://schemas.openxmlformats.org/officeDocument/2006/relationships/hyperlink" Target="https://www.fhs.swiss/eng/2026_01_29_statistics.html" TargetMode="External" Id="rId12"/><Relationship Type="http://schemas.openxmlformats.org/officeDocument/2006/relationships/hyperlink" Target="https://www.fhs.swiss/eng/2026_07_21_statistics.html" TargetMode="External" Id="rId13"/><Relationship Type="http://schemas.openxmlformats.org/officeDocument/2006/relationships/hyperlink" Target="https://www.deloitte.com/ch/en/about/press-room/swiss-watch-industry-study-2025.html" TargetMode="External" Id="rId14"/><Relationship Type="http://schemas.openxmlformats.org/officeDocument/2006/relationships/hyperlink" Target="https://about.chrono24.com/en/press/Secondary-Watch-Market-Report-H1-2025" TargetMode="External" Id="rId15"/><Relationship Type="http://schemas.openxmlformats.org/officeDocument/2006/relationships/hyperlink" Target="https://altagamma.it/media/source/COMUNICATO%20STAMPA_OSSERVATORIO%20ALTAGAMMA%202025.pdf" TargetMode="External" Id="rId16"/><Relationship Type="http://schemas.openxmlformats.org/officeDocument/2006/relationships/hyperlink" Target="https://www.gold.org/goldhub/research/gold-demand-trends/gold-demand-trends-full-year-2025/jewellery" TargetMode="External" Id="rId17"/><Relationship Type="http://schemas.openxmlformats.org/officeDocument/2006/relationships/hyperlink" Target="https://www.gold.org/goldhub/research/gold-demand-trends/gold-demand-trends-q2-2026/jewellery" TargetMode="External" Id="rId18"/><Relationship Type="http://schemas.openxmlformats.org/officeDocument/2006/relationships/hyperlink" Target="https://www.richemont.com/news-media/press-releases-news/richemont-delivers-strong-sales-growth-and-solid-results-for-the-year-ended-31-march-2026/" TargetMode="External" Id="rId19"/><Relationship Type="http://schemas.openxmlformats.org/officeDocument/2006/relationships/hyperlink" Target="https://assets-finance.hermes.com/s3fs-public/node/pdf_file/2026-02/1770842738/hermes_20260212_pr_2025fullyearresults_va.pdf?VersionId=b_gXeCpcnuB3ftYcPgTb8IVxf8wfnw0k" TargetMode="External" Id="rId20"/><Relationship Type="http://schemas.openxmlformats.org/officeDocument/2006/relationships/hyperlink" Target="https://cdn.ferrari.com/cms/network/media/pdf/2026_02_10%20-%20Ferrari%20FY%202025%20Results%20Press%20Release.pdf" TargetMode="External" Id="rId21"/><Relationship Type="http://schemas.openxmlformats.org/officeDocument/2006/relationships/hyperlink" Target="https://europeanboatingindustry.eu/about-us/about-ebi" TargetMode="External" Id="rId22"/><Relationship Type="http://schemas.openxmlformats.org/officeDocument/2006/relationships/hyperlink" Target="https://www.nmma.org/press/article/25432" TargetMode="External" Id="rId23"/><Relationship Type="http://schemas.openxmlformats.org/officeDocument/2006/relationships/hyperlink" Target="https://www.sanlorenzoyacht.com/en/investors" TargetMode="External" Id="rId24"/><Relationship Type="http://schemas.openxmlformats.org/officeDocument/2006/relationships/hyperlink" Target="https://www.acea.auto/publication/economic-and-market-report-global-and-eu-auto-industry-full-year-2025/" TargetMode="External" Id="rId25"/><Relationship Type="http://schemas.openxmlformats.org/officeDocument/2006/relationships/hyperlink" Target="https://www.gov.br/susep/pt-br/central-de-conteudos/noticias/2026/agosto/setor-supervisionado-pela-susep-registra-r-207-12-bilhoes-em-receitas-no-primeiro-semestre" TargetMode="External" Id="rId26"/><Relationship Type="http://schemas.openxmlformats.org/officeDocument/2006/relationships/hyperlink" Target="https://www.gov.br/susep/pt-br/central-de-conteudos/noticias/2026/fevereiro/em-ano-de-avancos-em-inclusao-e-modernizacao-regulatoria-setor-de-seguros-arrecada-r-415-bilhoes" TargetMode="External" Id="rId27"/><Relationship Type="http://schemas.openxmlformats.org/officeDocument/2006/relationships/hyperlink" Target="https://www.consumidor.asf.com.pt/web/site-asf/publica%C3%A7%C3%B5es/publica%C3%A7%C3%B5es/relat%C3%B3rio-da-evolu%C3%A7%C3%A3o-da-atividade-seguradora" TargetMode="External" Id="rId28"/><Relationship Type="http://schemas.openxmlformats.org/officeDocument/2006/relationships/hyperlink" Target="https://www.apseguradores.pt/pt/not%C3%ADcias-e-eventos/not%C3%ADcias/2026/articleid/854/seguro-autom%C3%B3vel-mant%C3%A9m-trajet%C3%B3ria-de-crescimento-em-2025" TargetMode="External" Id="rId29"/><Relationship Type="http://schemas.openxmlformats.org/officeDocument/2006/relationships/hyperlink" Target="https://www.apseguradores.pt/pt/not%C3%ADcias-e-eventos/not%C3%ADcias/2026/articleid/863/seguro-autom%C3%B3vel-indicadores-do-1%C2%BA-semestre-2026" TargetMode="External" Id="rId30"/><Relationship Type="http://schemas.openxmlformats.org/officeDocument/2006/relationships/hyperlink" Target="https://europeanpetfood.org/about/statistics/" TargetMode="External" Id="rId31"/><Relationship Type="http://schemas.openxmlformats.org/officeDocument/2006/relationships/hyperlink" Target="https://naphia.org/industry-data/" TargetMode="External" Id="rId32"/><Relationship Type="http://schemas.openxmlformats.org/officeDocument/2006/relationships/hyperlink" Target="https://www.abi.org.uk/media-hub/news-post/insurance-payouts-for-pawly-pets-top-1-billion-for-third-year-in-a-row" TargetMode="External" Id="rId33"/><Relationship Type="http://schemas.openxmlformats.org/officeDocument/2006/relationships/hyperlink" Target="https://abinpet.org.br/informacoes-gerais-do-setor/" TargetMode="External" Id="rId34"/><Relationship Type="http://schemas.openxmlformats.org/officeDocument/2006/relationships/hyperlink" Target="https://abempet.org.br/2025/10/no-digital-o-varejo-especializado-mantem-a-lideranca/" TargetMode="External" Id="rId35"/><Relationship Type="http://schemas.openxmlformats.org/officeDocument/2006/relationships/hyperlink" Target="https://fidelidade.pt/particulares/pets/proteger" TargetMode="External" Id="rId36"/><Relationship Type="http://schemas.openxmlformats.org/officeDocument/2006/relationships/hyperlink" Target="https://mypets.fidelidade.pt/usar-seguro" TargetMode="External" Id="rId37"/><Relationship Type="http://schemas.openxmlformats.org/officeDocument/2006/relationships/hyperlink" Target="https://www.jewelersmutual.com/jewelry-insurance-explained/cost" TargetMode="External" Id="rId38"/><Relationship Type="http://schemas.openxmlformats.org/officeDocument/2006/relationships/hyperlink" Target="https://www.jewelersmutual.com/jewelry-insurance-explained/coverage" TargetMode="External" Id="rId39"/><Relationship Type="http://schemas.openxmlformats.org/officeDocument/2006/relationships/hyperlink" Target="https://www.pantaenius.com/uk-en/" TargetMode="External" Id="rId40"/><Relationship Type="http://schemas.openxmlformats.org/officeDocument/2006/relationships/hyperlink" Target="https://vault.waxcollectibles.com/" TargetMode="External" Id="rId41"/><Relationship Type="http://schemas.openxmlformats.org/officeDocument/2006/relationships/hyperlink" Target="https://apps.apple.com/us/app/wax-collectibles/id1511201226" TargetMode="External" Id="rId42"/><Relationship Type="http://schemas.openxmlformats.org/officeDocument/2006/relationships/hyperlink" Target="https://studio.chubb.com/connect/partners" TargetMode="External" Id="rId43"/><Relationship Type="http://schemas.openxmlformats.org/officeDocument/2006/relationships/hyperlink" Target="https://artlogic.net/" TargetMode="External" Id="rId44"/><Relationship Type="http://schemas.openxmlformats.org/officeDocument/2006/relationships/hyperlink" Target="https://www.howdengroup.com/pt-pt/cover/fine-art-insurance" TargetMode="External" Id="rId45"/><Relationship Type="http://schemas.openxmlformats.org/officeDocument/2006/relationships/hyperlink" Target="https://www.portoseguro.com.br/content/dam/documentos/condicoes_gerais/seguro_residencia/habitual/cg-resid-veraneio-premium-private-dez-25.pdf" TargetMode="External" Id="rId46"/><Relationship Type="http://schemas.openxmlformats.org/officeDocument/2006/relationships/table" Target="/xl/tables/table5.xml" Id="rId47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 ht="42" customHeight="1">
      <c r="A1" s="1" t="inlineStr">
        <is>
          <t>Topic</t>
        </is>
      </c>
      <c r="B1" s="1" t="inlineStr">
        <is>
          <t>Guidance</t>
        </is>
      </c>
    </row>
    <row r="2" ht="45" customHeight="1">
      <c r="A2" s="2" t="inlineStr">
        <is>
          <t>Date and scope</t>
        </is>
      </c>
      <c r="B2" s="2" t="inlineStr">
        <is>
          <t>13 October 2026. Global research, highlighting Brazil and Europe.</t>
        </is>
      </c>
    </row>
    <row r="3" ht="45" customHeight="1">
      <c r="A3" s="2" t="inlineStr">
        <is>
          <t>Question</t>
        </is>
      </c>
      <c r="B3" s="2" t="inlineStr">
        <is>
          <t>Which existing advertised Objais markets can support useful repeat activity and commercial contribution?</t>
        </is>
      </c>
    </row>
    <row r="4" ht="45" customHeight="1">
      <c r="A4" s="2" t="inlineStr">
        <is>
          <t>Evidence ceiling</t>
        </is>
      </c>
      <c r="B4" s="2" t="inlineStr">
        <is>
          <t>Current marketing proves advertised scope only, not category revenue, accepted policies or every-country availability.</t>
        </is>
      </c>
    </row>
    <row r="5" ht="45" customHeight="1">
      <c r="A5" s="2" t="inlineStr">
        <is>
          <t>Counts</t>
        </is>
      </c>
      <c r="B5" s="2" t="inlineStr">
        <is>
          <t>104 numeric observations, 46 sources, 14 scope rows and 10 competitor comparisons. Public research, not an exhaustive market census.</t>
        </is>
      </c>
    </row>
    <row r="6" ht="45" customHeight="1">
      <c r="A6" s="2" t="inlineStr">
        <is>
          <t>Interpretation</t>
        </is>
      </c>
      <c r="B6" s="2" t="inlineStr">
        <is>
          <t>Do not sum manufacturer sales, trade value, exports, insured stock, annual premiums and claims payments.</t>
        </is>
      </c>
    </row>
    <row r="7" ht="45" customHeight="1">
      <c r="A7" s="2" t="inlineStr">
        <is>
          <t>Periods</t>
        </is>
      </c>
      <c r="B7" s="2" t="inlineStr">
        <is>
          <t>Keep data period separate from publication date. FEDIAF June 2026 release describes 2024 data. ABI pet figures describe 2024.</t>
        </is>
      </c>
    </row>
    <row r="8" ht="45" customHeight="1">
      <c r="A8" s="2" t="inlineStr">
        <is>
          <t>Currency</t>
        </is>
      </c>
      <c r="B8" s="2" t="inlineStr">
        <is>
          <t>Native currency preserved. No FX conversion; figures are not comparable Objais revenue pools.</t>
        </is>
      </c>
    </row>
    <row r="9" ht="45" customHeight="1">
      <c r="A9" s="2" t="inlineStr">
        <is>
          <t>Percent convention</t>
        </is>
      </c>
      <c r="B9" s="2" t="inlineStr">
        <is>
          <t>Market Data: 32 means 32 percent. Economics input rates use Excel fractions, e.g. 0.4 displayed as 40%.</t>
        </is>
      </c>
    </row>
    <row r="10" ht="45" customHeight="1">
      <c r="A10" s="2" t="inlineStr">
        <is>
          <t>Forecasts</t>
        </is>
      </c>
      <c r="B10" s="2" t="inlineStr">
        <is>
          <t>Altagamma November 2025 figures and ABEMPET October 2025 outlook retain estimate/forecast labels.</t>
        </is>
      </c>
    </row>
    <row r="11" ht="45" customHeight="1">
      <c r="A11" s="2" t="inlineStr">
        <is>
          <t>Source limits</t>
        </is>
      </c>
      <c r="B11" s="2" t="inlineStr">
        <is>
          <t>Ferrari unit count verified in official indexed excerpt; complete PDF not retrieved. Some ASF series pages blocked or unavailable.</t>
        </is>
      </c>
    </row>
    <row r="12" ht="45" customHeight="1">
      <c r="A12" s="2" t="inlineStr">
        <is>
          <t>No fabricated metrics</t>
        </is>
      </c>
      <c r="B12" s="2" t="inlineStr">
        <is>
          <t>No Objais CAC, fee, acceptance, policy conversion or retention was supplied or inferred from market size.</t>
        </is>
      </c>
    </row>
    <row r="13" ht="45" customHeight="1">
      <c r="A13" s="2" t="inlineStr">
        <is>
          <t>Economics</t>
        </is>
      </c>
      <c r="B13" s="2" t="inlineStr">
        <is>
          <t>Enter actual inputs into blue B:H cells. Outputs stay blank until all seven inputs are numbers, including explicit zero for unsupported future fees.</t>
        </is>
      </c>
    </row>
    <row r="14" ht="45" customHeight="1">
      <c r="A14" s="2" t="inlineStr">
        <is>
          <t>Model scope</t>
        </is>
      </c>
      <c r="B14" s="2" t="inlineStr">
        <is>
          <t>Simple accepted-lead contribution over a defined horizon. Future fee input must be net of future service cost and contractually earned. No fixed operating costs, tax or discounting included.</t>
        </is>
      </c>
    </row>
    <row r="15" ht="45" customHeight="1">
      <c r="A15" s="2" t="inlineStr">
        <is>
          <t>Workbook formulas</t>
        </is>
      </c>
      <c r="B15" s="2" t="inlineStr">
        <is>
          <t>Excel recalculates formulas on opening. Inputs are blank by design; no calculated profit is presented as company performance.</t>
        </is>
      </c>
    </row>
    <row r="16" ht="45" customHeight="1">
      <c r="A16" s="2" t="inlineStr">
        <is>
          <t>Suggested next evidence</t>
        </is>
      </c>
      <c r="B16" s="2" t="inlineStr">
        <is>
          <t>Ask the team for country/category funnel, contracts, net fees, costs and meaningful return actions.</t>
        </is>
      </c>
    </row>
    <row r="17" ht="45" customHeight="1">
      <c r="A17" s="2" t="inlineStr">
        <is>
          <t>Companion files</t>
        </is>
      </c>
      <c r="B17" s="2" t="inlineStr">
        <is>
          <t>Objais Current Markets Research.pdf / .docx / .md. CSV reproduces Market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5" customWidth="1" min="3" max="3"/>
    <col width="55" customWidth="1" min="4" max="4"/>
    <col width="23" customWidth="1" min="5" max="5"/>
    <col width="26" customWidth="1" min="6" max="6"/>
    <col width="30" customWidth="1" min="7" max="7"/>
    <col width="32" customWidth="1" min="8" max="8"/>
    <col width="15" customWidth="1" min="9" max="9"/>
    <col width="100" customWidth="1" min="10" max="10"/>
    <col width="100" customWidth="1" min="11" max="11"/>
    <col width="18" customWidth="1" min="12" max="12"/>
  </cols>
  <sheetData>
    <row r="1" ht="42" customHeight="1">
      <c r="A1" s="1" t="inlineStr">
        <is>
          <t>metric_id</t>
        </is>
      </c>
      <c r="B1" s="1" t="inlineStr">
        <is>
          <t>segment</t>
        </is>
      </c>
      <c r="C1" s="1" t="inlineStr">
        <is>
          <t>geography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qualifier</t>
        </is>
      </c>
      <c r="H1" s="1" t="inlineStr">
        <is>
          <t>period</t>
        </is>
      </c>
      <c r="I1" s="1" t="inlineStr">
        <is>
          <t>source_id</t>
        </is>
      </c>
      <c r="J1" s="1" t="inlineStr">
        <is>
          <t>note</t>
        </is>
      </c>
      <c r="K1" s="1" t="inlineStr">
        <is>
          <t>source_url</t>
        </is>
      </c>
      <c r="L1" s="1" t="inlineStr">
        <is>
          <t>accessed</t>
        </is>
      </c>
    </row>
    <row r="2" ht="68" customHeight="1">
      <c r="A2" s="2" t="inlineStr">
        <is>
          <t>M001</t>
        </is>
      </c>
      <c r="B2" s="2" t="inlineStr">
        <is>
          <t>Art and antiques</t>
        </is>
      </c>
      <c r="C2" s="2" t="inlineStr">
        <is>
          <t>Global</t>
        </is>
      </c>
      <c r="D2" s="2" t="inlineStr">
        <is>
          <t>Annual market sales</t>
        </is>
      </c>
      <c r="E2" s="3" t="n">
        <v>59600000000</v>
      </c>
      <c r="F2" s="2" t="inlineStr">
        <is>
          <t>USD</t>
        </is>
      </c>
      <c r="G2" s="2" t="inlineStr">
        <is>
          <t>Estimated</t>
        </is>
      </c>
      <c r="H2" s="2" t="inlineStr">
        <is>
          <t>2025; published March 2026</t>
        </is>
      </c>
      <c r="I2" s="2" t="inlineStr">
        <is>
          <t>S07</t>
        </is>
      </c>
      <c r="J2" s="2" t="inlineStr"/>
      <c r="K2" s="4" t="inlineStr">
        <is>
          <t>https://www.artbasel.com/stories/the-art-basel-and-ubs-global-art-market-report-2026</t>
        </is>
      </c>
      <c r="L2" s="2" t="inlineStr">
        <is>
          <t>2026-10-13</t>
        </is>
      </c>
    </row>
    <row r="3" ht="68" customHeight="1">
      <c r="A3" s="2" t="inlineStr">
        <is>
          <t>M002</t>
        </is>
      </c>
      <c r="B3" s="2" t="inlineStr">
        <is>
          <t>Art and antiques</t>
        </is>
      </c>
      <c r="C3" s="2" t="inlineStr">
        <is>
          <t>Global</t>
        </is>
      </c>
      <c r="D3" s="2" t="inlineStr">
        <is>
          <t>Annual market value growth</t>
        </is>
      </c>
      <c r="E3" s="3" t="n">
        <v>4</v>
      </c>
      <c r="F3" s="2" t="inlineStr">
        <is>
          <t>percent</t>
        </is>
      </c>
      <c r="G3" s="2" t="inlineStr">
        <is>
          <t>Estimated</t>
        </is>
      </c>
      <c r="H3" s="2" t="inlineStr">
        <is>
          <t>2025; published March 2026</t>
        </is>
      </c>
      <c r="I3" s="2" t="inlineStr">
        <is>
          <t>S07</t>
        </is>
      </c>
      <c r="J3" s="2" t="inlineStr"/>
      <c r="K3" s="4" t="inlineStr">
        <is>
          <t>https://www.artbasel.com/stories/the-art-basel-and-ubs-global-art-market-report-2026</t>
        </is>
      </c>
      <c r="L3" s="2" t="inlineStr">
        <is>
          <t>2026-10-13</t>
        </is>
      </c>
    </row>
    <row r="4" ht="68" customHeight="1">
      <c r="A4" s="2" t="inlineStr">
        <is>
          <t>M003</t>
        </is>
      </c>
      <c r="B4" s="2" t="inlineStr">
        <is>
          <t>Art and antiques</t>
        </is>
      </c>
      <c r="C4" s="2" t="inlineStr">
        <is>
          <t>Global</t>
        </is>
      </c>
      <c r="D4" s="2" t="inlineStr">
        <is>
          <t>Dealer sales</t>
        </is>
      </c>
      <c r="E4" s="3" t="n">
        <v>34800000000</v>
      </c>
      <c r="F4" s="2" t="inlineStr">
        <is>
          <t>USD</t>
        </is>
      </c>
      <c r="G4" s="2" t="inlineStr">
        <is>
          <t>Estimated</t>
        </is>
      </c>
      <c r="H4" s="2" t="inlineStr">
        <is>
          <t>2025; published March 2026</t>
        </is>
      </c>
      <c r="I4" s="2" t="inlineStr">
        <is>
          <t>S07</t>
        </is>
      </c>
      <c r="J4" s="2" t="inlineStr">
        <is>
          <t>Nested in total</t>
        </is>
      </c>
      <c r="K4" s="4" t="inlineStr">
        <is>
          <t>https://www.artbasel.com/stories/the-art-basel-and-ubs-global-art-market-report-2026</t>
        </is>
      </c>
      <c r="L4" s="2" t="inlineStr">
        <is>
          <t>2026-10-13</t>
        </is>
      </c>
    </row>
    <row r="5" ht="68" customHeight="1">
      <c r="A5" s="2" t="inlineStr">
        <is>
          <t>M004</t>
        </is>
      </c>
      <c r="B5" s="2" t="inlineStr">
        <is>
          <t>Art and antiques</t>
        </is>
      </c>
      <c r="C5" s="2" t="inlineStr">
        <is>
          <t>Global</t>
        </is>
      </c>
      <c r="D5" s="2" t="inlineStr">
        <is>
          <t>Public auction sales</t>
        </is>
      </c>
      <c r="E5" s="3" t="n">
        <v>20700000000</v>
      </c>
      <c r="F5" s="2" t="inlineStr">
        <is>
          <t>USD</t>
        </is>
      </c>
      <c r="G5" s="2" t="inlineStr">
        <is>
          <t>Estimated</t>
        </is>
      </c>
      <c r="H5" s="2" t="inlineStr">
        <is>
          <t>2025; published March 2026</t>
        </is>
      </c>
      <c r="I5" s="2" t="inlineStr">
        <is>
          <t>S07</t>
        </is>
      </c>
      <c r="J5" s="2" t="inlineStr">
        <is>
          <t>Nested in total</t>
        </is>
      </c>
      <c r="K5" s="4" t="inlineStr">
        <is>
          <t>https://www.artbasel.com/stories/the-art-basel-and-ubs-global-art-market-report-2026</t>
        </is>
      </c>
      <c r="L5" s="2" t="inlineStr">
        <is>
          <t>2026-10-13</t>
        </is>
      </c>
    </row>
    <row r="6" ht="68" customHeight="1">
      <c r="A6" s="2" t="inlineStr">
        <is>
          <t>M005</t>
        </is>
      </c>
      <c r="B6" s="2" t="inlineStr">
        <is>
          <t>Art and antiques</t>
        </is>
      </c>
      <c r="C6" s="2" t="inlineStr">
        <is>
          <t>Global</t>
        </is>
      </c>
      <c r="D6" s="2" t="inlineStr">
        <is>
          <t>Transactions</t>
        </is>
      </c>
      <c r="E6" s="3" t="n">
        <v>41500000</v>
      </c>
      <c r="F6" s="2" t="inlineStr">
        <is>
          <t>transactions</t>
        </is>
      </c>
      <c r="G6" s="2" t="inlineStr">
        <is>
          <t>Estimated</t>
        </is>
      </c>
      <c r="H6" s="2" t="inlineStr">
        <is>
          <t>2025; published March 2026</t>
        </is>
      </c>
      <c r="I6" s="2" t="inlineStr">
        <is>
          <t>S07</t>
        </is>
      </c>
      <c r="J6" s="2" t="inlineStr"/>
      <c r="K6" s="4" t="inlineStr">
        <is>
          <t>https://www.artbasel.com/stories/the-art-basel-and-ubs-global-art-market-report-2026</t>
        </is>
      </c>
      <c r="L6" s="2" t="inlineStr">
        <is>
          <t>2026-10-13</t>
        </is>
      </c>
    </row>
    <row r="7" ht="68" customHeight="1">
      <c r="A7" s="2" t="inlineStr">
        <is>
          <t>M006</t>
        </is>
      </c>
      <c r="B7" s="2" t="inlineStr">
        <is>
          <t>Art and antiques</t>
        </is>
      </c>
      <c r="C7" s="2" t="inlineStr">
        <is>
          <t>EU</t>
        </is>
      </c>
      <c r="D7" s="2" t="inlineStr">
        <is>
          <t>Annual market sales</t>
        </is>
      </c>
      <c r="E7" s="3" t="n">
        <v>8400000000</v>
      </c>
      <c r="F7" s="2" t="inlineStr">
        <is>
          <t>USD</t>
        </is>
      </c>
      <c r="G7" s="2" t="inlineStr">
        <is>
          <t>Estimated</t>
        </is>
      </c>
      <c r="H7" s="2" t="inlineStr">
        <is>
          <t>2025; published March 2026</t>
        </is>
      </c>
      <c r="I7" s="2" t="inlineStr">
        <is>
          <t>S07</t>
        </is>
      </c>
      <c r="J7" s="2" t="inlineStr"/>
      <c r="K7" s="4" t="inlineStr">
        <is>
          <t>https://www.artbasel.com/stories/the-art-basel-and-ubs-global-art-market-report-2026</t>
        </is>
      </c>
      <c r="L7" s="2" t="inlineStr">
        <is>
          <t>2026-10-13</t>
        </is>
      </c>
    </row>
    <row r="8" ht="68" customHeight="1">
      <c r="A8" s="2" t="inlineStr">
        <is>
          <t>M007</t>
        </is>
      </c>
      <c r="B8" s="2" t="inlineStr">
        <is>
          <t>Art and antiques</t>
        </is>
      </c>
      <c r="C8" s="2" t="inlineStr">
        <is>
          <t>EU</t>
        </is>
      </c>
      <c r="D8" s="2" t="inlineStr">
        <is>
          <t>Annual value growth</t>
        </is>
      </c>
      <c r="E8" s="3" t="n">
        <v>3</v>
      </c>
      <c r="F8" s="2" t="inlineStr">
        <is>
          <t>percent</t>
        </is>
      </c>
      <c r="G8" s="2" t="inlineStr">
        <is>
          <t>Estimated</t>
        </is>
      </c>
      <c r="H8" s="2" t="inlineStr">
        <is>
          <t>2025; published March 2026</t>
        </is>
      </c>
      <c r="I8" s="2" t="inlineStr">
        <is>
          <t>S07</t>
        </is>
      </c>
      <c r="J8" s="2" t="inlineStr"/>
      <c r="K8" s="4" t="inlineStr">
        <is>
          <t>https://www.artbasel.com/stories/the-art-basel-and-ubs-global-art-market-report-2026</t>
        </is>
      </c>
      <c r="L8" s="2" t="inlineStr">
        <is>
          <t>2026-10-13</t>
        </is>
      </c>
    </row>
    <row r="9" ht="68" customHeight="1">
      <c r="A9" s="2" t="inlineStr">
        <is>
          <t>M008</t>
        </is>
      </c>
      <c r="B9" s="2" t="inlineStr">
        <is>
          <t>Art and antiques</t>
        </is>
      </c>
      <c r="C9" s="2" t="inlineStr">
        <is>
          <t>France</t>
        </is>
      </c>
      <c r="D9" s="2" t="inlineStr">
        <is>
          <t>Annual market sales</t>
        </is>
      </c>
      <c r="E9" s="3" t="n">
        <v>4500000000</v>
      </c>
      <c r="F9" s="2" t="inlineStr">
        <is>
          <t>USD</t>
        </is>
      </c>
      <c r="G9" s="2" t="inlineStr">
        <is>
          <t>Estimated</t>
        </is>
      </c>
      <c r="H9" s="2" t="inlineStr">
        <is>
          <t>2025; published March 2026</t>
        </is>
      </c>
      <c r="I9" s="2" t="inlineStr">
        <is>
          <t>S07</t>
        </is>
      </c>
      <c r="J9" s="2" t="inlineStr"/>
      <c r="K9" s="4" t="inlineStr">
        <is>
          <t>https://www.artbasel.com/stories/the-art-basel-and-ubs-global-art-market-report-2026</t>
        </is>
      </c>
      <c r="L9" s="2" t="inlineStr">
        <is>
          <t>2026-10-13</t>
        </is>
      </c>
    </row>
    <row r="10" ht="68" customHeight="1">
      <c r="A10" s="2" t="inlineStr">
        <is>
          <t>M009</t>
        </is>
      </c>
      <c r="B10" s="2" t="inlineStr">
        <is>
          <t>Art and antiques</t>
        </is>
      </c>
      <c r="C10" s="2" t="inlineStr">
        <is>
          <t>France</t>
        </is>
      </c>
      <c r="D10" s="2" t="inlineStr">
        <is>
          <t>Annual value growth</t>
        </is>
      </c>
      <c r="E10" s="3" t="n">
        <v>9</v>
      </c>
      <c r="F10" s="2" t="inlineStr">
        <is>
          <t>percent</t>
        </is>
      </c>
      <c r="G10" s="2" t="inlineStr">
        <is>
          <t>Estimated</t>
        </is>
      </c>
      <c r="H10" s="2" t="inlineStr">
        <is>
          <t>2025; published March 2026</t>
        </is>
      </c>
      <c r="I10" s="2" t="inlineStr">
        <is>
          <t>S07</t>
        </is>
      </c>
      <c r="J10" s="2" t="inlineStr"/>
      <c r="K10" s="4" t="inlineStr">
        <is>
          <t>https://www.artbasel.com/stories/the-art-basel-and-ubs-global-art-market-report-2026</t>
        </is>
      </c>
      <c r="L10" s="2" t="inlineStr">
        <is>
          <t>2026-10-13</t>
        </is>
      </c>
    </row>
    <row r="11" ht="68" customHeight="1">
      <c r="A11" s="2" t="inlineStr">
        <is>
          <t>M010</t>
        </is>
      </c>
      <c r="B11" s="2" t="inlineStr">
        <is>
          <t>Art and antiques</t>
        </is>
      </c>
      <c r="C11" s="2" t="inlineStr">
        <is>
          <t>Global online</t>
        </is>
      </c>
      <c r="D11" s="2" t="inlineStr">
        <is>
          <t>Online annual sales</t>
        </is>
      </c>
      <c r="E11" s="3" t="n">
        <v>9200000000</v>
      </c>
      <c r="F11" s="2" t="inlineStr">
        <is>
          <t>USD</t>
        </is>
      </c>
      <c r="G11" s="2" t="inlineStr">
        <is>
          <t>Estimated</t>
        </is>
      </c>
      <c r="H11" s="2" t="inlineStr">
        <is>
          <t>2025; published March 2026</t>
        </is>
      </c>
      <c r="I11" s="2" t="inlineStr">
        <is>
          <t>S07</t>
        </is>
      </c>
      <c r="J11" s="2" t="inlineStr">
        <is>
          <t>Overlaps global total</t>
        </is>
      </c>
      <c r="K11" s="4" t="inlineStr">
        <is>
          <t>https://www.artbasel.com/stories/the-art-basel-and-ubs-global-art-market-report-2026</t>
        </is>
      </c>
      <c r="L11" s="2" t="inlineStr">
        <is>
          <t>2026-10-13</t>
        </is>
      </c>
    </row>
    <row r="12" ht="68" customHeight="1">
      <c r="A12" s="2" t="inlineStr">
        <is>
          <t>M011</t>
        </is>
      </c>
      <c r="B12" s="2" t="inlineStr">
        <is>
          <t>Art collector research</t>
        </is>
      </c>
      <c r="C12" s="2" t="inlineStr">
        <is>
          <t>10 surveyed markets</t>
        </is>
      </c>
      <c r="D12" s="2" t="inlineStr">
        <is>
          <t>Survey respondents</t>
        </is>
      </c>
      <c r="E12" s="3" t="n">
        <v>3100</v>
      </c>
      <c r="F12" s="2" t="inlineStr">
        <is>
          <t>HNW respondents</t>
        </is>
      </c>
      <c r="G12" s="2" t="inlineStr">
        <is>
          <t>Survey count</t>
        </is>
      </c>
      <c r="H12" s="2" t="inlineStr">
        <is>
          <t>Survey mid-2026</t>
        </is>
      </c>
      <c r="I12" s="2" t="inlineStr">
        <is>
          <t>S08</t>
        </is>
      </c>
      <c r="J12" s="2" t="inlineStr"/>
      <c r="K12" s="4" t="inlineStr">
        <is>
          <t>https://theartmarket.artbasel.com/</t>
        </is>
      </c>
      <c r="L12" s="2" t="inlineStr">
        <is>
          <t>2026-10-13</t>
        </is>
      </c>
    </row>
    <row r="13" ht="68" customHeight="1">
      <c r="A13" s="2" t="inlineStr">
        <is>
          <t>M012</t>
        </is>
      </c>
      <c r="B13" s="2" t="inlineStr">
        <is>
          <t>Art collector research</t>
        </is>
      </c>
      <c r="C13" s="2" t="inlineStr">
        <is>
          <t>10 surveyed markets</t>
        </is>
      </c>
      <c r="D13" s="2" t="inlineStr">
        <is>
          <t>Survey markets</t>
        </is>
      </c>
      <c r="E13" s="3" t="n">
        <v>10</v>
      </c>
      <c r="F13" s="2" t="inlineStr">
        <is>
          <t>markets</t>
        </is>
      </c>
      <c r="G13" s="2" t="inlineStr">
        <is>
          <t>Survey count</t>
        </is>
      </c>
      <c r="H13" s="2" t="inlineStr">
        <is>
          <t>Survey mid-2026</t>
        </is>
      </c>
      <c r="I13" s="2" t="inlineStr">
        <is>
          <t>S08</t>
        </is>
      </c>
      <c r="J13" s="2" t="inlineStr"/>
      <c r="K13" s="4" t="inlineStr">
        <is>
          <t>https://theartmarket.artbasel.com/</t>
        </is>
      </c>
      <c r="L13" s="2" t="inlineStr">
        <is>
          <t>2026-10-13</t>
        </is>
      </c>
    </row>
    <row r="14" ht="68" customHeight="1">
      <c r="A14" s="2" t="inlineStr">
        <is>
          <t>M013</t>
        </is>
      </c>
      <c r="B14" s="2" t="inlineStr">
        <is>
          <t>Art collecting behaviour</t>
        </is>
      </c>
      <c r="C14" s="2" t="inlineStr">
        <is>
          <t>HNW survey</t>
        </is>
      </c>
      <c r="D14" s="2" t="inlineStr">
        <is>
          <t>Moderate or significant own research before buying</t>
        </is>
      </c>
      <c r="E14" s="3" t="n">
        <v>72</v>
      </c>
      <c r="F14" s="2" t="inlineStr">
        <is>
          <t>percent</t>
        </is>
      </c>
      <c r="G14" s="2" t="inlineStr">
        <is>
          <t>Survey result</t>
        </is>
      </c>
      <c r="H14" s="2" t="inlineStr">
        <is>
          <t>Survey 2026</t>
        </is>
      </c>
      <c r="I14" s="2" t="inlineStr">
        <is>
          <t>S09</t>
        </is>
      </c>
      <c r="J14" s="2" t="inlineStr">
        <is>
          <t>Selected art-active HNW sample</t>
        </is>
      </c>
      <c r="K14" s="4" t="inlineStr">
        <is>
          <t>https://theartmarket.artbasel.com/research</t>
        </is>
      </c>
      <c r="L14" s="2" t="inlineStr">
        <is>
          <t>2026-10-13</t>
        </is>
      </c>
    </row>
    <row r="15" ht="68" customHeight="1">
      <c r="A15" s="2" t="inlineStr">
        <is>
          <t>M014</t>
        </is>
      </c>
      <c r="B15" s="2" t="inlineStr">
        <is>
          <t>Art collecting behaviour</t>
        </is>
      </c>
      <c r="C15" s="2" t="inlineStr">
        <is>
          <t>HNW Gen Z survey</t>
        </is>
      </c>
      <c r="D15" s="2" t="inlineStr">
        <is>
          <t>Moderate or significant own research</t>
        </is>
      </c>
      <c r="E15" s="3" t="n">
        <v>80</v>
      </c>
      <c r="F15" s="2" t="inlineStr">
        <is>
          <t>percent</t>
        </is>
      </c>
      <c r="G15" s="2" t="inlineStr">
        <is>
          <t>Survey result</t>
        </is>
      </c>
      <c r="H15" s="2" t="inlineStr">
        <is>
          <t>Survey 2026</t>
        </is>
      </c>
      <c r="I15" s="2" t="inlineStr">
        <is>
          <t>S09</t>
        </is>
      </c>
      <c r="J15" s="2" t="inlineStr"/>
      <c r="K15" s="4" t="inlineStr">
        <is>
          <t>https://theartmarket.artbasel.com/research</t>
        </is>
      </c>
      <c r="L15" s="2" t="inlineStr">
        <is>
          <t>2026-10-13</t>
        </is>
      </c>
    </row>
    <row r="16" ht="68" customHeight="1">
      <c r="A16" s="2" t="inlineStr">
        <is>
          <t>M015</t>
        </is>
      </c>
      <c r="B16" s="2" t="inlineStr">
        <is>
          <t>Art collecting behaviour</t>
        </is>
      </c>
      <c r="C16" s="2" t="inlineStr">
        <is>
          <t>HNW survey</t>
        </is>
      </c>
      <c r="D16" s="2" t="inlineStr">
        <is>
          <t>Used digital resources for advice</t>
        </is>
      </c>
      <c r="E16" s="3" t="n">
        <v>58</v>
      </c>
      <c r="F16" s="2" t="inlineStr">
        <is>
          <t>percent</t>
        </is>
      </c>
      <c r="G16" s="2" t="inlineStr">
        <is>
          <t>Survey result</t>
        </is>
      </c>
      <c r="H16" s="2" t="inlineStr">
        <is>
          <t>Survey 2026</t>
        </is>
      </c>
      <c r="I16" s="2" t="inlineStr">
        <is>
          <t>S09</t>
        </is>
      </c>
      <c r="J16" s="2" t="inlineStr"/>
      <c r="K16" s="4" t="inlineStr">
        <is>
          <t>https://theartmarket.artbasel.com/research</t>
        </is>
      </c>
      <c r="L16" s="2" t="inlineStr">
        <is>
          <t>2026-10-13</t>
        </is>
      </c>
    </row>
    <row r="17" ht="68" customHeight="1">
      <c r="A17" s="2" t="inlineStr">
        <is>
          <t>M016</t>
        </is>
      </c>
      <c r="B17" s="2" t="inlineStr">
        <is>
          <t>Art collecting behaviour</t>
        </is>
      </c>
      <c r="C17" s="2" t="inlineStr">
        <is>
          <t>HNW survey</t>
        </is>
      </c>
      <c r="D17" s="2" t="inlineStr">
        <is>
          <t>Used apps or AI tools for advice</t>
        </is>
      </c>
      <c r="E17" s="3" t="n">
        <v>22</v>
      </c>
      <c r="F17" s="2" t="inlineStr">
        <is>
          <t>percent</t>
        </is>
      </c>
      <c r="G17" s="2" t="inlineStr">
        <is>
          <t>Survey result</t>
        </is>
      </c>
      <c r="H17" s="2" t="inlineStr">
        <is>
          <t>Survey 2026</t>
        </is>
      </c>
      <c r="I17" s="2" t="inlineStr">
        <is>
          <t>S09</t>
        </is>
      </c>
      <c r="J17" s="2" t="inlineStr">
        <is>
          <t>Use of existing tools; not Objais adoption</t>
        </is>
      </c>
      <c r="K17" s="4" t="inlineStr">
        <is>
          <t>https://theartmarket.artbasel.com/research</t>
        </is>
      </c>
      <c r="L17" s="2" t="inlineStr">
        <is>
          <t>2026-10-13</t>
        </is>
      </c>
    </row>
    <row r="18" ht="68" customHeight="1">
      <c r="A18" s="2" t="inlineStr">
        <is>
          <t>M017</t>
        </is>
      </c>
      <c r="B18" s="2" t="inlineStr">
        <is>
          <t>Art collecting behaviour</t>
        </is>
      </c>
      <c r="C18" s="2" t="inlineStr">
        <is>
          <t>HNW survey</t>
        </is>
      </c>
      <c r="D18" s="2" t="inlineStr">
        <is>
          <t>Prefer private ownership recognition</t>
        </is>
      </c>
      <c r="E18" s="3" t="n">
        <v>64</v>
      </c>
      <c r="F18" s="2" t="inlineStr">
        <is>
          <t>percent</t>
        </is>
      </c>
      <c r="G18" s="2" t="inlineStr">
        <is>
          <t>Survey result</t>
        </is>
      </c>
      <c r="H18" s="2" t="inlineStr">
        <is>
          <t>Survey 2026</t>
        </is>
      </c>
      <c r="I18" s="2" t="inlineStr">
        <is>
          <t>S10</t>
        </is>
      </c>
      <c r="J18" s="2" t="inlineStr">
        <is>
          <t>Preference about recognition, not physical viewing restricted</t>
        </is>
      </c>
      <c r="K18" s="4" t="inlineStr">
        <is>
          <t>https://theartmarket.artbasel.com/ownership</t>
        </is>
      </c>
      <c r="L18" s="2" t="inlineStr">
        <is>
          <t>2026-10-13</t>
        </is>
      </c>
    </row>
    <row r="19" ht="68" customHeight="1">
      <c r="A19" s="2" t="inlineStr">
        <is>
          <t>M018</t>
        </is>
      </c>
      <c r="B19" s="2" t="inlineStr">
        <is>
          <t>Art collecting behaviour</t>
        </is>
      </c>
      <c r="C19" s="2" t="inlineStr">
        <is>
          <t>Brazil HNW survey</t>
        </is>
      </c>
      <c r="D19" s="2" t="inlineStr">
        <is>
          <t>Plan to increase art event attendance in 2026</t>
        </is>
      </c>
      <c r="E19" s="3" t="n">
        <v>69</v>
      </c>
      <c r="F19" s="2" t="inlineStr">
        <is>
          <t>percent</t>
        </is>
      </c>
      <c r="G19" s="2" t="inlineStr">
        <is>
          <t>Survey intention</t>
        </is>
      </c>
      <c r="H19" s="2" t="inlineStr">
        <is>
          <t>Survey 2025 / plans for 2026</t>
        </is>
      </c>
      <c r="I19" s="2" t="inlineStr">
        <is>
          <t>S11</t>
        </is>
      </c>
      <c r="J19" s="2" t="inlineStr">
        <is>
          <t>From 2025 survey; not realised 2026 activity</t>
        </is>
      </c>
      <c r="K19" s="4" t="inlineStr">
        <is>
          <t>https://www.ubs.com/global/en/our-firm/art/2025/collecting-in-the-americas.html</t>
        </is>
      </c>
      <c r="L19" s="2" t="inlineStr">
        <is>
          <t>2026-10-13</t>
        </is>
      </c>
    </row>
    <row r="20" ht="68" customHeight="1">
      <c r="A20" s="2" t="inlineStr">
        <is>
          <t>M019</t>
        </is>
      </c>
      <c r="B20" s="2" t="inlineStr">
        <is>
          <t>Watches</t>
        </is>
      </c>
      <c r="C20" s="2" t="inlineStr">
        <is>
          <t>Swiss exports global</t>
        </is>
      </c>
      <c r="D20" s="2" t="inlineStr">
        <is>
          <t>Watchmaking total exports</t>
        </is>
      </c>
      <c r="E20" s="3" t="n">
        <v>25600000000</v>
      </c>
      <c r="F20" s="2" t="inlineStr">
        <is>
          <t>CHF</t>
        </is>
      </c>
      <c r="G20" s="2" t="inlineStr">
        <is>
          <t>Reported</t>
        </is>
      </c>
      <c r="H20" s="2" t="inlineStr">
        <is>
          <t>2025</t>
        </is>
      </c>
      <c r="I20" s="2" t="inlineStr">
        <is>
          <t>S12</t>
        </is>
      </c>
      <c r="J20" s="2" t="inlineStr"/>
      <c r="K20" s="4" t="inlineStr">
        <is>
          <t>https://www.fhs.swiss/eng/2026_01_29_statistics.html</t>
        </is>
      </c>
      <c r="L20" s="2" t="inlineStr">
        <is>
          <t>2026-10-13</t>
        </is>
      </c>
    </row>
    <row r="21" ht="68" customHeight="1">
      <c r="A21" s="2" t="inlineStr">
        <is>
          <t>M020</t>
        </is>
      </c>
      <c r="B21" s="2" t="inlineStr">
        <is>
          <t>Watches</t>
        </is>
      </c>
      <c r="C21" s="2" t="inlineStr">
        <is>
          <t>Swiss exports global</t>
        </is>
      </c>
      <c r="D21" s="2" t="inlineStr">
        <is>
          <t>Watchmaking export value growth</t>
        </is>
      </c>
      <c r="E21" s="3" t="n">
        <v>-1.7</v>
      </c>
      <c r="F21" s="2" t="inlineStr">
        <is>
          <t>percent</t>
        </is>
      </c>
      <c r="G21" s="2" t="inlineStr">
        <is>
          <t>Reported</t>
        </is>
      </c>
      <c r="H21" s="2" t="inlineStr">
        <is>
          <t>2025</t>
        </is>
      </c>
      <c r="I21" s="2" t="inlineStr">
        <is>
          <t>S12</t>
        </is>
      </c>
      <c r="J21" s="2" t="inlineStr"/>
      <c r="K21" s="4" t="inlineStr">
        <is>
          <t>https://www.fhs.swiss/eng/2026_01_29_statistics.html</t>
        </is>
      </c>
      <c r="L21" s="2" t="inlineStr">
        <is>
          <t>2026-10-13</t>
        </is>
      </c>
    </row>
    <row r="22" ht="68" customHeight="1">
      <c r="A22" s="2" t="inlineStr">
        <is>
          <t>M021</t>
        </is>
      </c>
      <c r="B22" s="2" t="inlineStr">
        <is>
          <t>Watches</t>
        </is>
      </c>
      <c r="C22" s="2" t="inlineStr">
        <is>
          <t>Swiss exports global</t>
        </is>
      </c>
      <c r="D22" s="2" t="inlineStr">
        <is>
          <t>Wristwatch export value</t>
        </is>
      </c>
      <c r="E22" s="3" t="n">
        <v>24400000000</v>
      </c>
      <c r="F22" s="2" t="inlineStr">
        <is>
          <t>CHF</t>
        </is>
      </c>
      <c r="G22" s="2" t="inlineStr">
        <is>
          <t>Reported</t>
        </is>
      </c>
      <c r="H22" s="2" t="inlineStr">
        <is>
          <t>2025</t>
        </is>
      </c>
      <c r="I22" s="2" t="inlineStr">
        <is>
          <t>S12</t>
        </is>
      </c>
      <c r="J22" s="2" t="inlineStr">
        <is>
          <t>Nested within total exports</t>
        </is>
      </c>
      <c r="K22" s="4" t="inlineStr">
        <is>
          <t>https://www.fhs.swiss/eng/2026_01_29_statistics.html</t>
        </is>
      </c>
      <c r="L22" s="2" t="inlineStr">
        <is>
          <t>2026-10-13</t>
        </is>
      </c>
    </row>
    <row r="23" ht="68" customHeight="1">
      <c r="A23" s="2" t="inlineStr">
        <is>
          <t>M022</t>
        </is>
      </c>
      <c r="B23" s="2" t="inlineStr">
        <is>
          <t>Watches</t>
        </is>
      </c>
      <c r="C23" s="2" t="inlineStr">
        <is>
          <t>Swiss exports global</t>
        </is>
      </c>
      <c r="D23" s="2" t="inlineStr">
        <is>
          <t>Watches exported</t>
        </is>
      </c>
      <c r="E23" s="3" t="n">
        <v>14600000</v>
      </c>
      <c r="F23" s="2" t="inlineStr">
        <is>
          <t>watches</t>
        </is>
      </c>
      <c r="G23" s="2" t="inlineStr">
        <is>
          <t>Rounded</t>
        </is>
      </c>
      <c r="H23" s="2" t="inlineStr">
        <is>
          <t>2025</t>
        </is>
      </c>
      <c r="I23" s="2" t="inlineStr">
        <is>
          <t>S12</t>
        </is>
      </c>
      <c r="J23" s="2" t="inlineStr"/>
      <c r="K23" s="4" t="inlineStr">
        <is>
          <t>https://www.fhs.swiss/eng/2026_01_29_statistics.html</t>
        </is>
      </c>
      <c r="L23" s="2" t="inlineStr">
        <is>
          <t>2026-10-13</t>
        </is>
      </c>
    </row>
    <row r="24" ht="68" customHeight="1">
      <c r="A24" s="2" t="inlineStr">
        <is>
          <t>M023</t>
        </is>
      </c>
      <c r="B24" s="2" t="inlineStr">
        <is>
          <t>Watches</t>
        </is>
      </c>
      <c r="C24" s="2" t="inlineStr">
        <is>
          <t>Swiss exports global</t>
        </is>
      </c>
      <c r="D24" s="2" t="inlineStr">
        <is>
          <t>Watch units growth</t>
        </is>
      </c>
      <c r="E24" s="3" t="n">
        <v>-4.8</v>
      </c>
      <c r="F24" s="2" t="inlineStr">
        <is>
          <t>percent</t>
        </is>
      </c>
      <c r="G24" s="2" t="inlineStr">
        <is>
          <t>Reported</t>
        </is>
      </c>
      <c r="H24" s="2" t="inlineStr">
        <is>
          <t>2025</t>
        </is>
      </c>
      <c r="I24" s="2" t="inlineStr">
        <is>
          <t>S12</t>
        </is>
      </c>
      <c r="J24" s="2" t="inlineStr"/>
      <c r="K24" s="4" t="inlineStr">
        <is>
          <t>https://www.fhs.swiss/eng/2026_01_29_statistics.html</t>
        </is>
      </c>
      <c r="L24" s="2" t="inlineStr">
        <is>
          <t>2026-10-13</t>
        </is>
      </c>
    </row>
    <row r="25" ht="68" customHeight="1">
      <c r="A25" s="2" t="inlineStr">
        <is>
          <t>M024</t>
        </is>
      </c>
      <c r="B25" s="2" t="inlineStr">
        <is>
          <t>Watches</t>
        </is>
      </c>
      <c r="C25" s="2" t="inlineStr">
        <is>
          <t>Swiss exports to Europe</t>
        </is>
      </c>
      <c r="D25" s="2" t="inlineStr">
        <is>
          <t>Export value growth</t>
        </is>
      </c>
      <c r="E25" s="3" t="n">
        <v>-0.3</v>
      </c>
      <c r="F25" s="2" t="inlineStr">
        <is>
          <t>percent</t>
        </is>
      </c>
      <c r="G25" s="2" t="inlineStr">
        <is>
          <t>Reported</t>
        </is>
      </c>
      <c r="H25" s="2" t="inlineStr">
        <is>
          <t>2025</t>
        </is>
      </c>
      <c r="I25" s="2" t="inlineStr">
        <is>
          <t>S12</t>
        </is>
      </c>
      <c r="J25" s="2" t="inlineStr"/>
      <c r="K25" s="4" t="inlineStr">
        <is>
          <t>https://www.fhs.swiss/eng/2026_01_29_statistics.html</t>
        </is>
      </c>
      <c r="L25" s="2" t="inlineStr">
        <is>
          <t>2026-10-13</t>
        </is>
      </c>
    </row>
    <row r="26" ht="68" customHeight="1">
      <c r="A26" s="2" t="inlineStr">
        <is>
          <t>M025</t>
        </is>
      </c>
      <c r="B26" s="2" t="inlineStr">
        <is>
          <t>Watches</t>
        </is>
      </c>
      <c r="C26" s="2" t="inlineStr">
        <is>
          <t>Swiss exports global</t>
        </is>
      </c>
      <c r="D26" s="2" t="inlineStr">
        <is>
          <t>H1 watchmaking exports</t>
        </is>
      </c>
      <c r="E26" s="3" t="n">
        <v>12800000000</v>
      </c>
      <c r="F26" s="2" t="inlineStr">
        <is>
          <t>CHF</t>
        </is>
      </c>
      <c r="G26" s="2" t="inlineStr">
        <is>
          <t>Reported</t>
        </is>
      </c>
      <c r="H26" s="2" t="inlineStr">
        <is>
          <t>H1 2026</t>
        </is>
      </c>
      <c r="I26" s="2" t="inlineStr">
        <is>
          <t>S13</t>
        </is>
      </c>
      <c r="J26" s="2" t="inlineStr"/>
      <c r="K26" s="4" t="inlineStr">
        <is>
          <t>https://www.fhs.swiss/eng/2026_07_21_statistics.html</t>
        </is>
      </c>
      <c r="L26" s="2" t="inlineStr">
        <is>
          <t>2026-10-13</t>
        </is>
      </c>
    </row>
    <row r="27" ht="68" customHeight="1">
      <c r="A27" s="2" t="inlineStr">
        <is>
          <t>M026</t>
        </is>
      </c>
      <c r="B27" s="2" t="inlineStr">
        <is>
          <t>Watches</t>
        </is>
      </c>
      <c r="C27" s="2" t="inlineStr">
        <is>
          <t>Swiss exports global</t>
        </is>
      </c>
      <c r="D27" s="2" t="inlineStr">
        <is>
          <t>H1 export value growth</t>
        </is>
      </c>
      <c r="E27" s="3" t="n">
        <v>-0.7</v>
      </c>
      <c r="F27" s="2" t="inlineStr">
        <is>
          <t>percent</t>
        </is>
      </c>
      <c r="G27" s="2" t="inlineStr">
        <is>
          <t>Reported</t>
        </is>
      </c>
      <c r="H27" s="2" t="inlineStr">
        <is>
          <t>H1 2026</t>
        </is>
      </c>
      <c r="I27" s="2" t="inlineStr">
        <is>
          <t>S13</t>
        </is>
      </c>
      <c r="J27" s="2" t="inlineStr"/>
      <c r="K27" s="4" t="inlineStr">
        <is>
          <t>https://www.fhs.swiss/eng/2026_07_21_statistics.html</t>
        </is>
      </c>
      <c r="L27" s="2" t="inlineStr">
        <is>
          <t>2026-10-13</t>
        </is>
      </c>
    </row>
    <row r="28" ht="68" customHeight="1">
      <c r="A28" s="2" t="inlineStr">
        <is>
          <t>M027</t>
        </is>
      </c>
      <c r="B28" s="2" t="inlineStr">
        <is>
          <t>Watches</t>
        </is>
      </c>
      <c r="C28" s="2" t="inlineStr">
        <is>
          <t>Swiss exports global</t>
        </is>
      </c>
      <c r="D28" s="2" t="inlineStr">
        <is>
          <t>H1 wristwatch export value</t>
        </is>
      </c>
      <c r="E28" s="3" t="n">
        <v>12200000000</v>
      </c>
      <c r="F28" s="2" t="inlineStr">
        <is>
          <t>CHF</t>
        </is>
      </c>
      <c r="G28" s="2" t="inlineStr">
        <is>
          <t>Reported</t>
        </is>
      </c>
      <c r="H28" s="2" t="inlineStr">
        <is>
          <t>H1 2026</t>
        </is>
      </c>
      <c r="I28" s="2" t="inlineStr">
        <is>
          <t>S13</t>
        </is>
      </c>
      <c r="J28" s="2" t="inlineStr"/>
      <c r="K28" s="4" t="inlineStr">
        <is>
          <t>https://www.fhs.swiss/eng/2026_07_21_statistics.html</t>
        </is>
      </c>
      <c r="L28" s="2" t="inlineStr">
        <is>
          <t>2026-10-13</t>
        </is>
      </c>
    </row>
    <row r="29" ht="68" customHeight="1">
      <c r="A29" s="2" t="inlineStr">
        <is>
          <t>M028</t>
        </is>
      </c>
      <c r="B29" s="2" t="inlineStr">
        <is>
          <t>Watches</t>
        </is>
      </c>
      <c r="C29" s="2" t="inlineStr">
        <is>
          <t>Swiss exports global</t>
        </is>
      </c>
      <c r="D29" s="2" t="inlineStr">
        <is>
          <t>H1 watches exported</t>
        </is>
      </c>
      <c r="E29" s="3" t="n">
        <v>7000000</v>
      </c>
      <c r="F29" s="2" t="inlineStr">
        <is>
          <t>watches</t>
        </is>
      </c>
      <c r="G29" s="2" t="inlineStr">
        <is>
          <t>Over</t>
        </is>
      </c>
      <c r="H29" s="2" t="inlineStr">
        <is>
          <t>H1 2026</t>
        </is>
      </c>
      <c r="I29" s="2" t="inlineStr">
        <is>
          <t>S13</t>
        </is>
      </c>
      <c r="J29" s="2" t="inlineStr"/>
      <c r="K29" s="4" t="inlineStr">
        <is>
          <t>https://www.fhs.swiss/eng/2026_07_21_statistics.html</t>
        </is>
      </c>
      <c r="L29" s="2" t="inlineStr">
        <is>
          <t>2026-10-13</t>
        </is>
      </c>
    </row>
    <row r="30" ht="68" customHeight="1">
      <c r="A30" s="2" t="inlineStr">
        <is>
          <t>M029</t>
        </is>
      </c>
      <c r="B30" s="2" t="inlineStr">
        <is>
          <t>Watches</t>
        </is>
      </c>
      <c r="C30" s="2" t="inlineStr">
        <is>
          <t>Swiss exports global</t>
        </is>
      </c>
      <c r="D30" s="2" t="inlineStr">
        <is>
          <t>H1 watch units growth</t>
        </is>
      </c>
      <c r="E30" s="3" t="n">
        <v>2.3</v>
      </c>
      <c r="F30" s="2" t="inlineStr">
        <is>
          <t>percent</t>
        </is>
      </c>
      <c r="G30" s="2" t="inlineStr">
        <is>
          <t>Reported</t>
        </is>
      </c>
      <c r="H30" s="2" t="inlineStr">
        <is>
          <t>H1 2026</t>
        </is>
      </c>
      <c r="I30" s="2" t="inlineStr">
        <is>
          <t>S13</t>
        </is>
      </c>
      <c r="J30" s="2" t="inlineStr"/>
      <c r="K30" s="4" t="inlineStr">
        <is>
          <t>https://www.fhs.swiss/eng/2026_07_21_statistics.html</t>
        </is>
      </c>
      <c r="L30" s="2" t="inlineStr">
        <is>
          <t>2026-10-13</t>
        </is>
      </c>
    </row>
    <row r="31" ht="68" customHeight="1">
      <c r="A31" s="2" t="inlineStr">
        <is>
          <t>M030</t>
        </is>
      </c>
      <c r="B31" s="2" t="inlineStr">
        <is>
          <t>Watches</t>
        </is>
      </c>
      <c r="C31" s="2" t="inlineStr">
        <is>
          <t>Swiss exports to UK</t>
        </is>
      </c>
      <c r="D31" s="2" t="inlineStr">
        <is>
          <t>H1 export value growth</t>
        </is>
      </c>
      <c r="E31" s="3" t="n">
        <v>5.8</v>
      </c>
      <c r="F31" s="2" t="inlineStr">
        <is>
          <t>percent</t>
        </is>
      </c>
      <c r="G31" s="2" t="inlineStr">
        <is>
          <t>Reported</t>
        </is>
      </c>
      <c r="H31" s="2" t="inlineStr">
        <is>
          <t>H1 2026</t>
        </is>
      </c>
      <c r="I31" s="2" t="inlineStr">
        <is>
          <t>S13</t>
        </is>
      </c>
      <c r="J31" s="2" t="inlineStr"/>
      <c r="K31" s="4" t="inlineStr">
        <is>
          <t>https://www.fhs.swiss/eng/2026_07_21_statistics.html</t>
        </is>
      </c>
      <c r="L31" s="2" t="inlineStr">
        <is>
          <t>2026-10-13</t>
        </is>
      </c>
    </row>
    <row r="32" ht="68" customHeight="1">
      <c r="A32" s="2" t="inlineStr">
        <is>
          <t>M031</t>
        </is>
      </c>
      <c r="B32" s="2" t="inlineStr">
        <is>
          <t>Watches</t>
        </is>
      </c>
      <c r="C32" s="2" t="inlineStr">
        <is>
          <t>Swiss exports to France</t>
        </is>
      </c>
      <c r="D32" s="2" t="inlineStr">
        <is>
          <t>H1 export value growth</t>
        </is>
      </c>
      <c r="E32" s="3" t="n">
        <v>63.4</v>
      </c>
      <c r="F32" s="2" t="inlineStr">
        <is>
          <t>percent</t>
        </is>
      </c>
      <c r="G32" s="2" t="inlineStr">
        <is>
          <t>Reported</t>
        </is>
      </c>
      <c r="H32" s="2" t="inlineStr">
        <is>
          <t>H1 2026</t>
        </is>
      </c>
      <c r="I32" s="2" t="inlineStr">
        <is>
          <t>S13</t>
        </is>
      </c>
      <c r="J32" s="2" t="inlineStr">
        <is>
          <t>Logistics and re-export change; not French consumer growth</t>
        </is>
      </c>
      <c r="K32" s="4" t="inlineStr">
        <is>
          <t>https://www.fhs.swiss/eng/2026_07_21_statistics.html</t>
        </is>
      </c>
      <c r="L32" s="2" t="inlineStr">
        <is>
          <t>2026-10-13</t>
        </is>
      </c>
    </row>
    <row r="33" ht="68" customHeight="1">
      <c r="A33" s="2" t="inlineStr">
        <is>
          <t>M032</t>
        </is>
      </c>
      <c r="B33" s="2" t="inlineStr">
        <is>
          <t>Watches</t>
        </is>
      </c>
      <c r="C33" s="2" t="inlineStr">
        <is>
          <t>Surveyed consumers</t>
        </is>
      </c>
      <c r="D33" s="2" t="inlineStr">
        <is>
          <t>Consumer survey sample</t>
        </is>
      </c>
      <c r="E33" s="3" t="n">
        <v>6500</v>
      </c>
      <c r="F33" s="2" t="inlineStr">
        <is>
          <t>respondents</t>
        </is>
      </c>
      <c r="G33" s="2" t="inlineStr">
        <is>
          <t>Survey count</t>
        </is>
      </c>
      <c r="H33" s="2" t="inlineStr">
        <is>
          <t>Survey June-July 2025</t>
        </is>
      </c>
      <c r="I33" s="2" t="inlineStr">
        <is>
          <t>S14</t>
        </is>
      </c>
      <c r="J33" s="2" t="inlineStr"/>
      <c r="K33" s="4" t="inlineStr">
        <is>
          <t>https://www.deloitte.com/ch/en/about/press-room/swiss-watch-industry-study-2025.html</t>
        </is>
      </c>
      <c r="L33" s="2" t="inlineStr">
        <is>
          <t>2026-10-13</t>
        </is>
      </c>
    </row>
    <row r="34" ht="68" customHeight="1">
      <c r="A34" s="2" t="inlineStr">
        <is>
          <t>M033</t>
        </is>
      </c>
      <c r="B34" s="2" t="inlineStr">
        <is>
          <t>Watches</t>
        </is>
      </c>
      <c r="C34" s="2" t="inlineStr">
        <is>
          <t>Surveyed industry</t>
        </is>
      </c>
      <c r="D34" s="2" t="inlineStr">
        <is>
          <t>Executive survey sample</t>
        </is>
      </c>
      <c r="E34" s="3" t="n">
        <v>111</v>
      </c>
      <c r="F34" s="2" t="inlineStr">
        <is>
          <t>respondents</t>
        </is>
      </c>
      <c r="G34" s="2" t="inlineStr">
        <is>
          <t>Survey count</t>
        </is>
      </c>
      <c r="H34" s="2" t="inlineStr">
        <is>
          <t>Survey June-July 2025</t>
        </is>
      </c>
      <c r="I34" s="2" t="inlineStr">
        <is>
          <t>S14</t>
        </is>
      </c>
      <c r="J34" s="2" t="inlineStr"/>
      <c r="K34" s="4" t="inlineStr">
        <is>
          <t>https://www.deloitte.com/ch/en/about/press-room/swiss-watch-industry-study-2025.html</t>
        </is>
      </c>
      <c r="L34" s="2" t="inlineStr">
        <is>
          <t>2026-10-13</t>
        </is>
      </c>
    </row>
    <row r="35" ht="68" customHeight="1">
      <c r="A35" s="2" t="inlineStr">
        <is>
          <t>M034</t>
        </is>
      </c>
      <c r="B35" s="2" t="inlineStr">
        <is>
          <t>Watches</t>
        </is>
      </c>
      <c r="C35" s="2" t="inlineStr">
        <is>
          <t>Surveyed Gen Z</t>
        </is>
      </c>
      <c r="D35" s="2" t="inlineStr">
        <is>
          <t>Intend to buy pre-owned watch in next 12 months</t>
        </is>
      </c>
      <c r="E35" s="3" t="n">
        <v>40</v>
      </c>
      <c r="F35" s="2" t="inlineStr">
        <is>
          <t>percent</t>
        </is>
      </c>
      <c r="G35" s="2" t="inlineStr">
        <is>
          <t>Survey intention</t>
        </is>
      </c>
      <c r="H35" s="2" t="inlineStr">
        <is>
          <t>Survey June-July 2025</t>
        </is>
      </c>
      <c r="I35" s="2" t="inlineStr">
        <is>
          <t>S14</t>
        </is>
      </c>
      <c r="J35" s="2" t="inlineStr"/>
      <c r="K35" s="4" t="inlineStr">
        <is>
          <t>https://www.deloitte.com/ch/en/about/press-room/swiss-watch-industry-study-2025.html</t>
        </is>
      </c>
      <c r="L35" s="2" t="inlineStr">
        <is>
          <t>2026-10-13</t>
        </is>
      </c>
    </row>
    <row r="36" ht="68" customHeight="1">
      <c r="A36" s="2" t="inlineStr">
        <is>
          <t>M035</t>
        </is>
      </c>
      <c r="B36" s="2" t="inlineStr">
        <is>
          <t>Watches</t>
        </is>
      </c>
      <c r="C36" s="2" t="inlineStr">
        <is>
          <t>Surveyed baby boomers</t>
        </is>
      </c>
      <c r="D36" s="2" t="inlineStr">
        <is>
          <t>Intend to buy pre-owned watch in next 12 months</t>
        </is>
      </c>
      <c r="E36" s="3" t="n">
        <v>20</v>
      </c>
      <c r="F36" s="2" t="inlineStr">
        <is>
          <t>percent</t>
        </is>
      </c>
      <c r="G36" s="2" t="inlineStr">
        <is>
          <t>Survey intention</t>
        </is>
      </c>
      <c r="H36" s="2" t="inlineStr">
        <is>
          <t>Survey June-July 2025</t>
        </is>
      </c>
      <c r="I36" s="2" t="inlineStr">
        <is>
          <t>S14</t>
        </is>
      </c>
      <c r="J36" s="2" t="inlineStr"/>
      <c r="K36" s="4" t="inlineStr">
        <is>
          <t>https://www.deloitte.com/ch/en/about/press-room/swiss-watch-industry-study-2025.html</t>
        </is>
      </c>
      <c r="L36" s="2" t="inlineStr">
        <is>
          <t>2026-10-13</t>
        </is>
      </c>
    </row>
    <row r="37" ht="68" customHeight="1">
      <c r="A37" s="2" t="inlineStr">
        <is>
          <t>M036</t>
        </is>
      </c>
      <c r="B37" s="2" t="inlineStr">
        <is>
          <t>Watches</t>
        </is>
      </c>
      <c r="C37" s="2" t="inlineStr">
        <is>
          <t>Chrono24 global</t>
        </is>
      </c>
      <c r="D37" s="2" t="inlineStr">
        <is>
          <t>Monthly users</t>
        </is>
      </c>
      <c r="E37" s="3" t="n">
        <v>9000000</v>
      </c>
      <c r="F37" s="2" t="inlineStr">
        <is>
          <t>users</t>
        </is>
      </c>
      <c r="G37" s="2" t="inlineStr">
        <is>
          <t>Over</t>
        </is>
      </c>
      <c r="H37" s="2" t="inlineStr">
        <is>
          <t>H1 2025; published October 2025</t>
        </is>
      </c>
      <c r="I37" s="2" t="inlineStr">
        <is>
          <t>S15</t>
        </is>
      </c>
      <c r="J37" s="2" t="inlineStr">
        <is>
          <t>Company-defined monthly audience, not purchasers</t>
        </is>
      </c>
      <c r="K37" s="4" t="inlineStr">
        <is>
          <t>https://about.chrono24.com/en/press/Secondary-Watch-Market-Report-H1-2025</t>
        </is>
      </c>
      <c r="L37" s="2" t="inlineStr">
        <is>
          <t>2026-10-13</t>
        </is>
      </c>
    </row>
    <row r="38" ht="68" customHeight="1">
      <c r="A38" s="2" t="inlineStr">
        <is>
          <t>M037</t>
        </is>
      </c>
      <c r="B38" s="2" t="inlineStr">
        <is>
          <t>Watches</t>
        </is>
      </c>
      <c r="C38" s="2" t="inlineStr">
        <is>
          <t>Chrono24 global</t>
        </is>
      </c>
      <c r="D38" s="2" t="inlineStr">
        <is>
          <t>Listed watches</t>
        </is>
      </c>
      <c r="E38" s="3" t="n">
        <v>560000</v>
      </c>
      <c r="F38" s="2" t="inlineStr">
        <is>
          <t>listings</t>
        </is>
      </c>
      <c r="G38" s="2" t="inlineStr">
        <is>
          <t>Over</t>
        </is>
      </c>
      <c r="H38" s="2" t="inlineStr">
        <is>
          <t>H1 2025; published October 2025</t>
        </is>
      </c>
      <c r="I38" s="2" t="inlineStr">
        <is>
          <t>S15</t>
        </is>
      </c>
      <c r="J38" s="2" t="inlineStr">
        <is>
          <t>Not annual sales</t>
        </is>
      </c>
      <c r="K38" s="4" t="inlineStr">
        <is>
          <t>https://about.chrono24.com/en/press/Secondary-Watch-Market-Report-H1-2025</t>
        </is>
      </c>
      <c r="L38" s="2" t="inlineStr">
        <is>
          <t>2026-10-13</t>
        </is>
      </c>
    </row>
    <row r="39" ht="68" customHeight="1">
      <c r="A39" s="2" t="inlineStr">
        <is>
          <t>M038</t>
        </is>
      </c>
      <c r="B39" s="2" t="inlineStr">
        <is>
          <t>Luxury broader context</t>
        </is>
      </c>
      <c r="C39" s="2" t="inlineStr">
        <is>
          <t>Global</t>
        </is>
      </c>
      <c r="D39" s="2" t="inlineStr">
        <is>
          <t>Personal luxury goods annual market estimate</t>
        </is>
      </c>
      <c r="E39" s="3" t="n">
        <v>358000000000</v>
      </c>
      <c r="F39" s="2" t="inlineStr">
        <is>
          <t>EUR</t>
        </is>
      </c>
      <c r="G39" s="2" t="inlineStr">
        <is>
          <t>November 2025 estimate</t>
        </is>
      </c>
      <c r="H39" s="2" t="inlineStr">
        <is>
          <t>November 2025 estimate for 2025</t>
        </is>
      </c>
      <c r="I39" s="2" t="inlineStr">
        <is>
          <t>S16</t>
        </is>
      </c>
      <c r="J39" s="2" t="inlineStr">
        <is>
          <t>Includes apparel, beauty and other non-Objais categories</t>
        </is>
      </c>
      <c r="K39" s="4" t="inlineStr">
        <is>
          <t>https://altagamma.it/media/source/COMUNICATO%20STAMPA_OSSERVATORIO%20ALTAGAMMA%202025.pdf</t>
        </is>
      </c>
      <c r="L39" s="2" t="inlineStr">
        <is>
          <t>2026-10-13</t>
        </is>
      </c>
    </row>
    <row r="40" ht="68" customHeight="1">
      <c r="A40" s="2" t="inlineStr">
        <is>
          <t>M039</t>
        </is>
      </c>
      <c r="B40" s="2" t="inlineStr">
        <is>
          <t>Luxury broader context</t>
        </is>
      </c>
      <c r="C40" s="2" t="inlineStr">
        <is>
          <t>Global</t>
        </is>
      </c>
      <c r="D40" s="2" t="inlineStr">
        <is>
          <t>Personal luxury market change current FX</t>
        </is>
      </c>
      <c r="E40" s="3" t="n">
        <v>-2</v>
      </c>
      <c r="F40" s="2" t="inlineStr">
        <is>
          <t>percent</t>
        </is>
      </c>
      <c r="G40" s="2" t="inlineStr">
        <is>
          <t>November 2025 estimate</t>
        </is>
      </c>
      <c r="H40" s="2" t="inlineStr">
        <is>
          <t>November 2025 estimate for 2025</t>
        </is>
      </c>
      <c r="I40" s="2" t="inlineStr">
        <is>
          <t>S16</t>
        </is>
      </c>
      <c r="J40" s="2" t="inlineStr"/>
      <c r="K40" s="4" t="inlineStr">
        <is>
          <t>https://altagamma.it/media/source/COMUNICATO%20STAMPA_OSSERVATORIO%20ALTAGAMMA%202025.pdf</t>
        </is>
      </c>
      <c r="L40" s="2" t="inlineStr">
        <is>
          <t>2026-10-13</t>
        </is>
      </c>
    </row>
    <row r="41" ht="68" customHeight="1">
      <c r="A41" s="2" t="inlineStr">
        <is>
          <t>M040</t>
        </is>
      </c>
      <c r="B41" s="2" t="inlineStr">
        <is>
          <t>Luxury jewellery</t>
        </is>
      </c>
      <c r="C41" s="2" t="inlineStr">
        <is>
          <t>Global</t>
        </is>
      </c>
      <c r="D41" s="2" t="inlineStr">
        <is>
          <t>Estimated growth lower bound</t>
        </is>
      </c>
      <c r="E41" s="3" t="n">
        <v>4</v>
      </c>
      <c r="F41" s="2" t="inlineStr">
        <is>
          <t>percent</t>
        </is>
      </c>
      <c r="G41" s="2" t="inlineStr">
        <is>
          <t>November 2025 range</t>
        </is>
      </c>
      <c r="H41" s="2" t="inlineStr">
        <is>
          <t>November 2025 estimate for 2025</t>
        </is>
      </c>
      <c r="I41" s="2" t="inlineStr">
        <is>
          <t>S16</t>
        </is>
      </c>
      <c r="J41" s="2" t="inlineStr">
        <is>
          <t>Forecast/estimate 4-6%, not actual signed revenue</t>
        </is>
      </c>
      <c r="K41" s="4" t="inlineStr">
        <is>
          <t>https://altagamma.it/media/source/COMUNICATO%20STAMPA_OSSERVATORIO%20ALTAGAMMA%202025.pdf</t>
        </is>
      </c>
      <c r="L41" s="2" t="inlineStr">
        <is>
          <t>2026-10-13</t>
        </is>
      </c>
    </row>
    <row r="42" ht="68" customHeight="1">
      <c r="A42" s="2" t="inlineStr">
        <is>
          <t>M041</t>
        </is>
      </c>
      <c r="B42" s="2" t="inlineStr">
        <is>
          <t>Luxury jewellery</t>
        </is>
      </c>
      <c r="C42" s="2" t="inlineStr">
        <is>
          <t>Global</t>
        </is>
      </c>
      <c r="D42" s="2" t="inlineStr">
        <is>
          <t>Estimated growth upper bound</t>
        </is>
      </c>
      <c r="E42" s="3" t="n">
        <v>6</v>
      </c>
      <c r="F42" s="2" t="inlineStr">
        <is>
          <t>percent</t>
        </is>
      </c>
      <c r="G42" s="2" t="inlineStr">
        <is>
          <t>November 2025 range</t>
        </is>
      </c>
      <c r="H42" s="2" t="inlineStr">
        <is>
          <t>November 2025 estimate for 2025</t>
        </is>
      </c>
      <c r="I42" s="2" t="inlineStr">
        <is>
          <t>S16</t>
        </is>
      </c>
      <c r="J42" s="2" t="inlineStr"/>
      <c r="K42" s="4" t="inlineStr">
        <is>
          <t>https://altagamma.it/media/source/COMUNICATO%20STAMPA_OSSERVATORIO%20ALTAGAMMA%202025.pdf</t>
        </is>
      </c>
      <c r="L42" s="2" t="inlineStr">
        <is>
          <t>2026-10-13</t>
        </is>
      </c>
    </row>
    <row r="43" ht="68" customHeight="1">
      <c r="A43" s="2" t="inlineStr">
        <is>
          <t>M042</t>
        </is>
      </c>
      <c r="B43" s="2" t="inlineStr">
        <is>
          <t>Luxury leather and footwear</t>
        </is>
      </c>
      <c r="C43" s="2" t="inlineStr">
        <is>
          <t>Global</t>
        </is>
      </c>
      <c r="D43" s="2" t="inlineStr">
        <is>
          <t>Estimated growth lower bound</t>
        </is>
      </c>
      <c r="E43" s="3" t="n">
        <v>-7</v>
      </c>
      <c r="F43" s="2" t="inlineStr">
        <is>
          <t>percent</t>
        </is>
      </c>
      <c r="G43" s="2" t="inlineStr">
        <is>
          <t>November 2025 range</t>
        </is>
      </c>
      <c r="H43" s="2" t="inlineStr">
        <is>
          <t>November 2025 estimate for 2025</t>
        </is>
      </c>
      <c r="I43" s="2" t="inlineStr">
        <is>
          <t>S16</t>
        </is>
      </c>
      <c r="J43" s="2" t="inlineStr">
        <is>
          <t>Leather AND footwear, not bags only</t>
        </is>
      </c>
      <c r="K43" s="4" t="inlineStr">
        <is>
          <t>https://altagamma.it/media/source/COMUNICATO%20STAMPA_OSSERVATORIO%20ALTAGAMMA%202025.pdf</t>
        </is>
      </c>
      <c r="L43" s="2" t="inlineStr">
        <is>
          <t>2026-10-13</t>
        </is>
      </c>
    </row>
    <row r="44" ht="68" customHeight="1">
      <c r="A44" s="2" t="inlineStr">
        <is>
          <t>M043</t>
        </is>
      </c>
      <c r="B44" s="2" t="inlineStr">
        <is>
          <t>Luxury leather and footwear</t>
        </is>
      </c>
      <c r="C44" s="2" t="inlineStr">
        <is>
          <t>Global</t>
        </is>
      </c>
      <c r="D44" s="2" t="inlineStr">
        <is>
          <t>Estimated growth upper bound</t>
        </is>
      </c>
      <c r="E44" s="3" t="n">
        <v>-5</v>
      </c>
      <c r="F44" s="2" t="inlineStr">
        <is>
          <t>percent</t>
        </is>
      </c>
      <c r="G44" s="2" t="inlineStr">
        <is>
          <t>November 2025 range</t>
        </is>
      </c>
      <c r="H44" s="2" t="inlineStr">
        <is>
          <t>November 2025 estimate for 2025</t>
        </is>
      </c>
      <c r="I44" s="2" t="inlineStr">
        <is>
          <t>S16</t>
        </is>
      </c>
      <c r="J44" s="2" t="inlineStr"/>
      <c r="K44" s="4" t="inlineStr">
        <is>
          <t>https://altagamma.it/media/source/COMUNICATO%20STAMPA_OSSERVATORIO%20ALTAGAMMA%202025.pdf</t>
        </is>
      </c>
      <c r="L44" s="2" t="inlineStr">
        <is>
          <t>2026-10-13</t>
        </is>
      </c>
    </row>
    <row r="45" ht="68" customHeight="1">
      <c r="A45" s="2" t="inlineStr">
        <is>
          <t>M044</t>
        </is>
      </c>
      <c r="B45" s="2" t="inlineStr">
        <is>
          <t>Gold jewellery</t>
        </is>
      </c>
      <c r="C45" s="2" t="inlineStr">
        <is>
          <t>Global</t>
        </is>
      </c>
      <c r="D45" s="2" t="inlineStr">
        <is>
          <t>Annual consumption</t>
        </is>
      </c>
      <c r="E45" s="3" t="n">
        <v>1542.3</v>
      </c>
      <c r="F45" s="2" t="inlineStr">
        <is>
          <t>tonnes</t>
        </is>
      </c>
      <c r="G45" s="2" t="inlineStr">
        <is>
          <t>Estimated</t>
        </is>
      </c>
      <c r="H45" s="2" t="inlineStr">
        <is>
          <t>2025</t>
        </is>
      </c>
      <c r="I45" s="2" t="inlineStr">
        <is>
          <t>S17</t>
        </is>
      </c>
      <c r="J45" s="2" t="inlineStr"/>
      <c r="K45" s="4" t="inlineStr">
        <is>
          <t>https://www.gold.org/goldhub/research/gold-demand-trends/gold-demand-trends-full-year-2025/jewellery</t>
        </is>
      </c>
      <c r="L45" s="2" t="inlineStr">
        <is>
          <t>2026-10-13</t>
        </is>
      </c>
    </row>
    <row r="46" ht="68" customHeight="1">
      <c r="A46" s="2" t="inlineStr">
        <is>
          <t>M045</t>
        </is>
      </c>
      <c r="B46" s="2" t="inlineStr">
        <is>
          <t>Gold jewellery</t>
        </is>
      </c>
      <c r="C46" s="2" t="inlineStr">
        <is>
          <t>Global</t>
        </is>
      </c>
      <c r="D46" s="2" t="inlineStr">
        <is>
          <t>Annual consumption volume growth</t>
        </is>
      </c>
      <c r="E46" s="3" t="n">
        <v>-18</v>
      </c>
      <c r="F46" s="2" t="inlineStr">
        <is>
          <t>percent</t>
        </is>
      </c>
      <c r="G46" s="2" t="inlineStr">
        <is>
          <t>Estimated</t>
        </is>
      </c>
      <c r="H46" s="2" t="inlineStr">
        <is>
          <t>2025</t>
        </is>
      </c>
      <c r="I46" s="2" t="inlineStr">
        <is>
          <t>S17</t>
        </is>
      </c>
      <c r="J46" s="2" t="inlineStr"/>
      <c r="K46" s="4" t="inlineStr">
        <is>
          <t>https://www.gold.org/goldhub/research/gold-demand-trends/gold-demand-trends-full-year-2025/jewellery</t>
        </is>
      </c>
      <c r="L46" s="2" t="inlineStr">
        <is>
          <t>2026-10-13</t>
        </is>
      </c>
    </row>
    <row r="47" ht="68" customHeight="1">
      <c r="A47" s="2" t="inlineStr">
        <is>
          <t>M046</t>
        </is>
      </c>
      <c r="B47" s="2" t="inlineStr">
        <is>
          <t>Gold jewellery</t>
        </is>
      </c>
      <c r="C47" s="2" t="inlineStr">
        <is>
          <t>Global</t>
        </is>
      </c>
      <c r="D47" s="2" t="inlineStr">
        <is>
          <t>Annual demand value</t>
        </is>
      </c>
      <c r="E47" s="3" t="n">
        <v>172000000000</v>
      </c>
      <c r="F47" s="2" t="inlineStr">
        <is>
          <t>USD</t>
        </is>
      </c>
      <c r="G47" s="2" t="inlineStr">
        <is>
          <t>Estimated</t>
        </is>
      </c>
      <c r="H47" s="2" t="inlineStr">
        <is>
          <t>2025</t>
        </is>
      </c>
      <c r="I47" s="2" t="inlineStr">
        <is>
          <t>S17</t>
        </is>
      </c>
      <c r="J47" s="2" t="inlineStr">
        <is>
          <t>Gold-price basis; not all jewellery retail revenue</t>
        </is>
      </c>
      <c r="K47" s="4" t="inlineStr">
        <is>
          <t>https://www.gold.org/goldhub/research/gold-demand-trends/gold-demand-trends-full-year-2025/jewellery</t>
        </is>
      </c>
      <c r="L47" s="2" t="inlineStr">
        <is>
          <t>2026-10-13</t>
        </is>
      </c>
    </row>
    <row r="48" ht="68" customHeight="1">
      <c r="A48" s="2" t="inlineStr">
        <is>
          <t>M047</t>
        </is>
      </c>
      <c r="B48" s="2" t="inlineStr">
        <is>
          <t>Gold jewellery</t>
        </is>
      </c>
      <c r="C48" s="2" t="inlineStr">
        <is>
          <t>Global</t>
        </is>
      </c>
      <c r="D48" s="2" t="inlineStr">
        <is>
          <t>Annual demand value growth</t>
        </is>
      </c>
      <c r="E48" s="3" t="n">
        <v>18</v>
      </c>
      <c r="F48" s="2" t="inlineStr">
        <is>
          <t>percent</t>
        </is>
      </c>
      <c r="G48" s="2" t="inlineStr">
        <is>
          <t>Estimated</t>
        </is>
      </c>
      <c r="H48" s="2" t="inlineStr">
        <is>
          <t>2025</t>
        </is>
      </c>
      <c r="I48" s="2" t="inlineStr">
        <is>
          <t>S17</t>
        </is>
      </c>
      <c r="J48" s="2" t="inlineStr"/>
      <c r="K48" s="4" t="inlineStr">
        <is>
          <t>https://www.gold.org/goldhub/research/gold-demand-trends/gold-demand-trends-full-year-2025/jewellery</t>
        </is>
      </c>
      <c r="L48" s="2" t="inlineStr">
        <is>
          <t>2026-10-13</t>
        </is>
      </c>
    </row>
    <row r="49" ht="68" customHeight="1">
      <c r="A49" s="2" t="inlineStr">
        <is>
          <t>M048</t>
        </is>
      </c>
      <c r="B49" s="2" t="inlineStr">
        <is>
          <t>Gold jewellery</t>
        </is>
      </c>
      <c r="C49" s="2" t="inlineStr">
        <is>
          <t>Global</t>
        </is>
      </c>
      <c r="D49" s="2" t="inlineStr">
        <is>
          <t>Q2 consumption</t>
        </is>
      </c>
      <c r="E49" s="3" t="n">
        <v>278.2</v>
      </c>
      <c r="F49" s="2" t="inlineStr">
        <is>
          <t>tonnes</t>
        </is>
      </c>
      <c r="G49" s="2" t="inlineStr">
        <is>
          <t>Estimated</t>
        </is>
      </c>
      <c r="H49" s="2" t="inlineStr">
        <is>
          <t>Q2 2026</t>
        </is>
      </c>
      <c r="I49" s="2" t="inlineStr">
        <is>
          <t>S18</t>
        </is>
      </c>
      <c r="J49" s="2" t="inlineStr"/>
      <c r="K49" s="4" t="inlineStr">
        <is>
          <t>https://www.gold.org/goldhub/research/gold-demand-trends/gold-demand-trends-q2-2026/jewellery</t>
        </is>
      </c>
      <c r="L49" s="2" t="inlineStr">
        <is>
          <t>2026-10-13</t>
        </is>
      </c>
    </row>
    <row r="50" ht="68" customHeight="1">
      <c r="A50" s="2" t="inlineStr">
        <is>
          <t>M049</t>
        </is>
      </c>
      <c r="B50" s="2" t="inlineStr">
        <is>
          <t>Gold jewellery</t>
        </is>
      </c>
      <c r="C50" s="2" t="inlineStr">
        <is>
          <t>Global</t>
        </is>
      </c>
      <c r="D50" s="2" t="inlineStr">
        <is>
          <t>Q2 consumption growth</t>
        </is>
      </c>
      <c r="E50" s="3" t="n">
        <v>-17</v>
      </c>
      <c r="F50" s="2" t="inlineStr">
        <is>
          <t>percent</t>
        </is>
      </c>
      <c r="G50" s="2" t="inlineStr">
        <is>
          <t>Estimated</t>
        </is>
      </c>
      <c r="H50" s="2" t="inlineStr">
        <is>
          <t>Q2 2026</t>
        </is>
      </c>
      <c r="I50" s="2" t="inlineStr">
        <is>
          <t>S18</t>
        </is>
      </c>
      <c r="J50" s="2" t="inlineStr"/>
      <c r="K50" s="4" t="inlineStr">
        <is>
          <t>https://www.gold.org/goldhub/research/gold-demand-trends/gold-demand-trends-q2-2026/jewellery</t>
        </is>
      </c>
      <c r="L50" s="2" t="inlineStr">
        <is>
          <t>2026-10-13</t>
        </is>
      </c>
    </row>
    <row r="51" ht="68" customHeight="1">
      <c r="A51" s="2" t="inlineStr">
        <is>
          <t>M050</t>
        </is>
      </c>
      <c r="B51" s="2" t="inlineStr">
        <is>
          <t>Gold jewellery</t>
        </is>
      </c>
      <c r="C51" s="2" t="inlineStr">
        <is>
          <t>Global</t>
        </is>
      </c>
      <c r="D51" s="2" t="inlineStr">
        <is>
          <t>H1 demand value</t>
        </is>
      </c>
      <c r="E51" s="3" t="n">
        <v>86000000000</v>
      </c>
      <c r="F51" s="2" t="inlineStr">
        <is>
          <t>USD</t>
        </is>
      </c>
      <c r="G51" s="2" t="inlineStr">
        <is>
          <t>Estimated</t>
        </is>
      </c>
      <c r="H51" s="2" t="inlineStr">
        <is>
          <t>H1 2026</t>
        </is>
      </c>
      <c r="I51" s="2" t="inlineStr">
        <is>
          <t>S18</t>
        </is>
      </c>
      <c r="J51" s="2" t="inlineStr"/>
      <c r="K51" s="4" t="inlineStr">
        <is>
          <t>https://www.gold.org/goldhub/research/gold-demand-trends/gold-demand-trends-q2-2026/jewellery</t>
        </is>
      </c>
      <c r="L51" s="2" t="inlineStr">
        <is>
          <t>2026-10-13</t>
        </is>
      </c>
    </row>
    <row r="52" ht="68" customHeight="1">
      <c r="A52" s="2" t="inlineStr">
        <is>
          <t>M051</t>
        </is>
      </c>
      <c r="B52" s="2" t="inlineStr">
        <is>
          <t>Gold jewellery</t>
        </is>
      </c>
      <c r="C52" s="2" t="inlineStr">
        <is>
          <t>Global</t>
        </is>
      </c>
      <c r="D52" s="2" t="inlineStr">
        <is>
          <t>H1 demand value growth</t>
        </is>
      </c>
      <c r="E52" s="3" t="n">
        <v>22</v>
      </c>
      <c r="F52" s="2" t="inlineStr">
        <is>
          <t>percent</t>
        </is>
      </c>
      <c r="G52" s="2" t="inlineStr">
        <is>
          <t>Estimated</t>
        </is>
      </c>
      <c r="H52" s="2" t="inlineStr">
        <is>
          <t>H1 2026</t>
        </is>
      </c>
      <c r="I52" s="2" t="inlineStr">
        <is>
          <t>S18</t>
        </is>
      </c>
      <c r="J52" s="2" t="inlineStr"/>
      <c r="K52" s="4" t="inlineStr">
        <is>
          <t>https://www.gold.org/goldhub/research/gold-demand-trends/gold-demand-trends-q2-2026/jewellery</t>
        </is>
      </c>
      <c r="L52" s="2" t="inlineStr">
        <is>
          <t>2026-10-13</t>
        </is>
      </c>
    </row>
    <row r="53" ht="68" customHeight="1">
      <c r="A53" s="2" t="inlineStr">
        <is>
          <t>M052</t>
        </is>
      </c>
      <c r="B53" s="2" t="inlineStr">
        <is>
          <t>Jewellery and watches</t>
        </is>
      </c>
      <c r="C53" s="2" t="inlineStr">
        <is>
          <t>Richemont global</t>
        </is>
      </c>
      <c r="D53" s="2" t="inlineStr">
        <is>
          <t>Jewellery Maisons sales</t>
        </is>
      </c>
      <c r="E53" s="3" t="n">
        <v>16539000000</v>
      </c>
      <c r="F53" s="2" t="inlineStr">
        <is>
          <t>EUR</t>
        </is>
      </c>
      <c r="G53" s="2" t="inlineStr">
        <is>
          <t>Reported</t>
        </is>
      </c>
      <c r="H53" s="2" t="inlineStr">
        <is>
          <t>FY ended March 31 2026</t>
        </is>
      </c>
      <c r="I53" s="2" t="inlineStr">
        <is>
          <t>S19</t>
        </is>
      </c>
      <c r="J53" s="2" t="inlineStr">
        <is>
          <t>Includes watches sold by jewellery maisons</t>
        </is>
      </c>
      <c r="K53" s="4" t="inlineStr">
        <is>
          <t>https://www.richemont.com/news-media/press-releases-news/richemont-delivers-strong-sales-growth-and-solid-results-for-the-year-ended-31-march-2026/</t>
        </is>
      </c>
      <c r="L53" s="2" t="inlineStr">
        <is>
          <t>2026-10-13</t>
        </is>
      </c>
    </row>
    <row r="54" ht="68" customHeight="1">
      <c r="A54" s="2" t="inlineStr">
        <is>
          <t>M053</t>
        </is>
      </c>
      <c r="B54" s="2" t="inlineStr">
        <is>
          <t>Jewellery and watches</t>
        </is>
      </c>
      <c r="C54" s="2" t="inlineStr">
        <is>
          <t>Richemont global</t>
        </is>
      </c>
      <c r="D54" s="2" t="inlineStr">
        <is>
          <t>Jewellery Maisons sales growth actual FX</t>
        </is>
      </c>
      <c r="E54" s="3" t="n">
        <v>8</v>
      </c>
      <c r="F54" s="2" t="inlineStr">
        <is>
          <t>percent</t>
        </is>
      </c>
      <c r="G54" s="2" t="inlineStr">
        <is>
          <t>Reported</t>
        </is>
      </c>
      <c r="H54" s="2" t="inlineStr">
        <is>
          <t>FY ended March 31 2026</t>
        </is>
      </c>
      <c r="I54" s="2" t="inlineStr">
        <is>
          <t>S19</t>
        </is>
      </c>
      <c r="J54" s="2" t="inlineStr"/>
      <c r="K54" s="4" t="inlineStr">
        <is>
          <t>https://www.richemont.com/news-media/press-releases-news/richemont-delivers-strong-sales-growth-and-solid-results-for-the-year-ended-31-march-2026/</t>
        </is>
      </c>
      <c r="L54" s="2" t="inlineStr">
        <is>
          <t>2026-10-13</t>
        </is>
      </c>
    </row>
    <row r="55" ht="68" customHeight="1">
      <c r="A55" s="2" t="inlineStr">
        <is>
          <t>M054</t>
        </is>
      </c>
      <c r="B55" s="2" t="inlineStr">
        <is>
          <t>Watches</t>
        </is>
      </c>
      <c r="C55" s="2" t="inlineStr">
        <is>
          <t>Richemont global</t>
        </is>
      </c>
      <c r="D55" s="2" t="inlineStr">
        <is>
          <t>Specialist Watchmakers sales</t>
        </is>
      </c>
      <c r="E55" s="3" t="n">
        <v>3149000000</v>
      </c>
      <c r="F55" s="2" t="inlineStr">
        <is>
          <t>EUR</t>
        </is>
      </c>
      <c r="G55" s="2" t="inlineStr">
        <is>
          <t>Reported</t>
        </is>
      </c>
      <c r="H55" s="2" t="inlineStr">
        <is>
          <t>FY ended March 31 2026</t>
        </is>
      </c>
      <c r="I55" s="2" t="inlineStr">
        <is>
          <t>S19</t>
        </is>
      </c>
      <c r="J55" s="2" t="inlineStr"/>
      <c r="K55" s="4" t="inlineStr">
        <is>
          <t>https://www.richemont.com/news-media/press-releases-news/richemont-delivers-strong-sales-growth-and-solid-results-for-the-year-ended-31-march-2026/</t>
        </is>
      </c>
      <c r="L55" s="2" t="inlineStr">
        <is>
          <t>2026-10-13</t>
        </is>
      </c>
    </row>
    <row r="56" ht="68" customHeight="1">
      <c r="A56" s="2" t="inlineStr">
        <is>
          <t>M055</t>
        </is>
      </c>
      <c r="B56" s="2" t="inlineStr">
        <is>
          <t>Watches</t>
        </is>
      </c>
      <c r="C56" s="2" t="inlineStr">
        <is>
          <t>Richemont global</t>
        </is>
      </c>
      <c r="D56" s="2" t="inlineStr">
        <is>
          <t>Specialist Watchmakers growth actual FX</t>
        </is>
      </c>
      <c r="E56" s="3" t="n">
        <v>-4</v>
      </c>
      <c r="F56" s="2" t="inlineStr">
        <is>
          <t>percent</t>
        </is>
      </c>
      <c r="G56" s="2" t="inlineStr">
        <is>
          <t>Reported</t>
        </is>
      </c>
      <c r="H56" s="2" t="inlineStr">
        <is>
          <t>FY ended March 31 2026</t>
        </is>
      </c>
      <c r="I56" s="2" t="inlineStr">
        <is>
          <t>S19</t>
        </is>
      </c>
      <c r="J56" s="2" t="inlineStr"/>
      <c r="K56" s="4" t="inlineStr">
        <is>
          <t>https://www.richemont.com/news-media/press-releases-news/richemont-delivers-strong-sales-growth-and-solid-results-for-the-year-ended-31-march-2026/</t>
        </is>
      </c>
      <c r="L56" s="2" t="inlineStr">
        <is>
          <t>2026-10-13</t>
        </is>
      </c>
    </row>
    <row r="57" ht="68" customHeight="1">
      <c r="A57" s="2" t="inlineStr">
        <is>
          <t>M056</t>
        </is>
      </c>
      <c r="B57" s="2" t="inlineStr">
        <is>
          <t>Leather goods and saddlery</t>
        </is>
      </c>
      <c r="C57" s="2" t="inlineStr">
        <is>
          <t>Hermes global</t>
        </is>
      </c>
      <c r="D57" s="2" t="inlineStr">
        <is>
          <t>Segment sales</t>
        </is>
      </c>
      <c r="E57" s="3" t="n">
        <v>7070000000</v>
      </c>
      <c r="F57" s="2" t="inlineStr">
        <is>
          <t>EUR</t>
        </is>
      </c>
      <c r="G57" s="2" t="inlineStr">
        <is>
          <t>Reported</t>
        </is>
      </c>
      <c r="H57" s="2" t="inlineStr">
        <is>
          <t>2025</t>
        </is>
      </c>
      <c r="I57" s="2" t="inlineStr">
        <is>
          <t>S20</t>
        </is>
      </c>
      <c r="J57" s="2" t="inlineStr">
        <is>
          <t>Includes bags, small goods and equestrian products; PDF p7</t>
        </is>
      </c>
      <c r="K57" s="4" t="inlineStr">
        <is>
          <t>https://assets-finance.hermes.com/s3fs-public/node/pdf_file/2026-02/1770842738/hermes_20260212_pr_2025fullyearresults_va.pdf?VersionId=b_gXeCpcnuB3ftYcPgTb8IVxf8wfnw0k</t>
        </is>
      </c>
      <c r="L57" s="2" t="inlineStr">
        <is>
          <t>2026-10-13</t>
        </is>
      </c>
    </row>
    <row r="58" ht="68" customHeight="1">
      <c r="A58" s="2" t="inlineStr">
        <is>
          <t>M057</t>
        </is>
      </c>
      <c r="B58" s="2" t="inlineStr">
        <is>
          <t>Leather goods and saddlery</t>
        </is>
      </c>
      <c r="C58" s="2" t="inlineStr">
        <is>
          <t>Hermes global</t>
        </is>
      </c>
      <c r="D58" s="2" t="inlineStr">
        <is>
          <t>Sales growth actual FX</t>
        </is>
      </c>
      <c r="E58" s="3" t="n">
        <v>9.5</v>
      </c>
      <c r="F58" s="2" t="inlineStr">
        <is>
          <t>percent</t>
        </is>
      </c>
      <c r="G58" s="2" t="inlineStr">
        <is>
          <t>Reported</t>
        </is>
      </c>
      <c r="H58" s="2" t="inlineStr">
        <is>
          <t>2025</t>
        </is>
      </c>
      <c r="I58" s="2" t="inlineStr">
        <is>
          <t>S20</t>
        </is>
      </c>
      <c r="J58" s="2" t="inlineStr"/>
      <c r="K58" s="4" t="inlineStr">
        <is>
          <t>https://assets-finance.hermes.com/s3fs-public/node/pdf_file/2026-02/1770842738/hermes_20260212_pr_2025fullyearresults_va.pdf?VersionId=b_gXeCpcnuB3ftYcPgTb8IVxf8wfnw0k</t>
        </is>
      </c>
      <c r="L58" s="2" t="inlineStr">
        <is>
          <t>2026-10-13</t>
        </is>
      </c>
    </row>
    <row r="59" ht="68" customHeight="1">
      <c r="A59" s="2" t="inlineStr">
        <is>
          <t>M058</t>
        </is>
      </c>
      <c r="B59" s="2" t="inlineStr">
        <is>
          <t>Leather goods and saddlery</t>
        </is>
      </c>
      <c r="C59" s="2" t="inlineStr">
        <is>
          <t>Hermes global</t>
        </is>
      </c>
      <c r="D59" s="2" t="inlineStr">
        <is>
          <t>Sales growth constant FX</t>
        </is>
      </c>
      <c r="E59" s="3" t="n">
        <v>13.1</v>
      </c>
      <c r="F59" s="2" t="inlineStr">
        <is>
          <t>percent</t>
        </is>
      </c>
      <c r="G59" s="2" t="inlineStr">
        <is>
          <t>Reported</t>
        </is>
      </c>
      <c r="H59" s="2" t="inlineStr">
        <is>
          <t>2025</t>
        </is>
      </c>
      <c r="I59" s="2" t="inlineStr">
        <is>
          <t>S20</t>
        </is>
      </c>
      <c r="J59" s="2" t="inlineStr"/>
      <c r="K59" s="4" t="inlineStr">
        <is>
          <t>https://assets-finance.hermes.com/s3fs-public/node/pdf_file/2026-02/1770842738/hermes_20260212_pr_2025fullyearresults_va.pdf?VersionId=b_gXeCpcnuB3ftYcPgTb8IVxf8wfnw0k</t>
        </is>
      </c>
      <c r="L59" s="2" t="inlineStr">
        <is>
          <t>2026-10-13</t>
        </is>
      </c>
    </row>
    <row r="60" ht="68" customHeight="1">
      <c r="A60" s="2" t="inlineStr">
        <is>
          <t>M059</t>
        </is>
      </c>
      <c r="B60" s="2" t="inlineStr">
        <is>
          <t>Watches</t>
        </is>
      </c>
      <c r="C60" s="2" t="inlineStr">
        <is>
          <t>Hermes global</t>
        </is>
      </c>
      <c r="D60" s="2" t="inlineStr">
        <is>
          <t>Watch segment sales</t>
        </is>
      </c>
      <c r="E60" s="3" t="n">
        <v>549000000</v>
      </c>
      <c r="F60" s="2" t="inlineStr">
        <is>
          <t>EUR</t>
        </is>
      </c>
      <c r="G60" s="2" t="inlineStr">
        <is>
          <t>Reported</t>
        </is>
      </c>
      <c r="H60" s="2" t="inlineStr">
        <is>
          <t>2025</t>
        </is>
      </c>
      <c r="I60" s="2" t="inlineStr">
        <is>
          <t>S20</t>
        </is>
      </c>
      <c r="J60" s="2" t="inlineStr"/>
      <c r="K60" s="4" t="inlineStr">
        <is>
          <t>https://assets-finance.hermes.com/s3fs-public/node/pdf_file/2026-02/1770842738/hermes_20260212_pr_2025fullyearresults_va.pdf?VersionId=b_gXeCpcnuB3ftYcPgTb8IVxf8wfnw0k</t>
        </is>
      </c>
      <c r="L60" s="2" t="inlineStr">
        <is>
          <t>2026-10-13</t>
        </is>
      </c>
    </row>
    <row r="61" ht="68" customHeight="1">
      <c r="A61" s="2" t="inlineStr">
        <is>
          <t>M060</t>
        </is>
      </c>
      <c r="B61" s="2" t="inlineStr">
        <is>
          <t>Supercars</t>
        </is>
      </c>
      <c r="C61" s="2" t="inlineStr">
        <is>
          <t>Ferrari global</t>
        </is>
      </c>
      <c r="D61" s="2" t="inlineStr">
        <is>
          <t>Annual shipments</t>
        </is>
      </c>
      <c r="E61" s="3" t="n">
        <v>13640</v>
      </c>
      <c r="F61" s="2" t="inlineStr">
        <is>
          <t>vehicles</t>
        </is>
      </c>
      <c r="G61" s="2" t="inlineStr">
        <is>
          <t>Official indexed excerpt</t>
        </is>
      </c>
      <c r="H61" s="2" t="inlineStr">
        <is>
          <t>2025</t>
        </is>
      </c>
      <c r="I61" s="2" t="inlineStr">
        <is>
          <t>S21</t>
        </is>
      </c>
      <c r="J61" s="2" t="inlineStr"/>
      <c r="K61" s="4" t="inlineStr">
        <is>
          <t>https://cdn.ferrari.com/cms/network/media/pdf/2026_02_10%20-%20Ferrari%20FY%202025%20Results%20Press%20Release.pdf</t>
        </is>
      </c>
      <c r="L61" s="2" t="inlineStr">
        <is>
          <t>2026-10-13</t>
        </is>
      </c>
    </row>
    <row r="62" ht="68" customHeight="1">
      <c r="A62" s="2" t="inlineStr">
        <is>
          <t>M061</t>
        </is>
      </c>
      <c r="B62" s="2" t="inlineStr">
        <is>
          <t>Recreational boating</t>
        </is>
      </c>
      <c r="C62" s="2" t="inlineStr">
        <is>
          <t>European waters</t>
        </is>
      </c>
      <c r="D62" s="2" t="inlineStr">
        <is>
          <t>Installed boats</t>
        </is>
      </c>
      <c r="E62" s="3" t="n">
        <v>6000000</v>
      </c>
      <c r="F62" s="2" t="inlineStr">
        <is>
          <t>boats</t>
        </is>
      </c>
      <c r="G62" s="2" t="inlineStr">
        <is>
          <t>At least</t>
        </is>
      </c>
      <c r="H62" s="2" t="inlineStr">
        <is>
          <t>Undated current industry overview</t>
        </is>
      </c>
      <c r="I62" s="2" t="inlineStr">
        <is>
          <t>S22</t>
        </is>
      </c>
      <c r="J62" s="2" t="inlineStr">
        <is>
          <t>Stock, not annual sales; undated current estimate</t>
        </is>
      </c>
      <c r="K62" s="4" t="inlineStr">
        <is>
          <t>https://europeanboatingindustry.eu/about-us/about-ebi</t>
        </is>
      </c>
      <c r="L62" s="2" t="inlineStr">
        <is>
          <t>2026-10-13</t>
        </is>
      </c>
    </row>
    <row r="63" ht="68" customHeight="1">
      <c r="A63" s="2" t="inlineStr">
        <is>
          <t>M062</t>
        </is>
      </c>
      <c r="B63" s="2" t="inlineStr">
        <is>
          <t>Recreational boating</t>
        </is>
      </c>
      <c r="C63" s="2" t="inlineStr">
        <is>
          <t>Europe</t>
        </is>
      </c>
      <c r="D63" s="2" t="inlineStr">
        <is>
          <t>Regular boaters</t>
        </is>
      </c>
      <c r="E63" s="3" t="n">
        <v>36000000</v>
      </c>
      <c r="F63" s="2" t="inlineStr">
        <is>
          <t>people</t>
        </is>
      </c>
      <c r="G63" s="2" t="inlineStr">
        <is>
          <t>Association estimate</t>
        </is>
      </c>
      <c r="H63" s="2" t="inlineStr">
        <is>
          <t>Undated current industry overview</t>
        </is>
      </c>
      <c r="I63" s="2" t="inlineStr">
        <is>
          <t>S22</t>
        </is>
      </c>
      <c r="J63" s="2" t="inlineStr">
        <is>
          <t>Not unique vessel owners</t>
        </is>
      </c>
      <c r="K63" s="4" t="inlineStr">
        <is>
          <t>https://europeanboatingindustry.eu/about-us/about-ebi</t>
        </is>
      </c>
      <c r="L63" s="2" t="inlineStr">
        <is>
          <t>2026-10-13</t>
        </is>
      </c>
    </row>
    <row r="64" ht="68" customHeight="1">
      <c r="A64" s="2" t="inlineStr">
        <is>
          <t>M063</t>
        </is>
      </c>
      <c r="B64" s="2" t="inlineStr">
        <is>
          <t>Recreational boating</t>
        </is>
      </c>
      <c r="C64" s="2" t="inlineStr">
        <is>
          <t>Europe</t>
        </is>
      </c>
      <c r="D64" s="2" t="inlineStr">
        <is>
          <t>Inland and coastal marinas</t>
        </is>
      </c>
      <c r="E64" s="3" t="n">
        <v>10000</v>
      </c>
      <c r="F64" s="2" t="inlineStr">
        <is>
          <t>marinas</t>
        </is>
      </c>
      <c r="G64" s="2" t="inlineStr">
        <is>
          <t>Over</t>
        </is>
      </c>
      <c r="H64" s="2" t="inlineStr">
        <is>
          <t>Undated current industry overview</t>
        </is>
      </c>
      <c r="I64" s="2" t="inlineStr">
        <is>
          <t>S22</t>
        </is>
      </c>
      <c r="J64" s="2" t="inlineStr"/>
      <c r="K64" s="4" t="inlineStr">
        <is>
          <t>https://europeanboatingindustry.eu/about-us/about-ebi</t>
        </is>
      </c>
      <c r="L64" s="2" t="inlineStr">
        <is>
          <t>2026-10-13</t>
        </is>
      </c>
    </row>
    <row r="65" ht="68" customHeight="1">
      <c r="A65" s="2" t="inlineStr">
        <is>
          <t>M064</t>
        </is>
      </c>
      <c r="B65" s="2" t="inlineStr">
        <is>
          <t>Recreational boating</t>
        </is>
      </c>
      <c r="C65" s="2" t="inlineStr">
        <is>
          <t>US</t>
        </is>
      </c>
      <c r="D65" s="2" t="inlineStr">
        <is>
          <t>New boat retail units</t>
        </is>
      </c>
      <c r="E65" s="3" t="n">
        <v>215237</v>
      </c>
      <c r="F65" s="2" t="inlineStr">
        <is>
          <t>boats</t>
        </is>
      </c>
      <c r="G65" s="2" t="inlineStr">
        <is>
          <t>Reported</t>
        </is>
      </c>
      <c r="H65" s="2" t="inlineStr">
        <is>
          <t>2025; published March 2026</t>
        </is>
      </c>
      <c r="I65" s="2" t="inlineStr">
        <is>
          <t>S23</t>
        </is>
      </c>
      <c r="J65" s="2" t="inlineStr"/>
      <c r="K65" s="4" t="inlineStr">
        <is>
          <t>https://www.nmma.org/press/article/25432</t>
        </is>
      </c>
      <c r="L65" s="2" t="inlineStr">
        <is>
          <t>2026-10-13</t>
        </is>
      </c>
    </row>
    <row r="66" ht="68" customHeight="1">
      <c r="A66" s="2" t="inlineStr">
        <is>
          <t>M065</t>
        </is>
      </c>
      <c r="B66" s="2" t="inlineStr">
        <is>
          <t>Recreational boating</t>
        </is>
      </c>
      <c r="C66" s="2" t="inlineStr">
        <is>
          <t>US</t>
        </is>
      </c>
      <c r="D66" s="2" t="inlineStr">
        <is>
          <t>New boat unit growth</t>
        </is>
      </c>
      <c r="E66" s="3" t="n">
        <v>-8.800000000000001</v>
      </c>
      <c r="F66" s="2" t="inlineStr">
        <is>
          <t>percent</t>
        </is>
      </c>
      <c r="G66" s="2" t="inlineStr">
        <is>
          <t>Reported</t>
        </is>
      </c>
      <c r="H66" s="2" t="inlineStr">
        <is>
          <t>2025; published March 2026</t>
        </is>
      </c>
      <c r="I66" s="2" t="inlineStr">
        <is>
          <t>S23</t>
        </is>
      </c>
      <c r="J66" s="2" t="inlineStr"/>
      <c r="K66" s="4" t="inlineStr">
        <is>
          <t>https://www.nmma.org/press/article/25432</t>
        </is>
      </c>
      <c r="L66" s="2" t="inlineStr">
        <is>
          <t>2026-10-13</t>
        </is>
      </c>
    </row>
    <row r="67" ht="68" customHeight="1">
      <c r="A67" s="2" t="inlineStr">
        <is>
          <t>M066</t>
        </is>
      </c>
      <c r="B67" s="2" t="inlineStr">
        <is>
          <t>Yachts</t>
        </is>
      </c>
      <c r="C67" s="2" t="inlineStr">
        <is>
          <t>Sanlorenzo global</t>
        </is>
      </c>
      <c r="D67" s="2" t="inlineStr">
        <is>
          <t>New yacht net revenues</t>
        </is>
      </c>
      <c r="E67" s="3" t="n">
        <v>960400000</v>
      </c>
      <c r="F67" s="2" t="inlineStr">
        <is>
          <t>EUR</t>
        </is>
      </c>
      <c r="G67" s="2" t="inlineStr">
        <is>
          <t>Rounded</t>
        </is>
      </c>
      <c r="H67" s="2" t="inlineStr">
        <is>
          <t>2025</t>
        </is>
      </c>
      <c r="I67" s="2" t="inlineStr">
        <is>
          <t>S24</t>
        </is>
      </c>
      <c r="J67" s="2" t="inlineStr">
        <is>
          <t>One company; cannot imply yacht industry total</t>
        </is>
      </c>
      <c r="K67" s="4" t="inlineStr">
        <is>
          <t>https://www.sanlorenzoyacht.com/en/investors</t>
        </is>
      </c>
      <c r="L67" s="2" t="inlineStr">
        <is>
          <t>2026-10-13</t>
        </is>
      </c>
    </row>
    <row r="68" ht="68" customHeight="1">
      <c r="A68" s="2" t="inlineStr">
        <is>
          <t>M067</t>
        </is>
      </c>
      <c r="B68" s="2" t="inlineStr">
        <is>
          <t>Passenger cars</t>
        </is>
      </c>
      <c r="C68" s="2" t="inlineStr">
        <is>
          <t>Global</t>
        </is>
      </c>
      <c r="D68" s="2" t="inlineStr">
        <is>
          <t>Annual new car registrations</t>
        </is>
      </c>
      <c r="E68" s="3" t="n">
        <v>77600000</v>
      </c>
      <c r="F68" s="2" t="inlineStr">
        <is>
          <t>cars</t>
        </is>
      </c>
      <c r="G68" s="2" t="inlineStr">
        <is>
          <t>Rounded</t>
        </is>
      </c>
      <c r="H68" s="2" t="inlineStr">
        <is>
          <t>2025</t>
        </is>
      </c>
      <c r="I68" s="2" t="inlineStr">
        <is>
          <t>S25</t>
        </is>
      </c>
      <c r="J68" s="2" t="inlineStr"/>
      <c r="K68" s="4" t="inlineStr">
        <is>
          <t>https://www.acea.auto/publication/economic-and-market-report-global-and-eu-auto-industry-full-year-2025/</t>
        </is>
      </c>
      <c r="L68" s="2" t="inlineStr">
        <is>
          <t>2026-10-13</t>
        </is>
      </c>
    </row>
    <row r="69" ht="68" customHeight="1">
      <c r="A69" s="2" t="inlineStr">
        <is>
          <t>M068</t>
        </is>
      </c>
      <c r="B69" s="2" t="inlineStr">
        <is>
          <t>Passenger cars</t>
        </is>
      </c>
      <c r="C69" s="2" t="inlineStr">
        <is>
          <t>Global</t>
        </is>
      </c>
      <c r="D69" s="2" t="inlineStr">
        <is>
          <t>New registration growth</t>
        </is>
      </c>
      <c r="E69" s="3" t="n">
        <v>3.5</v>
      </c>
      <c r="F69" s="2" t="inlineStr">
        <is>
          <t>percent</t>
        </is>
      </c>
      <c r="G69" s="2" t="inlineStr">
        <is>
          <t>Reported</t>
        </is>
      </c>
      <c r="H69" s="2" t="inlineStr">
        <is>
          <t>2025</t>
        </is>
      </c>
      <c r="I69" s="2" t="inlineStr">
        <is>
          <t>S25</t>
        </is>
      </c>
      <c r="J69" s="2" t="inlineStr"/>
      <c r="K69" s="4" t="inlineStr">
        <is>
          <t>https://www.acea.auto/publication/economic-and-market-report-global-and-eu-auto-industry-full-year-2025/</t>
        </is>
      </c>
      <c r="L69" s="2" t="inlineStr">
        <is>
          <t>2026-10-13</t>
        </is>
      </c>
    </row>
    <row r="70" ht="68" customHeight="1">
      <c r="A70" s="2" t="inlineStr">
        <is>
          <t>M069</t>
        </is>
      </c>
      <c r="B70" s="2" t="inlineStr">
        <is>
          <t>Passenger cars</t>
        </is>
      </c>
      <c r="C70" s="2" t="inlineStr">
        <is>
          <t>Europe</t>
        </is>
      </c>
      <c r="D70" s="2" t="inlineStr">
        <is>
          <t>New registration growth</t>
        </is>
      </c>
      <c r="E70" s="3" t="n">
        <v>1.4</v>
      </c>
      <c r="F70" s="2" t="inlineStr">
        <is>
          <t>percent</t>
        </is>
      </c>
      <c r="G70" s="2" t="inlineStr">
        <is>
          <t>Reported</t>
        </is>
      </c>
      <c r="H70" s="2" t="inlineStr">
        <is>
          <t>2025</t>
        </is>
      </c>
      <c r="I70" s="2" t="inlineStr">
        <is>
          <t>S25</t>
        </is>
      </c>
      <c r="J70" s="2" t="inlineStr"/>
      <c r="K70" s="4" t="inlineStr">
        <is>
          <t>https://www.acea.auto/publication/economic-and-market-report-global-and-eu-auto-industry-full-year-2025/</t>
        </is>
      </c>
      <c r="L70" s="2" t="inlineStr">
        <is>
          <t>2026-10-13</t>
        </is>
      </c>
    </row>
    <row r="71" ht="68" customHeight="1">
      <c r="A71" s="2" t="inlineStr">
        <is>
          <t>M070</t>
        </is>
      </c>
      <c r="B71" s="2" t="inlineStr">
        <is>
          <t>Motor insurance</t>
        </is>
      </c>
      <c r="C71" s="2" t="inlineStr">
        <is>
          <t>Brazil</t>
        </is>
      </c>
      <c r="D71" s="2" t="inlineStr">
        <is>
          <t>Premiums H1</t>
        </is>
      </c>
      <c r="E71" s="3" t="n">
        <v>30730000000</v>
      </c>
      <c r="F71" s="2" t="inlineStr">
        <is>
          <t>BRL</t>
        </is>
      </c>
      <c r="G71" s="2" t="inlineStr">
        <is>
          <t>Reported</t>
        </is>
      </c>
      <c r="H71" s="2" t="inlineStr">
        <is>
          <t>H1 2026</t>
        </is>
      </c>
      <c r="I71" s="2" t="inlineStr">
        <is>
          <t>S26</t>
        </is>
      </c>
      <c r="J71" s="2" t="inlineStr"/>
      <c r="K71" s="4" t="inlineStr">
        <is>
          <t>https://www.gov.br/susep/pt-br/central-de-conteudos/noticias/2026/agosto/setor-supervisionado-pela-susep-registra-r-207-12-bilhoes-em-receitas-no-primeiro-semestre</t>
        </is>
      </c>
      <c r="L71" s="2" t="inlineStr">
        <is>
          <t>2026-10-13</t>
        </is>
      </c>
    </row>
    <row r="72" ht="68" customHeight="1">
      <c r="A72" s="2" t="inlineStr">
        <is>
          <t>M071</t>
        </is>
      </c>
      <c r="B72" s="2" t="inlineStr">
        <is>
          <t>Motor insurance</t>
        </is>
      </c>
      <c r="C72" s="2" t="inlineStr">
        <is>
          <t>Brazil</t>
        </is>
      </c>
      <c r="D72" s="2" t="inlineStr">
        <is>
          <t>Premium growth nominal</t>
        </is>
      </c>
      <c r="E72" s="3" t="n">
        <v>6.29</v>
      </c>
      <c r="F72" s="2" t="inlineStr">
        <is>
          <t>percent</t>
        </is>
      </c>
      <c r="G72" s="2" t="inlineStr">
        <is>
          <t>Reported</t>
        </is>
      </c>
      <c r="H72" s="2" t="inlineStr">
        <is>
          <t>H1 2026</t>
        </is>
      </c>
      <c r="I72" s="2" t="inlineStr">
        <is>
          <t>S26</t>
        </is>
      </c>
      <c r="J72" s="2" t="inlineStr"/>
      <c r="K72" s="4" t="inlineStr">
        <is>
          <t>https://www.gov.br/susep/pt-br/central-de-conteudos/noticias/2026/agosto/setor-supervisionado-pela-susep-registra-r-207-12-bilhoes-em-receitas-no-primeiro-semestre</t>
        </is>
      </c>
      <c r="L72" s="2" t="inlineStr">
        <is>
          <t>2026-10-13</t>
        </is>
      </c>
    </row>
    <row r="73" ht="68" customHeight="1">
      <c r="A73" s="2" t="inlineStr">
        <is>
          <t>M072</t>
        </is>
      </c>
      <c r="B73" s="2" t="inlineStr">
        <is>
          <t>Motor insurance</t>
        </is>
      </c>
      <c r="C73" s="2" t="inlineStr">
        <is>
          <t>Brazil</t>
        </is>
      </c>
      <c r="D73" s="2" t="inlineStr">
        <is>
          <t>Premium growth real</t>
        </is>
      </c>
      <c r="E73" s="3" t="n">
        <v>1.86</v>
      </c>
      <c r="F73" s="2" t="inlineStr">
        <is>
          <t>percent</t>
        </is>
      </c>
      <c r="G73" s="2" t="inlineStr">
        <is>
          <t>Reported</t>
        </is>
      </c>
      <c r="H73" s="2" t="inlineStr">
        <is>
          <t>H1 2026</t>
        </is>
      </c>
      <c r="I73" s="2" t="inlineStr">
        <is>
          <t>S26</t>
        </is>
      </c>
      <c r="J73" s="2" t="inlineStr"/>
      <c r="K73" s="4" t="inlineStr">
        <is>
          <t>https://www.gov.br/susep/pt-br/central-de-conteudos/noticias/2026/agosto/setor-supervisionado-pela-susep-registra-r-207-12-bilhoes-em-receitas-no-primeiro-semestre</t>
        </is>
      </c>
      <c r="L73" s="2" t="inlineStr">
        <is>
          <t>2026-10-13</t>
        </is>
      </c>
    </row>
    <row r="74" ht="68" customHeight="1">
      <c r="A74" s="2" t="inlineStr">
        <is>
          <t>M073</t>
        </is>
      </c>
      <c r="B74" s="2" t="inlineStr">
        <is>
          <t>Motor insurance</t>
        </is>
      </c>
      <c r="C74" s="2" t="inlineStr">
        <is>
          <t>Brazil</t>
        </is>
      </c>
      <c r="D74" s="2" t="inlineStr">
        <is>
          <t>Annual premium growth nominal</t>
        </is>
      </c>
      <c r="E74" s="3" t="n">
        <v>6.79</v>
      </c>
      <c r="F74" s="2" t="inlineStr">
        <is>
          <t>percent</t>
        </is>
      </c>
      <c r="G74" s="2" t="inlineStr">
        <is>
          <t>Reported</t>
        </is>
      </c>
      <c r="H74" s="2" t="inlineStr">
        <is>
          <t>2025</t>
        </is>
      </c>
      <c r="I74" s="2" t="inlineStr">
        <is>
          <t>S27</t>
        </is>
      </c>
      <c r="J74" s="2" t="inlineStr"/>
      <c r="K74" s="4" t="inlineStr">
        <is>
          <t>https://www.gov.br/susep/pt-br/central-de-conteudos/noticias/2026/fevereiro/em-ano-de-avancos-em-inclusao-e-modernizacao-regulatoria-setor-de-seguros-arrecada-r-415-bilhoes</t>
        </is>
      </c>
      <c r="L74" s="2" t="inlineStr">
        <is>
          <t>2026-10-13</t>
        </is>
      </c>
    </row>
    <row r="75" ht="68" customHeight="1">
      <c r="A75" s="2" t="inlineStr">
        <is>
          <t>M074</t>
        </is>
      </c>
      <c r="B75" s="2" t="inlineStr">
        <is>
          <t>Motor insurance</t>
        </is>
      </c>
      <c r="C75" s="2" t="inlineStr">
        <is>
          <t>Brazil</t>
        </is>
      </c>
      <c r="D75" s="2" t="inlineStr">
        <is>
          <t>Annual premium growth real</t>
        </is>
      </c>
      <c r="E75" s="3" t="n">
        <v>1.66</v>
      </c>
      <c r="F75" s="2" t="inlineStr">
        <is>
          <t>percent</t>
        </is>
      </c>
      <c r="G75" s="2" t="inlineStr">
        <is>
          <t>Reported</t>
        </is>
      </c>
      <c r="H75" s="2" t="inlineStr">
        <is>
          <t>2025</t>
        </is>
      </c>
      <c r="I75" s="2" t="inlineStr">
        <is>
          <t>S27</t>
        </is>
      </c>
      <c r="J75" s="2" t="inlineStr"/>
      <c r="K75" s="4" t="inlineStr">
        <is>
          <t>https://www.gov.br/susep/pt-br/central-de-conteudos/noticias/2026/fevereiro/em-ano-de-avancos-em-inclusao-e-modernizacao-regulatoria-setor-de-seguros-arrecada-r-415-bilhoes</t>
        </is>
      </c>
      <c r="L75" s="2" t="inlineStr">
        <is>
          <t>2026-10-13</t>
        </is>
      </c>
    </row>
    <row r="76" ht="68" customHeight="1">
      <c r="A76" s="2" t="inlineStr">
        <is>
          <t>M075</t>
        </is>
      </c>
      <c r="B76" s="2" t="inlineStr">
        <is>
          <t>Direct insurance all branches</t>
        </is>
      </c>
      <c r="C76" s="2" t="inlineStr">
        <is>
          <t>Portugal</t>
        </is>
      </c>
      <c r="D76" s="2" t="inlineStr">
        <is>
          <t>H1 production</t>
        </is>
      </c>
      <c r="E76" s="3" t="n">
        <v>9400000000</v>
      </c>
      <c r="F76" s="2" t="inlineStr">
        <is>
          <t>EUR</t>
        </is>
      </c>
      <c r="G76" s="2" t="inlineStr">
        <is>
          <t>Over</t>
        </is>
      </c>
      <c r="H76" s="2" t="inlineStr">
        <is>
          <t>H1 2026</t>
        </is>
      </c>
      <c r="I76" s="2" t="inlineStr">
        <is>
          <t>S28</t>
        </is>
      </c>
      <c r="J76" s="2" t="inlineStr">
        <is>
          <t>Includes life; not an Objais TAM</t>
        </is>
      </c>
      <c r="K76" s="4" t="inlineStr">
        <is>
          <t>https://www.consumidor.asf.com.pt/web/site-asf/publica%C3%A7%C3%B5es/publica%C3%A7%C3%B5es/relat%C3%B3rio-da-evolu%C3%A7%C3%A3o-da-atividade-seguradora</t>
        </is>
      </c>
      <c r="L76" s="2" t="inlineStr">
        <is>
          <t>2026-10-13</t>
        </is>
      </c>
    </row>
    <row r="77" ht="68" customHeight="1">
      <c r="A77" s="2" t="inlineStr">
        <is>
          <t>M076</t>
        </is>
      </c>
      <c r="B77" s="2" t="inlineStr">
        <is>
          <t>Direct insurance all branches</t>
        </is>
      </c>
      <c r="C77" s="2" t="inlineStr">
        <is>
          <t>Portugal</t>
        </is>
      </c>
      <c r="D77" s="2" t="inlineStr">
        <is>
          <t>H1 production growth</t>
        </is>
      </c>
      <c r="E77" s="3" t="n">
        <v>18.1</v>
      </c>
      <c r="F77" s="2" t="inlineStr">
        <is>
          <t>percent</t>
        </is>
      </c>
      <c r="G77" s="2" t="inlineStr">
        <is>
          <t>Reported</t>
        </is>
      </c>
      <c r="H77" s="2" t="inlineStr">
        <is>
          <t>H1 2026</t>
        </is>
      </c>
      <c r="I77" s="2" t="inlineStr">
        <is>
          <t>S28</t>
        </is>
      </c>
      <c r="J77" s="2" t="inlineStr"/>
      <c r="K77" s="4" t="inlineStr">
        <is>
          <t>https://www.consumidor.asf.com.pt/web/site-asf/publica%C3%A7%C3%B5es/publica%C3%A7%C3%B5es/relat%C3%B3rio-da-evolu%C3%A7%C3%A3o-da-atividade-seguradora</t>
        </is>
      </c>
      <c r="L77" s="2" t="inlineStr">
        <is>
          <t>2026-10-13</t>
        </is>
      </c>
    </row>
    <row r="78" ht="68" customHeight="1">
      <c r="A78" s="2" t="inlineStr">
        <is>
          <t>M077</t>
        </is>
      </c>
      <c r="B78" s="2" t="inlineStr">
        <is>
          <t>Nonlife insurance</t>
        </is>
      </c>
      <c r="C78" s="2" t="inlineStr">
        <is>
          <t>Portugal</t>
        </is>
      </c>
      <c r="D78" s="2" t="inlineStr">
        <is>
          <t>H1 production growth</t>
        </is>
      </c>
      <c r="E78" s="3" t="n">
        <v>9.199999999999999</v>
      </c>
      <c r="F78" s="2" t="inlineStr">
        <is>
          <t>percent</t>
        </is>
      </c>
      <c r="G78" s="2" t="inlineStr">
        <is>
          <t>Reported</t>
        </is>
      </c>
      <c r="H78" s="2" t="inlineStr">
        <is>
          <t>H1 2026</t>
        </is>
      </c>
      <c r="I78" s="2" t="inlineStr">
        <is>
          <t>S28</t>
        </is>
      </c>
      <c r="J78" s="2" t="inlineStr"/>
      <c r="K78" s="4" t="inlineStr">
        <is>
          <t>https://www.consumidor.asf.com.pt/web/site-asf/publica%C3%A7%C3%B5es/publica%C3%A7%C3%B5es/relat%C3%B3rio-da-evolu%C3%A7%C3%A3o-da-atividade-seguradora</t>
        </is>
      </c>
      <c r="L78" s="2" t="inlineStr">
        <is>
          <t>2026-10-13</t>
        </is>
      </c>
    </row>
    <row r="79" ht="68" customHeight="1">
      <c r="A79" s="2" t="inlineStr">
        <is>
          <t>M078</t>
        </is>
      </c>
      <c r="B79" s="2" t="inlineStr">
        <is>
          <t>Motor insurance</t>
        </is>
      </c>
      <c r="C79" s="2" t="inlineStr">
        <is>
          <t>Portugal</t>
        </is>
      </c>
      <c r="D79" s="2" t="inlineStr">
        <is>
          <t>H1 production growth</t>
        </is>
      </c>
      <c r="E79" s="3" t="n">
        <v>10.6</v>
      </c>
      <c r="F79" s="2" t="inlineStr">
        <is>
          <t>percent</t>
        </is>
      </c>
      <c r="G79" s="2" t="inlineStr">
        <is>
          <t>Reported</t>
        </is>
      </c>
      <c r="H79" s="2" t="inlineStr">
        <is>
          <t>H1 2026</t>
        </is>
      </c>
      <c r="I79" s="2" t="inlineStr">
        <is>
          <t>S28</t>
        </is>
      </c>
      <c r="J79" s="2" t="inlineStr"/>
      <c r="K79" s="4" t="inlineStr">
        <is>
          <t>https://www.consumidor.asf.com.pt/web/site-asf/publica%C3%A7%C3%B5es/publica%C3%A7%C3%B5es/relat%C3%B3rio-da-evolu%C3%A7%C3%A3o-da-atividade-seguradora</t>
        </is>
      </c>
      <c r="L79" s="2" t="inlineStr">
        <is>
          <t>2026-10-13</t>
        </is>
      </c>
    </row>
    <row r="80" ht="68" customHeight="1">
      <c r="A80" s="2" t="inlineStr">
        <is>
          <t>M079</t>
        </is>
      </c>
      <c r="B80" s="2" t="inlineStr">
        <is>
          <t>Fire and other property damage</t>
        </is>
      </c>
      <c r="C80" s="2" t="inlineStr">
        <is>
          <t>Portugal</t>
        </is>
      </c>
      <c r="D80" s="2" t="inlineStr">
        <is>
          <t>H1 production growth</t>
        </is>
      </c>
      <c r="E80" s="3" t="n">
        <v>10.6</v>
      </c>
      <c r="F80" s="2" t="inlineStr">
        <is>
          <t>percent</t>
        </is>
      </c>
      <c r="G80" s="2" t="inlineStr">
        <is>
          <t>Reported</t>
        </is>
      </c>
      <c r="H80" s="2" t="inlineStr">
        <is>
          <t>H1 2026</t>
        </is>
      </c>
      <c r="I80" s="2" t="inlineStr">
        <is>
          <t>S28</t>
        </is>
      </c>
      <c r="J80" s="2" t="inlineStr"/>
      <c r="K80" s="4" t="inlineStr">
        <is>
          <t>https://www.consumidor.asf.com.pt/web/site-asf/publica%C3%A7%C3%B5es/publica%C3%A7%C3%B5es/relat%C3%B3rio-da-evolu%C3%A7%C3%A3o-da-atividade-seguradora</t>
        </is>
      </c>
      <c r="L80" s="2" t="inlineStr">
        <is>
          <t>2026-10-13</t>
        </is>
      </c>
    </row>
    <row r="81" ht="68" customHeight="1">
      <c r="A81" s="2" t="inlineStr">
        <is>
          <t>M080</t>
        </is>
      </c>
      <c r="B81" s="2" t="inlineStr">
        <is>
          <t>Motor insurance</t>
        </is>
      </c>
      <c r="C81" s="2" t="inlineStr">
        <is>
          <t>Portugal</t>
        </is>
      </c>
      <c r="D81" s="2" t="inlineStr">
        <is>
          <t>Insured vehicles</t>
        </is>
      </c>
      <c r="E81" s="3" t="n">
        <v>9300000</v>
      </c>
      <c r="F81" s="2" t="inlineStr">
        <is>
          <t>vehicles</t>
        </is>
      </c>
      <c r="G81" s="2" t="inlineStr">
        <is>
          <t>Over</t>
        </is>
      </c>
      <c r="H81" s="2" t="inlineStr">
        <is>
          <t>2025; release August 2026</t>
        </is>
      </c>
      <c r="I81" s="2" t="inlineStr">
        <is>
          <t>S29</t>
        </is>
      </c>
      <c r="J81" s="2" t="inlineStr"/>
      <c r="K81" s="4" t="inlineStr">
        <is>
          <t>https://www.apseguradores.pt/pt/not%C3%ADcias-e-eventos/not%C3%ADcias/2026/articleid/854/seguro-autom%C3%B3vel-mant%C3%A9m-trajet%C3%B3ria-de-crescimento-em-2025</t>
        </is>
      </c>
      <c r="L81" s="2" t="inlineStr">
        <is>
          <t>2026-10-13</t>
        </is>
      </c>
    </row>
    <row r="82" ht="68" customHeight="1">
      <c r="A82" s="2" t="inlineStr">
        <is>
          <t>M081</t>
        </is>
      </c>
      <c r="B82" s="2" t="inlineStr">
        <is>
          <t>Motor insurance</t>
        </is>
      </c>
      <c r="C82" s="2" t="inlineStr">
        <is>
          <t>Portugal</t>
        </is>
      </c>
      <c r="D82" s="2" t="inlineStr">
        <is>
          <t>Insured vehicle growth</t>
        </is>
      </c>
      <c r="E82" s="3" t="n">
        <v>2.3</v>
      </c>
      <c r="F82" s="2" t="inlineStr">
        <is>
          <t>percent</t>
        </is>
      </c>
      <c r="G82" s="2" t="inlineStr">
        <is>
          <t>Reported</t>
        </is>
      </c>
      <c r="H82" s="2" t="inlineStr">
        <is>
          <t>2025; release August 2026</t>
        </is>
      </c>
      <c r="I82" s="2" t="inlineStr">
        <is>
          <t>S29</t>
        </is>
      </c>
      <c r="J82" s="2" t="inlineStr"/>
      <c r="K82" s="4" t="inlineStr">
        <is>
          <t>https://www.apseguradores.pt/pt/not%C3%ADcias-e-eventos/not%C3%ADcias/2026/articleid/854/seguro-autom%C3%B3vel-mant%C3%A9m-trajet%C3%B3ria-de-crescimento-em-2025</t>
        </is>
      </c>
      <c r="L82" s="2" t="inlineStr">
        <is>
          <t>2026-10-13</t>
        </is>
      </c>
    </row>
    <row r="83" ht="68" customHeight="1">
      <c r="A83" s="2" t="inlineStr">
        <is>
          <t>M082</t>
        </is>
      </c>
      <c r="B83" s="2" t="inlineStr">
        <is>
          <t>Motor insurance</t>
        </is>
      </c>
      <c r="C83" s="2" t="inlineStr">
        <is>
          <t>Portugal</t>
        </is>
      </c>
      <c r="D83" s="2" t="inlineStr">
        <is>
          <t>Own-damage insured vehicle growth</t>
        </is>
      </c>
      <c r="E83" s="3" t="n">
        <v>6.3</v>
      </c>
      <c r="F83" s="2" t="inlineStr">
        <is>
          <t>percent</t>
        </is>
      </c>
      <c r="G83" s="2" t="inlineStr">
        <is>
          <t>Reported</t>
        </is>
      </c>
      <c r="H83" s="2" t="inlineStr">
        <is>
          <t>2025; release August 2026</t>
        </is>
      </c>
      <c r="I83" s="2" t="inlineStr">
        <is>
          <t>S29</t>
        </is>
      </c>
      <c r="J83" s="2" t="inlineStr"/>
      <c r="K83" s="4" t="inlineStr">
        <is>
          <t>https://www.apseguradores.pt/pt/not%C3%ADcias-e-eventos/not%C3%ADcias/2026/articleid/854/seguro-autom%C3%B3vel-mant%C3%A9m-trajet%C3%B3ria-de-crescimento-em-2025</t>
        </is>
      </c>
      <c r="L83" s="2" t="inlineStr">
        <is>
          <t>2026-10-13</t>
        </is>
      </c>
    </row>
    <row r="84" ht="68" customHeight="1">
      <c r="A84" s="2" t="inlineStr">
        <is>
          <t>M083</t>
        </is>
      </c>
      <c r="B84" s="2" t="inlineStr">
        <is>
          <t>Motor insurance</t>
        </is>
      </c>
      <c r="C84" s="2" t="inlineStr">
        <is>
          <t>Portugal</t>
        </is>
      </c>
      <c r="D84" s="2" t="inlineStr">
        <is>
          <t>Opened claim processes</t>
        </is>
      </c>
      <c r="E84" s="3" t="n">
        <v>961000</v>
      </c>
      <c r="F84" s="2" t="inlineStr">
        <is>
          <t>claim processes</t>
        </is>
      </c>
      <c r="G84" s="2" t="inlineStr">
        <is>
          <t>Approximately</t>
        </is>
      </c>
      <c r="H84" s="2" t="inlineStr">
        <is>
          <t>2025; release August 2026</t>
        </is>
      </c>
      <c r="I84" s="2" t="inlineStr">
        <is>
          <t>S29</t>
        </is>
      </c>
      <c r="J84" s="2" t="inlineStr"/>
      <c r="K84" s="4" t="inlineStr">
        <is>
          <t>https://www.apseguradores.pt/pt/not%C3%ADcias-e-eventos/not%C3%ADcias/2026/articleid/854/seguro-autom%C3%B3vel-mant%C3%A9m-trajet%C3%B3ria-de-crescimento-em-2025</t>
        </is>
      </c>
      <c r="L84" s="2" t="inlineStr">
        <is>
          <t>2026-10-13</t>
        </is>
      </c>
    </row>
    <row r="85" ht="68" customHeight="1">
      <c r="A85" s="2" t="inlineStr">
        <is>
          <t>M084</t>
        </is>
      </c>
      <c r="B85" s="2" t="inlineStr">
        <is>
          <t>Motor insurance</t>
        </is>
      </c>
      <c r="C85" s="2" t="inlineStr">
        <is>
          <t>Portugal</t>
        </is>
      </c>
      <c r="D85" s="2" t="inlineStr">
        <is>
          <t>Claims payments</t>
        </is>
      </c>
      <c r="E85" s="3" t="n">
        <v>1700000000</v>
      </c>
      <c r="F85" s="2" t="inlineStr">
        <is>
          <t>EUR</t>
        </is>
      </c>
      <c r="G85" s="2" t="inlineStr">
        <is>
          <t>Over</t>
        </is>
      </c>
      <c r="H85" s="2" t="inlineStr">
        <is>
          <t>2025; release August 2026</t>
        </is>
      </c>
      <c r="I85" s="2" t="inlineStr">
        <is>
          <t>S29</t>
        </is>
      </c>
      <c r="J85" s="2" t="inlineStr">
        <is>
          <t>Not premium revenue</t>
        </is>
      </c>
      <c r="K85" s="4" t="inlineStr">
        <is>
          <t>https://www.apseguradores.pt/pt/not%C3%ADcias-e-eventos/not%C3%ADcias/2026/articleid/854/seguro-autom%C3%B3vel-mant%C3%A9m-trajet%C3%B3ria-de-crescimento-em-2025</t>
        </is>
      </c>
      <c r="L85" s="2" t="inlineStr">
        <is>
          <t>2026-10-13</t>
        </is>
      </c>
    </row>
    <row r="86" ht="68" customHeight="1">
      <c r="A86" s="2" t="inlineStr">
        <is>
          <t>M085</t>
        </is>
      </c>
      <c r="B86" s="2" t="inlineStr">
        <is>
          <t>Motor insurance</t>
        </is>
      </c>
      <c r="C86" s="2" t="inlineStr">
        <is>
          <t>Portugal</t>
        </is>
      </c>
      <c r="D86" s="2" t="inlineStr">
        <is>
          <t>Claims payment growth</t>
        </is>
      </c>
      <c r="E86" s="3" t="n">
        <v>5.3</v>
      </c>
      <c r="F86" s="2" t="inlineStr">
        <is>
          <t>percent</t>
        </is>
      </c>
      <c r="G86" s="2" t="inlineStr">
        <is>
          <t>Reported</t>
        </is>
      </c>
      <c r="H86" s="2" t="inlineStr">
        <is>
          <t>2025; release August 2026</t>
        </is>
      </c>
      <c r="I86" s="2" t="inlineStr">
        <is>
          <t>S29</t>
        </is>
      </c>
      <c r="J86" s="2" t="inlineStr"/>
      <c r="K86" s="4" t="inlineStr">
        <is>
          <t>https://www.apseguradores.pt/pt/not%C3%ADcias-e-eventos/not%C3%ADcias/2026/articleid/854/seguro-autom%C3%B3vel-mant%C3%A9m-trajet%C3%B3ria-de-crescimento-em-2025</t>
        </is>
      </c>
      <c r="L86" s="2" t="inlineStr">
        <is>
          <t>2026-10-13</t>
        </is>
      </c>
    </row>
    <row r="87" ht="68" customHeight="1">
      <c r="A87" s="2" t="inlineStr">
        <is>
          <t>M086</t>
        </is>
      </c>
      <c r="B87" s="2" t="inlineStr">
        <is>
          <t>Motor insurance</t>
        </is>
      </c>
      <c r="C87" s="2" t="inlineStr">
        <is>
          <t>Portugal</t>
        </is>
      </c>
      <c r="D87" s="2" t="inlineStr">
        <is>
          <t>Insured vehicles June</t>
        </is>
      </c>
      <c r="E87" s="3" t="n">
        <v>9300000</v>
      </c>
      <c r="F87" s="2" t="inlineStr">
        <is>
          <t>vehicles</t>
        </is>
      </c>
      <c r="G87" s="2" t="inlineStr">
        <is>
          <t>Rounded</t>
        </is>
      </c>
      <c r="H87" s="2" t="inlineStr">
        <is>
          <t>H1 2026</t>
        </is>
      </c>
      <c r="I87" s="2" t="inlineStr">
        <is>
          <t>S30</t>
        </is>
      </c>
      <c r="J87" s="2" t="inlineStr"/>
      <c r="K87" s="4" t="inlineStr">
        <is>
          <t>https://www.apseguradores.pt/pt/not%C3%ADcias-e-eventos/not%C3%ADcias/2026/articleid/863/seguro-autom%C3%B3vel-indicadores-do-1%C2%BA-semestre-2026</t>
        </is>
      </c>
      <c r="L87" s="2" t="inlineStr">
        <is>
          <t>2026-10-13</t>
        </is>
      </c>
    </row>
    <row r="88" ht="68" customHeight="1">
      <c r="A88" s="2" t="inlineStr">
        <is>
          <t>M087</t>
        </is>
      </c>
      <c r="B88" s="2" t="inlineStr">
        <is>
          <t>Motor insurance</t>
        </is>
      </c>
      <c r="C88" s="2" t="inlineStr">
        <is>
          <t>Portugal</t>
        </is>
      </c>
      <c r="D88" s="2" t="inlineStr">
        <is>
          <t>Insured vehicle growth year on year</t>
        </is>
      </c>
      <c r="E88" s="3" t="n">
        <v>2.6</v>
      </c>
      <c r="F88" s="2" t="inlineStr">
        <is>
          <t>percent</t>
        </is>
      </c>
      <c r="G88" s="2" t="inlineStr">
        <is>
          <t>Reported</t>
        </is>
      </c>
      <c r="H88" s="2" t="inlineStr">
        <is>
          <t>H1 2026</t>
        </is>
      </c>
      <c r="I88" s="2" t="inlineStr">
        <is>
          <t>S30</t>
        </is>
      </c>
      <c r="J88" s="2" t="inlineStr"/>
      <c r="K88" s="4" t="inlineStr">
        <is>
          <t>https://www.apseguradores.pt/pt/not%C3%ADcias-e-eventos/not%C3%ADcias/2026/articleid/863/seguro-autom%C3%B3vel-indicadores-do-1%C2%BA-semestre-2026</t>
        </is>
      </c>
      <c r="L88" s="2" t="inlineStr">
        <is>
          <t>2026-10-13</t>
        </is>
      </c>
    </row>
    <row r="89" ht="68" customHeight="1">
      <c r="A89" s="2" t="inlineStr">
        <is>
          <t>M088</t>
        </is>
      </c>
      <c r="B89" s="2" t="inlineStr">
        <is>
          <t>Motor insurance</t>
        </is>
      </c>
      <c r="C89" s="2" t="inlineStr">
        <is>
          <t>Portugal</t>
        </is>
      </c>
      <c r="D89" s="2" t="inlineStr">
        <is>
          <t>Survey market coverage</t>
        </is>
      </c>
      <c r="E89" s="3" t="n">
        <v>98.2</v>
      </c>
      <c r="F89" s="2" t="inlineStr">
        <is>
          <t>percent</t>
        </is>
      </c>
      <c r="G89" s="2" t="inlineStr">
        <is>
          <t>Reported</t>
        </is>
      </c>
      <c r="H89" s="2" t="inlineStr">
        <is>
          <t>H1 2026</t>
        </is>
      </c>
      <c r="I89" s="2" t="inlineStr">
        <is>
          <t>S30</t>
        </is>
      </c>
      <c r="J89" s="2" t="inlineStr"/>
      <c r="K89" s="4" t="inlineStr">
        <is>
          <t>https://www.apseguradores.pt/pt/not%C3%ADcias-e-eventos/not%C3%ADcias/2026/articleid/863/seguro-autom%C3%B3vel-indicadores-do-1%C2%BA-semestre-2026</t>
        </is>
      </c>
      <c r="L89" s="2" t="inlineStr">
        <is>
          <t>2026-10-13</t>
        </is>
      </c>
    </row>
    <row r="90" ht="68" customHeight="1">
      <c r="A90" s="2" t="inlineStr">
        <is>
          <t>M089</t>
        </is>
      </c>
      <c r="B90" s="2" t="inlineStr">
        <is>
          <t>Pet ownership</t>
        </is>
      </c>
      <c r="C90" s="2" t="inlineStr">
        <is>
          <t>Europe 41-country coverage</t>
        </is>
      </c>
      <c r="D90" s="2" t="inlineStr">
        <is>
          <t>Pets</t>
        </is>
      </c>
      <c r="E90" s="3" t="n">
        <v>306000000</v>
      </c>
      <c r="F90" s="2" t="inlineStr">
        <is>
          <t>animals</t>
        </is>
      </c>
      <c r="G90" s="2" t="inlineStr">
        <is>
          <t>Estimated</t>
        </is>
      </c>
      <c r="H90" s="2" t="inlineStr">
        <is>
          <t>2024; published June 2026</t>
        </is>
      </c>
      <c r="I90" s="2" t="inlineStr">
        <is>
          <t>S31</t>
        </is>
      </c>
      <c r="J90" s="2" t="inlineStr">
        <is>
          <t>2024 data published in 2026</t>
        </is>
      </c>
      <c r="K90" s="4" t="inlineStr">
        <is>
          <t>https://europeanpetfood.org/about/statistics/</t>
        </is>
      </c>
      <c r="L90" s="2" t="inlineStr">
        <is>
          <t>2026-10-13</t>
        </is>
      </c>
    </row>
    <row r="91" ht="68" customHeight="1">
      <c r="A91" s="2" t="inlineStr">
        <is>
          <t>M090</t>
        </is>
      </c>
      <c r="B91" s="2" t="inlineStr">
        <is>
          <t>Pet ownership</t>
        </is>
      </c>
      <c r="C91" s="2" t="inlineStr">
        <is>
          <t>Europe 41-country coverage</t>
        </is>
      </c>
      <c r="D91" s="2" t="inlineStr">
        <is>
          <t>Pet-owning households</t>
        </is>
      </c>
      <c r="E91" s="3" t="n">
        <v>140000000</v>
      </c>
      <c r="F91" s="2" t="inlineStr">
        <is>
          <t>households</t>
        </is>
      </c>
      <c r="G91" s="2" t="inlineStr">
        <is>
          <t>Estimated</t>
        </is>
      </c>
      <c r="H91" s="2" t="inlineStr">
        <is>
          <t>2024; published June 2026</t>
        </is>
      </c>
      <c r="I91" s="2" t="inlineStr">
        <is>
          <t>S31</t>
        </is>
      </c>
      <c r="J91" s="2" t="inlineStr"/>
      <c r="K91" s="4" t="inlineStr">
        <is>
          <t>https://europeanpetfood.org/about/statistics/</t>
        </is>
      </c>
      <c r="L91" s="2" t="inlineStr">
        <is>
          <t>2026-10-13</t>
        </is>
      </c>
    </row>
    <row r="92" ht="68" customHeight="1">
      <c r="A92" s="2" t="inlineStr">
        <is>
          <t>M091</t>
        </is>
      </c>
      <c r="B92" s="2" t="inlineStr">
        <is>
          <t>Pet ownership</t>
        </is>
      </c>
      <c r="C92" s="2" t="inlineStr">
        <is>
          <t>Europe 41-country coverage</t>
        </is>
      </c>
      <c r="D92" s="2" t="inlineStr">
        <is>
          <t>Households owning pets</t>
        </is>
      </c>
      <c r="E92" s="3" t="n">
        <v>49</v>
      </c>
      <c r="F92" s="2" t="inlineStr">
        <is>
          <t>percent</t>
        </is>
      </c>
      <c r="G92" s="2" t="inlineStr">
        <is>
          <t>Estimated</t>
        </is>
      </c>
      <c r="H92" s="2" t="inlineStr">
        <is>
          <t>2024; published June 2026</t>
        </is>
      </c>
      <c r="I92" s="2" t="inlineStr">
        <is>
          <t>S31</t>
        </is>
      </c>
      <c r="J92" s="2" t="inlineStr"/>
      <c r="K92" s="4" t="inlineStr">
        <is>
          <t>https://europeanpetfood.org/about/statistics/</t>
        </is>
      </c>
      <c r="L92" s="2" t="inlineStr">
        <is>
          <t>2026-10-13</t>
        </is>
      </c>
    </row>
    <row r="93" ht="68" customHeight="1">
      <c r="A93" s="2" t="inlineStr">
        <is>
          <t>M092</t>
        </is>
      </c>
      <c r="B93" s="2" t="inlineStr">
        <is>
          <t>Pet food broader context</t>
        </is>
      </c>
      <c r="C93" s="2" t="inlineStr">
        <is>
          <t>Europe</t>
        </is>
      </c>
      <c r="D93" s="2" t="inlineStr">
        <is>
          <t>Annual sales</t>
        </is>
      </c>
      <c r="E93" s="3" t="n">
        <v>29400000000</v>
      </c>
      <c r="F93" s="2" t="inlineStr">
        <is>
          <t>EUR</t>
        </is>
      </c>
      <c r="G93" s="2" t="inlineStr">
        <is>
          <t>Estimated</t>
        </is>
      </c>
      <c r="H93" s="2" t="inlineStr">
        <is>
          <t>2024; published June 2026</t>
        </is>
      </c>
      <c r="I93" s="2" t="inlineStr">
        <is>
          <t>S31</t>
        </is>
      </c>
      <c r="J93" s="2" t="inlineStr">
        <is>
          <t>Food sales, not insurance</t>
        </is>
      </c>
      <c r="K93" s="4" t="inlineStr">
        <is>
          <t>https://europeanpetfood.org/about/statistics/</t>
        </is>
      </c>
      <c r="L93" s="2" t="inlineStr">
        <is>
          <t>2026-10-13</t>
        </is>
      </c>
    </row>
    <row r="94" ht="68" customHeight="1">
      <c r="A94" s="2" t="inlineStr">
        <is>
          <t>M093</t>
        </is>
      </c>
      <c r="B94" s="2" t="inlineStr">
        <is>
          <t>Pet health insurance</t>
        </is>
      </c>
      <c r="C94" s="2" t="inlineStr">
        <is>
          <t>US and Canada</t>
        </is>
      </c>
      <c r="D94" s="2" t="inlineStr">
        <is>
          <t>Pets insured at year end</t>
        </is>
      </c>
      <c r="E94" s="3" t="n">
        <v>7600000</v>
      </c>
      <c r="F94" s="2" t="inlineStr">
        <is>
          <t>animals</t>
        </is>
      </c>
      <c r="G94" s="2" t="inlineStr">
        <is>
          <t>Rounded</t>
        </is>
      </c>
      <c r="H94" s="2" t="inlineStr">
        <is>
          <t>2025; published June 2026</t>
        </is>
      </c>
      <c r="I94" s="2" t="inlineStr">
        <is>
          <t>S32</t>
        </is>
      </c>
      <c r="J94" s="2" t="inlineStr"/>
      <c r="K94" s="4" t="inlineStr">
        <is>
          <t>https://naphia.org/industry-data/</t>
        </is>
      </c>
      <c r="L94" s="2" t="inlineStr">
        <is>
          <t>2026-10-13</t>
        </is>
      </c>
    </row>
    <row r="95" ht="68" customHeight="1">
      <c r="A95" s="2" t="inlineStr">
        <is>
          <t>M094</t>
        </is>
      </c>
      <c r="B95" s="2" t="inlineStr">
        <is>
          <t>Pet health insurance</t>
        </is>
      </c>
      <c r="C95" s="2" t="inlineStr">
        <is>
          <t>US and Canada</t>
        </is>
      </c>
      <c r="D95" s="2" t="inlineStr">
        <is>
          <t>Insured pet growth</t>
        </is>
      </c>
      <c r="E95" s="3" t="n">
        <v>8.5</v>
      </c>
      <c r="F95" s="2" t="inlineStr">
        <is>
          <t>percent</t>
        </is>
      </c>
      <c r="G95" s="2" t="inlineStr">
        <is>
          <t>Reported</t>
        </is>
      </c>
      <c r="H95" s="2" t="inlineStr">
        <is>
          <t>2025; published June 2026</t>
        </is>
      </c>
      <c r="I95" s="2" t="inlineStr">
        <is>
          <t>S32</t>
        </is>
      </c>
      <c r="J95" s="2" t="inlineStr"/>
      <c r="K95" s="4" t="inlineStr">
        <is>
          <t>https://naphia.org/industry-data/</t>
        </is>
      </c>
      <c r="L95" s="2" t="inlineStr">
        <is>
          <t>2026-10-13</t>
        </is>
      </c>
    </row>
    <row r="96" ht="68" customHeight="1">
      <c r="A96" s="2" t="inlineStr">
        <is>
          <t>M095</t>
        </is>
      </c>
      <c r="B96" s="2" t="inlineStr">
        <is>
          <t>Pet insurance</t>
        </is>
      </c>
      <c r="C96" s="2" t="inlineStr">
        <is>
          <t>UK ABI members</t>
        </is>
      </c>
      <c r="D96" s="2" t="inlineStr">
        <is>
          <t>Annual claims paid</t>
        </is>
      </c>
      <c r="E96" s="3" t="n">
        <v>1230000000</v>
      </c>
      <c r="F96" s="2" t="inlineStr">
        <is>
          <t>GBP</t>
        </is>
      </c>
      <c r="G96" s="2" t="inlineStr">
        <is>
          <t>Reported</t>
        </is>
      </c>
      <c r="H96" s="2" t="inlineStr">
        <is>
          <t>2024; published May 2025</t>
        </is>
      </c>
      <c r="I96" s="2" t="inlineStr">
        <is>
          <t>S33</t>
        </is>
      </c>
      <c r="J96" s="2" t="inlineStr"/>
      <c r="K96" s="4" t="inlineStr">
        <is>
          <t>https://www.abi.org.uk/media-hub/news-post/insurance-payouts-for-pawly-pets-top-1-billion-for-third-year-in-a-row</t>
        </is>
      </c>
      <c r="L96" s="2" t="inlineStr">
        <is>
          <t>2026-10-13</t>
        </is>
      </c>
    </row>
    <row r="97" ht="68" customHeight="1">
      <c r="A97" s="2" t="inlineStr">
        <is>
          <t>M096</t>
        </is>
      </c>
      <c r="B97" s="2" t="inlineStr">
        <is>
          <t>Pet insurance</t>
        </is>
      </c>
      <c r="C97" s="2" t="inlineStr">
        <is>
          <t>UK ABI members</t>
        </is>
      </c>
      <c r="D97" s="2" t="inlineStr">
        <is>
          <t>Claims payment growth</t>
        </is>
      </c>
      <c r="E97" s="3" t="n">
        <v>4</v>
      </c>
      <c r="F97" s="2" t="inlineStr">
        <is>
          <t>percent</t>
        </is>
      </c>
      <c r="G97" s="2" t="inlineStr">
        <is>
          <t>Reported</t>
        </is>
      </c>
      <c r="H97" s="2" t="inlineStr">
        <is>
          <t>2024; published May 2025</t>
        </is>
      </c>
      <c r="I97" s="2" t="inlineStr">
        <is>
          <t>S33</t>
        </is>
      </c>
      <c r="J97" s="2" t="inlineStr"/>
      <c r="K97" s="4" t="inlineStr">
        <is>
          <t>https://www.abi.org.uk/media-hub/news-post/insurance-payouts-for-pawly-pets-top-1-billion-for-third-year-in-a-row</t>
        </is>
      </c>
      <c r="L97" s="2" t="inlineStr">
        <is>
          <t>2026-10-13</t>
        </is>
      </c>
    </row>
    <row r="98" ht="68" customHeight="1">
      <c r="A98" s="2" t="inlineStr">
        <is>
          <t>M097</t>
        </is>
      </c>
      <c r="B98" s="2" t="inlineStr">
        <is>
          <t>Pet insurance</t>
        </is>
      </c>
      <c r="C98" s="2" t="inlineStr">
        <is>
          <t>UK ABI members</t>
        </is>
      </c>
      <c r="D98" s="2" t="inlineStr">
        <is>
          <t>Claims notified</t>
        </is>
      </c>
      <c r="E98" s="3" t="n">
        <v>1800000</v>
      </c>
      <c r="F98" s="2" t="inlineStr">
        <is>
          <t>claims</t>
        </is>
      </c>
      <c r="G98" s="2" t="inlineStr">
        <is>
          <t>Rounded</t>
        </is>
      </c>
      <c r="H98" s="2" t="inlineStr">
        <is>
          <t>2024; published May 2025</t>
        </is>
      </c>
      <c r="I98" s="2" t="inlineStr">
        <is>
          <t>S33</t>
        </is>
      </c>
      <c r="J98" s="2" t="inlineStr"/>
      <c r="K98" s="4" t="inlineStr">
        <is>
          <t>https://www.abi.org.uk/media-hub/news-post/insurance-payouts-for-pawly-pets-top-1-billion-for-third-year-in-a-row</t>
        </is>
      </c>
      <c r="L98" s="2" t="inlineStr">
        <is>
          <t>2026-10-13</t>
        </is>
      </c>
    </row>
    <row r="99" ht="68" customHeight="1">
      <c r="A99" s="2" t="inlineStr">
        <is>
          <t>M098</t>
        </is>
      </c>
      <c r="B99" s="2" t="inlineStr">
        <is>
          <t>Pet insurance</t>
        </is>
      </c>
      <c r="C99" s="2" t="inlineStr">
        <is>
          <t>UK ABI members</t>
        </is>
      </c>
      <c r="D99" s="2" t="inlineStr">
        <is>
          <t>Owners taking out insurance</t>
        </is>
      </c>
      <c r="E99" s="3" t="n">
        <v>4600000</v>
      </c>
      <c r="F99" s="2" t="inlineStr">
        <is>
          <t>owners</t>
        </is>
      </c>
      <c r="G99" s="2" t="inlineStr">
        <is>
          <t>Rounded</t>
        </is>
      </c>
      <c r="H99" s="2" t="inlineStr">
        <is>
          <t>2024; published May 2025</t>
        </is>
      </c>
      <c r="I99" s="2" t="inlineStr">
        <is>
          <t>S33</t>
        </is>
      </c>
      <c r="J99" s="2" t="inlineStr">
        <is>
          <t>Publisher uses owners; not interchangeable with pets</t>
        </is>
      </c>
      <c r="K99" s="4" t="inlineStr">
        <is>
          <t>https://www.abi.org.uk/media-hub/news-post/insurance-payouts-for-pawly-pets-top-1-billion-for-third-year-in-a-row</t>
        </is>
      </c>
      <c r="L99" s="2" t="inlineStr">
        <is>
          <t>2026-10-13</t>
        </is>
      </c>
    </row>
    <row r="100" ht="68" customHeight="1">
      <c r="A100" s="2" t="inlineStr">
        <is>
          <t>M099</t>
        </is>
      </c>
      <c r="B100" s="2" t="inlineStr">
        <is>
          <t>Pet insurance</t>
        </is>
      </c>
      <c r="C100" s="2" t="inlineStr">
        <is>
          <t>UK ABI members</t>
        </is>
      </c>
      <c r="D100" s="2" t="inlineStr">
        <is>
          <t>Average claim cost</t>
        </is>
      </c>
      <c r="E100" s="3" t="n">
        <v>685</v>
      </c>
      <c r="F100" s="2" t="inlineStr">
        <is>
          <t>GBP per claim</t>
        </is>
      </c>
      <c r="G100" s="2" t="inlineStr">
        <is>
          <t>Reported</t>
        </is>
      </c>
      <c r="H100" s="2" t="inlineStr">
        <is>
          <t>2024; published May 2025</t>
        </is>
      </c>
      <c r="I100" s="2" t="inlineStr">
        <is>
          <t>S33</t>
        </is>
      </c>
      <c r="J100" s="2" t="inlineStr">
        <is>
          <t>Not annual premium or revenue</t>
        </is>
      </c>
      <c r="K100" s="4" t="inlineStr">
        <is>
          <t>https://www.abi.org.uk/media-hub/news-post/insurance-payouts-for-pawly-pets-top-1-billion-for-third-year-in-a-row</t>
        </is>
      </c>
      <c r="L100" s="2" t="inlineStr">
        <is>
          <t>2026-10-13</t>
        </is>
      </c>
    </row>
    <row r="101" ht="68" customHeight="1">
      <c r="A101" s="2" t="inlineStr">
        <is>
          <t>M100</t>
        </is>
      </c>
      <c r="B101" s="2" t="inlineStr">
        <is>
          <t>Pet sector broader context</t>
        </is>
      </c>
      <c r="C101" s="2" t="inlineStr">
        <is>
          <t>Brazil</t>
        </is>
      </c>
      <c r="D101" s="2" t="inlineStr">
        <is>
          <t>Annual sector revenue</t>
        </is>
      </c>
      <c r="E101" s="3" t="n">
        <v>75400000000</v>
      </c>
      <c r="F101" s="2" t="inlineStr">
        <is>
          <t>BRL</t>
        </is>
      </c>
      <c r="G101" s="2" t="inlineStr">
        <is>
          <t>Trade association estimate</t>
        </is>
      </c>
      <c r="H101" s="2" t="inlineStr">
        <is>
          <t>2024</t>
        </is>
      </c>
      <c r="I101" s="2" t="inlineStr">
        <is>
          <t>S34</t>
        </is>
      </c>
      <c r="J101" s="2" t="inlineStr">
        <is>
          <t>2024 actual/estimate; entire pet sector</t>
        </is>
      </c>
      <c r="K101" s="4" t="inlineStr">
        <is>
          <t>https://abinpet.org.br/informacoes-gerais-do-setor/</t>
        </is>
      </c>
      <c r="L101" s="2" t="inlineStr">
        <is>
          <t>2026-10-13</t>
        </is>
      </c>
    </row>
    <row r="102" ht="68" customHeight="1">
      <c r="A102" s="2" t="inlineStr">
        <is>
          <t>M101</t>
        </is>
      </c>
      <c r="B102" s="2" t="inlineStr">
        <is>
          <t>Pet sector broader context</t>
        </is>
      </c>
      <c r="C102" s="2" t="inlineStr">
        <is>
          <t>Brazil</t>
        </is>
      </c>
      <c r="D102" s="2" t="inlineStr">
        <is>
          <t>Annual sector growth</t>
        </is>
      </c>
      <c r="E102" s="3" t="n">
        <v>9.6</v>
      </c>
      <c r="F102" s="2" t="inlineStr">
        <is>
          <t>percent</t>
        </is>
      </c>
      <c r="G102" s="2" t="inlineStr">
        <is>
          <t>Reported</t>
        </is>
      </c>
      <c r="H102" s="2" t="inlineStr">
        <is>
          <t>2024</t>
        </is>
      </c>
      <c r="I102" s="2" t="inlineStr">
        <is>
          <t>S34</t>
        </is>
      </c>
      <c r="J102" s="2" t="inlineStr"/>
      <c r="K102" s="4" t="inlineStr">
        <is>
          <t>https://abinpet.org.br/informacoes-gerais-do-setor/</t>
        </is>
      </c>
      <c r="L102" s="2" t="inlineStr">
        <is>
          <t>2026-10-13</t>
        </is>
      </c>
    </row>
    <row r="103" ht="68" customHeight="1">
      <c r="A103" s="2" t="inlineStr">
        <is>
          <t>M102</t>
        </is>
      </c>
      <c r="B103" s="2" t="inlineStr">
        <is>
          <t>Pet sector broader context</t>
        </is>
      </c>
      <c r="C103" s="2" t="inlineStr">
        <is>
          <t>Brazil</t>
        </is>
      </c>
      <c r="D103" s="2" t="inlineStr">
        <is>
          <t>Forecast sector revenue</t>
        </is>
      </c>
      <c r="E103" s="3" t="n">
        <v>77200000000</v>
      </c>
      <c r="F103" s="2" t="inlineStr">
        <is>
          <t>BRL</t>
        </is>
      </c>
      <c r="G103" s="2" t="inlineStr">
        <is>
          <t>Forecast</t>
        </is>
      </c>
      <c r="H103" s="2" t="inlineStr">
        <is>
          <t>Forecast for 2025</t>
        </is>
      </c>
      <c r="I103" s="2" t="inlineStr">
        <is>
          <t>S35</t>
        </is>
      </c>
      <c r="J103" s="2" t="inlineStr">
        <is>
          <t>October 2025 outlook; not verified full-year actual</t>
        </is>
      </c>
      <c r="K103" s="4" t="inlineStr">
        <is>
          <t>https://abempet.org.br/2025/10/no-digital-o-varejo-especializado-mantem-a-lideranca/</t>
        </is>
      </c>
      <c r="L103" s="2" t="inlineStr">
        <is>
          <t>2026-10-13</t>
        </is>
      </c>
    </row>
    <row r="104" ht="68" customHeight="1">
      <c r="A104" s="2" t="inlineStr">
        <is>
          <t>M103</t>
        </is>
      </c>
      <c r="B104" s="2" t="inlineStr">
        <is>
          <t>Jewellery insurance</t>
        </is>
      </c>
      <c r="C104" s="2" t="inlineStr">
        <is>
          <t>Jewelers Mutual US</t>
        </is>
      </c>
      <c r="D104" s="2" t="inlineStr">
        <is>
          <t>Typical annual premium rate lower bound</t>
        </is>
      </c>
      <c r="E104" s="3" t="n">
        <v>1</v>
      </c>
      <c r="F104" s="2" t="inlineStr">
        <is>
          <t>percent of insured value</t>
        </is>
      </c>
      <c r="G104" s="2" t="inlineStr">
        <is>
          <t>Advertised</t>
        </is>
      </c>
      <c r="H104" s="2" t="inlineStr">
        <is>
          <t>Observed October 2026</t>
        </is>
      </c>
      <c r="I104" s="2" t="inlineStr">
        <is>
          <t>S38</t>
        </is>
      </c>
      <c r="J104" s="2" t="inlineStr">
        <is>
          <t>Not Objais, Brazil or EU rate</t>
        </is>
      </c>
      <c r="K104" s="4" t="inlineStr">
        <is>
          <t>https://www.jewelersmutual.com/jewelry-insurance-explained/cost</t>
        </is>
      </c>
      <c r="L104" s="2" t="inlineStr">
        <is>
          <t>2026-10-13</t>
        </is>
      </c>
    </row>
    <row r="105" ht="68" customHeight="1">
      <c r="A105" s="2" t="inlineStr">
        <is>
          <t>M104</t>
        </is>
      </c>
      <c r="B105" s="2" t="inlineStr">
        <is>
          <t>Jewellery insurance</t>
        </is>
      </c>
      <c r="C105" s="2" t="inlineStr">
        <is>
          <t>Jewelers Mutual US</t>
        </is>
      </c>
      <c r="D105" s="2" t="inlineStr">
        <is>
          <t>Typical annual premium rate upper bound</t>
        </is>
      </c>
      <c r="E105" s="3" t="n">
        <v>2</v>
      </c>
      <c r="F105" s="2" t="inlineStr">
        <is>
          <t>percent of insured value</t>
        </is>
      </c>
      <c r="G105" s="2" t="inlineStr">
        <is>
          <t>Advertised</t>
        </is>
      </c>
      <c r="H105" s="2" t="inlineStr">
        <is>
          <t>Observed October 2026</t>
        </is>
      </c>
      <c r="I105" s="2" t="inlineStr">
        <is>
          <t>S38</t>
        </is>
      </c>
      <c r="J105" s="2" t="inlineStr"/>
      <c r="K105" s="4" t="inlineStr">
        <is>
          <t>https://www.jewelersmutual.com/jewelry-insurance-explained/cost</t>
        </is>
      </c>
      <c r="L105" s="2" t="inlineStr">
        <is>
          <t>2026-10-13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</hyperlinks>
  <pageMargins left="0.75" right="0.75" top="1" bottom="1" header="0.5" footer="0.5"/>
  <tableParts count="1">
    <tablePart xmlns:r="http://schemas.openxmlformats.org/officeDocument/2006/relationships" r:id="rId10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3" customWidth="1" min="2" max="2"/>
    <col width="35" customWidth="1" min="3" max="3"/>
    <col width="72" customWidth="1" min="4" max="4"/>
    <col width="85" customWidth="1" min="5" max="5"/>
    <col width="26" customWidth="1" min="6" max="6"/>
  </cols>
  <sheetData>
    <row r="1" ht="42" customHeight="1">
      <c r="A1" s="1" t="inlineStr">
        <is>
          <t>Market</t>
        </is>
      </c>
      <c r="B1" s="1" t="inlineStr">
        <is>
          <t>Product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Geographic or rollout limit</t>
        </is>
      </c>
      <c r="F1" s="1" t="inlineStr">
        <is>
          <t>Source IDs</t>
        </is>
      </c>
    </row>
    <row r="2" ht="68" customHeight="1">
      <c r="A2" s="2" t="inlineStr">
        <is>
          <t>Fine art</t>
        </is>
      </c>
      <c r="B2" s="2" t="inlineStr">
        <is>
          <t>Select</t>
        </is>
      </c>
      <c r="C2" s="2" t="inlineStr">
        <is>
          <t>Advertised current</t>
        </is>
      </c>
      <c r="D2" s="2" t="inlineStr">
        <is>
          <t>Homepage and Select</t>
        </is>
      </c>
      <c r="E2" s="2" t="inlineStr">
        <is>
          <t>Europe and beyond advertised; Brazil placement unverified</t>
        </is>
      </c>
      <c r="F2" s="2" t="inlineStr">
        <is>
          <t>S01; S03</t>
        </is>
      </c>
    </row>
    <row r="3" ht="68" customHeight="1">
      <c r="A3" s="2" t="inlineStr">
        <is>
          <t>Luxury watches</t>
        </is>
      </c>
      <c r="B3" s="2" t="inlineStr">
        <is>
          <t>Select</t>
        </is>
      </c>
      <c r="C3" s="2" t="inlineStr">
        <is>
          <t>Advertised current</t>
        </is>
      </c>
      <c r="D3" s="2" t="inlineStr">
        <is>
          <t>Homepage and Select</t>
        </is>
      </c>
      <c r="E3" s="2" t="inlineStr">
        <is>
          <t>Country/insurer acceptance unverified</t>
        </is>
      </c>
      <c r="F3" s="2" t="inlineStr">
        <is>
          <t>S01; S03</t>
        </is>
      </c>
    </row>
    <row r="4" ht="68" customHeight="1">
      <c r="A4" s="2" t="inlineStr">
        <is>
          <t>Jewellery</t>
        </is>
      </c>
      <c r="B4" s="2" t="inlineStr">
        <is>
          <t>Select</t>
        </is>
      </c>
      <c r="C4" s="2" t="inlineStr">
        <is>
          <t>Advertised current</t>
        </is>
      </c>
      <c r="D4" s="2" t="inlineStr">
        <is>
          <t>Homepage and Select</t>
        </is>
      </c>
      <c r="E4" s="2" t="inlineStr">
        <is>
          <t>Country/insurer acceptance unverified</t>
        </is>
      </c>
      <c r="F4" s="2" t="inlineStr">
        <is>
          <t>S01; S03</t>
        </is>
      </c>
    </row>
    <row r="5" ht="68" customHeight="1">
      <c r="A5" s="2" t="inlineStr">
        <is>
          <t>Luxury handbags</t>
        </is>
      </c>
      <c r="B5" s="2" t="inlineStr">
        <is>
          <t>Select</t>
        </is>
      </c>
      <c r="C5" s="2" t="inlineStr">
        <is>
          <t>Advertised current</t>
        </is>
      </c>
      <c r="D5" s="2" t="inlineStr">
        <is>
          <t>Homepage and Select</t>
        </is>
      </c>
      <c r="E5" s="2" t="inlineStr">
        <is>
          <t>Country/insurer acceptance unverified</t>
        </is>
      </c>
      <c r="F5" s="2" t="inlineStr">
        <is>
          <t>S01; S03</t>
        </is>
      </c>
    </row>
    <row r="6" ht="68" customHeight="1">
      <c r="A6" s="2" t="inlineStr">
        <is>
          <t>Yachts and superyachts</t>
        </is>
      </c>
      <c r="B6" s="2" t="inlineStr">
        <is>
          <t>Select</t>
        </is>
      </c>
      <c r="C6" s="2" t="inlineStr">
        <is>
          <t>Advertised current</t>
        </is>
      </c>
      <c r="D6" s="2" t="inlineStr">
        <is>
          <t>Homepage and Select</t>
        </is>
      </c>
      <c r="E6" s="2" t="inlineStr">
        <is>
          <t>Private/charter and navigation scope unverified</t>
        </is>
      </c>
      <c r="F6" s="2" t="inlineStr">
        <is>
          <t>S01; S03</t>
        </is>
      </c>
    </row>
    <row r="7" ht="68" customHeight="1">
      <c r="A7" s="2" t="inlineStr">
        <is>
          <t>Supercars</t>
        </is>
      </c>
      <c r="B7" s="2" t="inlineStr">
        <is>
          <t>Select</t>
        </is>
      </c>
      <c r="C7" s="2" t="inlineStr">
        <is>
          <t>Advertised current</t>
        </is>
      </c>
      <c r="D7" s="2" t="inlineStr">
        <is>
          <t>Homepage and insurance page; Select contains old July wording</t>
        </is>
      </c>
      <c r="E7" s="2" t="inlineStr">
        <is>
          <t>Actual launched-country matrix unverified</t>
        </is>
      </c>
      <c r="F7" s="2" t="inlineStr">
        <is>
          <t>S01; S02; S03</t>
        </is>
      </c>
    </row>
    <row r="8" ht="68" customHeight="1">
      <c r="A8" s="2" t="inlineStr">
        <is>
          <t>Cars</t>
        </is>
      </c>
      <c r="B8" s="2" t="inlineStr">
        <is>
          <t>Family</t>
        </is>
      </c>
      <c r="C8" s="2" t="inlineStr">
        <is>
          <t>Advertised current</t>
        </is>
      </c>
      <c r="D8" s="2" t="inlineStr">
        <is>
          <t>Homepage and insurance page</t>
        </is>
      </c>
      <c r="E8" s="2" t="inlineStr">
        <is>
          <t>Driver/geography-dependent binding quote</t>
        </is>
      </c>
      <c r="F8" s="2" t="inlineStr">
        <is>
          <t>S01; S02; S04</t>
        </is>
      </c>
    </row>
    <row r="9" ht="68" customHeight="1">
      <c r="A9" s="2" t="inlineStr">
        <is>
          <t>Leisure boats</t>
        </is>
      </c>
      <c r="B9" s="2" t="inlineStr">
        <is>
          <t>Family</t>
        </is>
      </c>
      <c r="C9" s="2" t="inlineStr">
        <is>
          <t>Advertised current</t>
        </is>
      </c>
      <c r="D9" s="2" t="inlineStr">
        <is>
          <t>Homepage and Family</t>
        </is>
      </c>
      <c r="E9" s="2" t="inlineStr">
        <is>
          <t>Hull/liability/navigation scope unverified</t>
        </is>
      </c>
      <c r="F9" s="2" t="inlineStr">
        <is>
          <t>S01; S04</t>
        </is>
      </c>
    </row>
    <row r="10" ht="68" customHeight="1">
      <c r="A10" s="2" t="inlineStr">
        <is>
          <t>Pets</t>
        </is>
      </c>
      <c r="B10" s="2" t="inlineStr">
        <is>
          <t>Family</t>
        </is>
      </c>
      <c r="C10" s="2" t="inlineStr">
        <is>
          <t>Advertised current</t>
        </is>
      </c>
      <c r="D10" s="2" t="inlineStr">
        <is>
          <t>Homepage and insurance page</t>
        </is>
      </c>
      <c r="E10" s="2" t="inlineStr">
        <is>
          <t>Coverage type and country acceptance unverified</t>
        </is>
      </c>
      <c r="F10" s="2" t="inlineStr">
        <is>
          <t>S01; S02; S04</t>
        </is>
      </c>
    </row>
    <row r="11" ht="68" customHeight="1">
      <c r="A11" s="2" t="inlineStr">
        <is>
          <t>Antiques and collections</t>
        </is>
      </c>
      <c r="B11" s="2" t="inlineStr">
        <is>
          <t>Select/Family</t>
        </is>
      </c>
      <c r="C11" s="2" t="inlineStr">
        <is>
          <t>Advertised broad scope</t>
        </is>
      </c>
      <c r="D11" s="2" t="inlineStr">
        <is>
          <t>Insurance page and FAQ</t>
        </is>
      </c>
      <c r="E11" s="2" t="inlineStr">
        <is>
          <t>Not proof of every collectible category accepted</t>
        </is>
      </c>
      <c r="F11" s="2" t="inlineStr">
        <is>
          <t>S02; S06</t>
        </is>
      </c>
    </row>
    <row r="12" ht="68" customHeight="1">
      <c r="A12" s="2" t="inlineStr">
        <is>
          <t>Wine collections and musical instruments</t>
        </is>
      </c>
      <c r="B12" s="2" t="inlineStr">
        <is>
          <t>Broad FAQ</t>
        </is>
      </c>
      <c r="C12" s="2" t="inlineStr">
        <is>
          <t>Mentioned; availability unresolved</t>
        </is>
      </c>
      <c r="D12" s="2" t="inlineStr">
        <is>
          <t>FAQ only in reviewed category mapping</t>
        </is>
      </c>
      <c r="E12" s="2" t="inlineStr">
        <is>
          <t>No confirmed category-specific rollout/traction</t>
        </is>
      </c>
      <c r="F12" s="2" t="inlineStr">
        <is>
          <t>S06</t>
        </is>
      </c>
    </row>
    <row r="13" ht="68" customHeight="1">
      <c r="A13" s="2" t="inlineStr">
        <is>
          <t>Home and contents</t>
        </is>
      </c>
      <c r="B13" s="2" t="inlineStr">
        <is>
          <t>Family</t>
        </is>
      </c>
      <c r="C13" s="2" t="inlineStr">
        <is>
          <t>Availability inconsistent</t>
        </is>
      </c>
      <c r="D13" s="2" t="inlineStr">
        <is>
          <t>Family lists; insurance page says forthcoming</t>
        </is>
      </c>
      <c r="E13" s="2" t="inlineStr">
        <is>
          <t>Exclude from current market totals</t>
        </is>
      </c>
      <c r="F13" s="2" t="inlineStr">
        <is>
          <t>S02; S04</t>
        </is>
      </c>
    </row>
    <row r="14" ht="68" customHeight="1">
      <c r="A14" s="2" t="inlineStr">
        <is>
          <t>Health</t>
        </is>
      </c>
      <c r="B14" s="2" t="inlineStr">
        <is>
          <t>Family</t>
        </is>
      </c>
      <c r="C14" s="2" t="inlineStr">
        <is>
          <t>Availability inconsistent</t>
        </is>
      </c>
      <c r="D14" s="2" t="inlineStr">
        <is>
          <t>Family lists; insurance page says forthcoming</t>
        </is>
      </c>
      <c r="E14" s="2" t="inlineStr">
        <is>
          <t>Exclude from current market totals</t>
        </is>
      </c>
      <c r="F14" s="2" t="inlineStr">
        <is>
          <t>S02; S04</t>
        </is>
      </c>
    </row>
    <row r="15" ht="68" customHeight="1">
      <c r="A15" s="2" t="inlineStr">
        <is>
          <t>Professional liability, fleets, group health, SME multi-risk</t>
        </is>
      </c>
      <c r="B15" s="2" t="inlineStr">
        <is>
          <t>Business</t>
        </is>
      </c>
      <c r="C15" s="2" t="inlineStr">
        <is>
          <t>Planned end 2026</t>
        </is>
      </c>
      <c r="D15" s="2" t="inlineStr">
        <is>
          <t>Waitlist and future launch</t>
        </is>
      </c>
      <c r="E15" s="2" t="inlineStr">
        <is>
          <t>Exclude from current market totals</t>
        </is>
      </c>
      <c r="F15" s="2" t="inlineStr">
        <is>
          <t>S05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  <col width="55" customWidth="1" min="3" max="3"/>
    <col width="64" customWidth="1" min="4" max="4"/>
    <col width="61" customWidth="1" min="5" max="5"/>
    <col width="45" customWidth="1" min="6" max="6"/>
    <col width="75" customWidth="1" min="7" max="7"/>
  </cols>
  <sheetData>
    <row r="1" ht="42" customHeight="1">
      <c r="A1" s="1" t="inlineStr">
        <is>
          <t>Segment</t>
        </is>
      </c>
      <c r="B1" s="1" t="inlineStr">
        <is>
          <t>Insurance value hypothesis</t>
        </is>
      </c>
      <c r="C1" s="1" t="inlineStr">
        <is>
          <t>Frequency hypothesis</t>
        </is>
      </c>
      <c r="D1" s="1" t="inlineStr">
        <is>
          <t>Useful continuing tasks</t>
        </is>
      </c>
      <c r="E1" s="1" t="inlineStr">
        <is>
          <t>Distribution hypothesis</t>
        </is>
      </c>
      <c r="F1" s="1" t="inlineStr">
        <is>
          <t>Research priority</t>
        </is>
      </c>
      <c r="G1" s="1" t="inlineStr">
        <is>
          <t>Unresolved issue</t>
        </is>
      </c>
    </row>
    <row r="2" ht="68" customHeight="1">
      <c r="A2" s="2" t="inlineStr">
        <is>
          <t>Watches and jewellery</t>
        </is>
      </c>
      <c r="B2" s="2" t="inlineStr">
        <is>
          <t>Potentially high for valuable collections</t>
        </is>
      </c>
      <c r="C2" s="2" t="inlineStr">
        <is>
          <t>Low to moderate for single-item owner; higher for active collector</t>
        </is>
      </c>
      <c r="D2" s="2" t="inlineStr">
        <is>
          <t>Records, acquisitions, appraisals and protection changes</t>
        </is>
      </c>
      <c r="E2" s="2" t="inlineStr">
        <is>
          <t>Dealers, jewellers, collectors, specialist brokers</t>
        </is>
      </c>
      <c r="F2" s="2" t="inlineStr">
        <is>
          <t>Best first existing-scope test</t>
        </is>
      </c>
      <c r="G2" s="2" t="inlineStr">
        <is>
          <t>Fees, renewal rights and retained cohort not established</t>
        </is>
      </c>
    </row>
    <row r="3" ht="68" customHeight="1">
      <c r="A3" s="2" t="inlineStr">
        <is>
          <t>Fine art and antiques</t>
        </is>
      </c>
      <c r="B3" s="2" t="inlineStr">
        <is>
          <t>Potentially high for valuable collections</t>
        </is>
      </c>
      <c r="C3" s="2" t="inlineStr">
        <is>
          <t>Episodic but useful through lifecycle</t>
        </is>
      </c>
      <c r="D3" s="2" t="inlineStr">
        <is>
          <t>Provenance, locations, transit, loans and estate inventory</t>
        </is>
      </c>
      <c r="E3" s="2" t="inlineStr">
        <is>
          <t>Galleries, advisors, auction houses and private banks</t>
        </is>
      </c>
      <c r="F3" s="2" t="inlineStr">
        <is>
          <t>Document and service-led test</t>
        </is>
      </c>
      <c r="G3" s="2" t="inlineStr">
        <is>
          <t>Expertise and professional incumbent tools</t>
        </is>
      </c>
    </row>
    <row r="4" ht="68" customHeight="1">
      <c r="A4" s="2" t="inlineStr">
        <is>
          <t>Handbags</t>
        </is>
      </c>
      <c r="B4" s="2" t="inlineStr">
        <is>
          <t>Depends strongly on collection value</t>
        </is>
      </c>
      <c r="C4" s="2" t="inlineStr">
        <is>
          <t>Moderate hypothesis for active buyers/resellers</t>
        </is>
      </c>
      <c r="D4" s="2" t="inlineStr">
        <is>
          <t>Receipts, condition, authentication and sale updates</t>
        </is>
      </c>
      <c r="E4" s="2" t="inlineStr">
        <is>
          <t>Resale dealers, authenticators and repair providers</t>
        </is>
      </c>
      <c r="F4" s="2" t="inlineStr">
        <is>
          <t>Adjacency to watch/jewellery portfolio</t>
        </is>
      </c>
      <c r="G4" s="2" t="inlineStr">
        <is>
          <t>Insurer appetite and valuation basis</t>
        </is>
      </c>
    </row>
    <row r="5" ht="68" customHeight="1">
      <c r="A5" s="2" t="inlineStr">
        <is>
          <t>Yachts and superyachts</t>
        </is>
      </c>
      <c r="B5" s="2" t="inlineStr">
        <is>
          <t>Potentially high but complex</t>
        </is>
      </c>
      <c r="C5" s="2" t="inlineStr">
        <is>
          <t>Low purchase frequency; operational events recur</t>
        </is>
      </c>
      <c r="D5" s="2" t="inlineStr">
        <is>
          <t>Survey, mooring, navigation and ownership documents</t>
        </is>
      </c>
      <c r="E5" s="2" t="inlineStr">
        <is>
          <t>Marinas, managers, surveyors, brokers and dealers</t>
        </is>
      </c>
      <c r="F5" s="2" t="inlineStr">
        <is>
          <t>Partner-led specialist segment</t>
        </is>
      </c>
      <c r="G5" s="2" t="inlineStr">
        <is>
          <t>Higher servicing cost; incumbent relationships</t>
        </is>
      </c>
    </row>
    <row r="6" ht="68" customHeight="1">
      <c r="A6" s="2" t="inlineStr">
        <is>
          <t>Supercars</t>
        </is>
      </c>
      <c r="B6" s="2" t="inlineStr">
        <is>
          <t>Potentially high but segmented</t>
        </is>
      </c>
      <c r="C6" s="2" t="inlineStr">
        <is>
          <t>Low purchase frequency; events and servicing recur</t>
        </is>
      </c>
      <c r="D6" s="2" t="inlineStr">
        <is>
          <t>Agreed value, maintenance, use and driver changes</t>
        </is>
      </c>
      <c r="E6" s="2" t="inlineStr">
        <is>
          <t>Specialist dealers, clubs and brokers</t>
        </is>
      </c>
      <c r="F6" s="2" t="inlineStr">
        <is>
          <t>Partner-led specialist segment</t>
        </is>
      </c>
      <c r="G6" s="2" t="inlineStr">
        <is>
          <t>Photo reveals little about driver/use exposure</t>
        </is>
      </c>
    </row>
    <row r="7" ht="68" customHeight="1">
      <c r="A7" s="2" t="inlineStr">
        <is>
          <t>Everyday cars</t>
        </is>
      </c>
      <c r="B7" s="2" t="inlineStr">
        <is>
          <t>Large premium market, unknown net lead fee</t>
        </is>
      </c>
      <c r="C7" s="2" t="inlineStr">
        <is>
          <t>Renewal and claims events; daily use does not imply app retention</t>
        </is>
      </c>
      <c r="D7" s="2" t="inlineStr">
        <is>
          <t>Policy comparison, renewal, documents and claims</t>
        </is>
      </c>
      <c r="E7" s="2" t="inlineStr">
        <is>
          <t>Dealers, finance, comparison sites and brokers</t>
        </is>
      </c>
      <c r="F7" s="2" t="inlineStr">
        <is>
          <t>Separate mass-market distribution test</t>
        </is>
      </c>
      <c r="G7" s="2" t="inlineStr">
        <is>
          <t>Mature competition and acquisition cost</t>
        </is>
      </c>
    </row>
    <row r="8" ht="68" customHeight="1">
      <c r="A8" s="2" t="inlineStr">
        <is>
          <t>Leisure boats</t>
        </is>
      </c>
      <c r="B8" s="2" t="inlineStr">
        <is>
          <t>Variable by vessel and coverage</t>
        </is>
      </c>
      <c r="C8" s="2" t="inlineStr">
        <is>
          <t>Seasonal operational and renewal events</t>
        </is>
      </c>
      <c r="D8" s="2" t="inlineStr">
        <is>
          <t>Hull/liability records, cruising and mooring changes</t>
        </is>
      </c>
      <c r="E8" s="2" t="inlineStr">
        <is>
          <t>Marinas, clubs, dealers and specialist intermediaries</t>
        </is>
      </c>
      <c r="F8" s="2" t="inlineStr">
        <is>
          <t>Separate from superyachts</t>
        </is>
      </c>
      <c r="G8" s="2" t="inlineStr">
        <is>
          <t>Do not apply one premium/ticket assumption across boats</t>
        </is>
      </c>
    </row>
    <row r="9" ht="68" customHeight="1">
      <c r="A9" s="2" t="inlineStr">
        <is>
          <t>Pets</t>
        </is>
      </c>
      <c r="B9" s="2" t="inlineStr">
        <is>
          <t>Documented repeat insurance/service workflows</t>
        </is>
      </c>
      <c r="C9" s="2" t="inlineStr">
        <is>
          <t>Care is recurring; intermediary app use must be earned</t>
        </is>
      </c>
      <c r="D9" s="2" t="inlineStr">
        <is>
          <t>Policy limits, records, reimbursements and assistance</t>
        </is>
      </c>
      <c r="E9" s="2" t="inlineStr">
        <is>
          <t>Vets, pet retailers and insurer service channels</t>
        </is>
      </c>
      <c r="F9" s="2" t="inlineStr">
        <is>
          <t>Separate care/service experiment</t>
        </is>
      </c>
      <c r="G9" s="2" t="inlineStr">
        <is>
          <t>Insurers already own service apps; reimbursement access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9" customWidth="1" min="2" max="2"/>
    <col width="74" customWidth="1" min="3" max="3"/>
    <col width="61" customWidth="1" min="4" max="4"/>
    <col width="72" customWidth="1" min="5" max="5"/>
    <col width="25" customWidth="1" min="6" max="6"/>
  </cols>
  <sheetData>
    <row r="1" ht="42" customHeight="1">
      <c r="A1" s="1" t="inlineStr">
        <is>
          <t>Company or product</t>
        </is>
      </c>
      <c r="B1" s="1" t="inlineStr">
        <is>
          <t>Category</t>
        </is>
      </c>
      <c r="C1" s="1" t="inlineStr">
        <is>
          <t>Advertised capabilities</t>
        </is>
      </c>
      <c r="D1" s="1" t="inlineStr">
        <is>
          <t>Geography and scope</t>
        </is>
      </c>
      <c r="E1" s="1" t="inlineStr">
        <is>
          <t>Commercial implication</t>
        </is>
      </c>
      <c r="F1" s="1" t="inlineStr">
        <is>
          <t>Source IDs</t>
        </is>
      </c>
    </row>
    <row r="2" ht="68" customHeight="1">
      <c r="A2" s="2" t="inlineStr">
        <is>
          <t>WAX</t>
        </is>
      </c>
      <c r="B2" s="2" t="inlineStr">
        <is>
          <t>Watches, jewellery, bags, art and other collections</t>
        </is>
      </c>
      <c r="C2" s="2" t="inlineStr">
        <is>
          <t>Digital inventory, photos, insurance quotes and policy edits</t>
        </is>
      </c>
      <c r="D2" s="2" t="inlineStr">
        <is>
          <t>US and UAE named in app description</t>
        </is>
      </c>
      <c r="E2" s="2" t="inlineStr">
        <is>
          <t>Very close product benchmark</t>
        </is>
      </c>
      <c r="F2" s="2" t="inlineStr">
        <is>
          <t>S41; S42; S43</t>
        </is>
      </c>
    </row>
    <row r="3" ht="68" customHeight="1">
      <c r="A3" s="2" t="inlineStr">
        <is>
          <t>Chubb and embedded partners</t>
        </is>
      </c>
      <c r="B3" s="2" t="inlineStr">
        <is>
          <t>Valuables</t>
        </is>
      </c>
      <c r="C3" s="2" t="inlineStr">
        <is>
          <t>Carrier infrastructure, agents and embedded distribution</t>
        </is>
      </c>
      <c r="D3" s="2" t="inlineStr">
        <is>
          <t>Market-specific products</t>
        </is>
      </c>
      <c r="E3" s="2" t="inlineStr">
        <is>
          <t>Carrier backing and lifecycle access matter</t>
        </is>
      </c>
      <c r="F3" s="2" t="inlineStr">
        <is>
          <t>S43</t>
        </is>
      </c>
    </row>
    <row r="4" ht="68" customHeight="1">
      <c r="A4" s="2" t="inlineStr">
        <is>
          <t>Hodinkee Insurance / Chubb</t>
        </is>
      </c>
      <c r="B4" s="2" t="inlineStr">
        <is>
          <t>Watches</t>
        </is>
      </c>
      <c r="C4" s="2" t="inlineStr">
        <is>
          <t>Watch audience with embedded valuables insurance</t>
        </is>
      </c>
      <c r="D4" s="2" t="inlineStr">
        <is>
          <t>Chubb directory; not universal geography</t>
        </is>
      </c>
      <c r="E4" s="2" t="inlineStr">
        <is>
          <t>Existing audience can reduce acquisition friction</t>
        </is>
      </c>
      <c r="F4" s="2" t="inlineStr">
        <is>
          <t>S43</t>
        </is>
      </c>
    </row>
    <row r="5" ht="68" customHeight="1">
      <c r="A5" s="2" t="inlineStr">
        <is>
          <t>Jewelers Mutual</t>
        </is>
      </c>
      <c r="B5" s="2" t="inlineStr">
        <is>
          <t>Jewellery and watches</t>
        </is>
      </c>
      <c r="C5" s="2" t="inlineStr">
        <is>
          <t>Specialist coverage, agents and insurer servicing</t>
        </is>
      </c>
      <c r="D5" s="2" t="inlineStr">
        <is>
          <t>US-oriented reviewed pages</t>
        </is>
      </c>
      <c r="E5" s="2" t="inlineStr">
        <is>
          <t>Trusted jeweller/agent distribution and protection expertise</t>
        </is>
      </c>
      <c r="F5" s="2" t="inlineStr">
        <is>
          <t>S38; S39</t>
        </is>
      </c>
    </row>
    <row r="6" ht="68" customHeight="1">
      <c r="A6" s="2" t="inlineStr">
        <is>
          <t>Chrono24</t>
        </is>
      </c>
      <c r="B6" s="2" t="inlineStr">
        <is>
          <t>Watches</t>
        </is>
      </c>
      <c r="C6" s="2" t="inlineStr">
        <is>
          <t>Marketplace and secondary-market reference data</t>
        </is>
      </c>
      <c r="D6" s="2" t="inlineStr">
        <is>
          <t>Global marketplace</t>
        </is>
      </c>
      <c r="E6" s="2" t="inlineStr">
        <is>
          <t>Collector engagement already exists elsewhere</t>
        </is>
      </c>
      <c r="F6" s="2" t="inlineStr">
        <is>
          <t>S15</t>
        </is>
      </c>
    </row>
    <row r="7" ht="68" customHeight="1">
      <c r="A7" s="2" t="inlineStr">
        <is>
          <t>Artlogic</t>
        </is>
      </c>
      <c r="B7" s="2" t="inlineStr">
        <is>
          <t>Fine art</t>
        </is>
      </c>
      <c r="C7" s="2" t="inlineStr">
        <is>
          <t>Collection/inventory and art business software</t>
        </is>
      </c>
      <c r="D7" s="2" t="inlineStr">
        <is>
          <t>Professional art infrastructure</t>
        </is>
      </c>
      <c r="E7" s="2" t="inlineStr">
        <is>
          <t>Basic inventory alone is competitive</t>
        </is>
      </c>
      <c r="F7" s="2" t="inlineStr">
        <is>
          <t>S44</t>
        </is>
      </c>
    </row>
    <row r="8" ht="68" customHeight="1">
      <c r="A8" s="2" t="inlineStr">
        <is>
          <t>Howden Portugal</t>
        </is>
      </c>
      <c r="B8" s="2" t="inlineStr">
        <is>
          <t>Fine art and collections</t>
        </is>
      </c>
      <c r="C8" s="2" t="inlineStr">
        <is>
          <t>Specialist insurance placement</t>
        </is>
      </c>
      <c r="D8" s="2" t="inlineStr">
        <is>
          <t>Portugal reviewed offering</t>
        </is>
      </c>
      <c r="E8" s="2" t="inlineStr">
        <is>
          <t>Potential competitor or counterpart; no relationship confirmed</t>
        </is>
      </c>
      <c r="F8" s="2" t="inlineStr">
        <is>
          <t>S45</t>
        </is>
      </c>
    </row>
    <row r="9" ht="68" customHeight="1">
      <c r="A9" s="2" t="inlineStr">
        <is>
          <t>Pantaenius</t>
        </is>
      </c>
      <c r="B9" s="2" t="inlineStr">
        <is>
          <t>Boats, yachts and superyachts</t>
        </is>
      </c>
      <c r="C9" s="2" t="inlineStr">
        <is>
          <t>Hull, liability, specialist claims and ongoing policy updates</t>
        </is>
      </c>
      <c r="D9" s="2" t="inlineStr">
        <is>
          <t>UK and other named offices; terms differ</t>
        </is>
      </c>
      <c r="E9" s="2" t="inlineStr">
        <is>
          <t>Specialist service standards exceed photo identification</t>
        </is>
      </c>
      <c r="F9" s="2" t="inlineStr">
        <is>
          <t>S40</t>
        </is>
      </c>
    </row>
    <row r="10" ht="68" customHeight="1">
      <c r="A10" s="2" t="inlineStr">
        <is>
          <t>Fidelidade / MyFidelidade</t>
        </is>
      </c>
      <c r="B10" s="2" t="inlineStr">
        <is>
          <t>Pets</t>
        </is>
      </c>
      <c r="C10" s="2" t="inlineStr">
        <is>
          <t>Product tiers, prevention, assistance and reimbursements</t>
        </is>
      </c>
      <c r="D10" s="2" t="inlineStr">
        <is>
          <t>Portugal</t>
        </is>
      </c>
      <c r="E10" s="2" t="inlineStr">
        <is>
          <t>Insurer already has recurring service workflow</t>
        </is>
      </c>
      <c r="F10" s="2" t="inlineStr">
        <is>
          <t>S36; S37</t>
        </is>
      </c>
    </row>
    <row r="11" ht="68" customHeight="1">
      <c r="A11" s="2" t="inlineStr">
        <is>
          <t>Porto residential art extension</t>
        </is>
      </c>
      <c r="B11" s="2" t="inlineStr">
        <is>
          <t>Art / antiques boundary</t>
        </is>
      </c>
      <c r="C11" s="2" t="inlineStr">
        <is>
          <t>Contract-defined art extension with exclusions</t>
        </is>
      </c>
      <c r="D11" s="2" t="inlineStr">
        <is>
          <t>Brazil; one wording</t>
        </is>
      </c>
      <c r="E11" s="2" t="inlineStr">
        <is>
          <t>A broad insurance label does not establish category coverage</t>
        </is>
      </c>
      <c r="F11" s="2" t="inlineStr">
        <is>
          <t>S46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1" customWidth="1" min="3" max="3"/>
    <col width="27" customWidth="1" min="4" max="4"/>
    <col width="38" customWidth="1" min="5" max="5"/>
    <col width="32" customWidth="1" min="6" max="6"/>
    <col width="34" customWidth="1" min="7" max="7"/>
    <col width="39" customWidth="1" min="8" max="8"/>
    <col width="26" customWidth="1" min="9" max="9"/>
    <col width="34" customWidth="1" min="10" max="10"/>
    <col width="38" customWidth="1" min="11" max="11"/>
  </cols>
  <sheetData>
    <row r="1" ht="42" customHeight="1">
      <c r="A1" s="1" t="inlineStr">
        <is>
          <t>Segment</t>
        </is>
      </c>
      <c r="B1" s="1" t="inlineStr">
        <is>
          <t>Acquired users</t>
        </is>
      </c>
      <c r="C1" s="1" t="inlineStr">
        <is>
          <t>Acquisition cost per acquired user</t>
        </is>
      </c>
      <c r="D1" s="1" t="inlineStr">
        <is>
          <t>Qualified-request rate</t>
        </is>
      </c>
      <c r="E1" s="1" t="inlineStr">
        <is>
          <t>Paid acceptance conditional on qualified request</t>
        </is>
      </c>
      <c r="F1" s="1" t="inlineStr">
        <is>
          <t>Net fee per paid accepted lead</t>
        </is>
      </c>
      <c r="G1" s="1" t="inlineStr">
        <is>
          <t>Variable cost per acquired user</t>
        </is>
      </c>
      <c r="H1" s="1" t="inlineStr">
        <is>
          <t>Earned future net fees per paid lead</t>
        </is>
      </c>
      <c r="I1" s="1" t="inlineStr">
        <is>
          <t>Paid accepted leads</t>
        </is>
      </c>
      <c r="J1" s="1" t="inlineStr">
        <is>
          <t>Contribution before fixed costs</t>
        </is>
      </c>
      <c r="K1" s="1" t="inlineStr">
        <is>
          <t>Maximum break-even CAC per acquired user</t>
        </is>
      </c>
    </row>
    <row r="2" ht="45" customHeight="1">
      <c r="A2" s="2" t="inlineStr">
        <is>
          <t>Watches and jewellery</t>
        </is>
      </c>
      <c r="B2" s="5" t="n"/>
      <c r="C2" s="5" t="n"/>
      <c r="D2" s="6" t="n"/>
      <c r="E2" s="6" t="n"/>
      <c r="F2" s="5" t="n"/>
      <c r="G2" s="5" t="n"/>
      <c r="H2" s="5" t="n"/>
      <c r="I2" s="2">
        <f>IF(COUNT(B2:H2)&lt;7,"",B2*D2*E2)</f>
        <v/>
      </c>
      <c r="J2" s="2">
        <f>IF(COUNT(B2:H2)&lt;7,"",B2*D2*E2*(F2+H2)-B2*(C2+G2))</f>
        <v/>
      </c>
      <c r="K2" s="2">
        <f>IF(COUNT(B2:H2)&lt;7,"",D2*E2*(F2+H2)-G2)</f>
        <v/>
      </c>
    </row>
    <row r="3" ht="45" customHeight="1">
      <c r="A3" s="2" t="inlineStr">
        <is>
          <t>Fine art and antiques</t>
        </is>
      </c>
      <c r="B3" s="5" t="n"/>
      <c r="C3" s="5" t="n"/>
      <c r="D3" s="6" t="n"/>
      <c r="E3" s="6" t="n"/>
      <c r="F3" s="5" t="n"/>
      <c r="G3" s="5" t="n"/>
      <c r="H3" s="5" t="n"/>
      <c r="I3" s="2">
        <f>IF(COUNT(B3:H3)&lt;7,"",B3*D3*E3)</f>
        <v/>
      </c>
      <c r="J3" s="2">
        <f>IF(COUNT(B3:H3)&lt;7,"",B3*D3*E3*(F3+H3)-B3*(C3+G3))</f>
        <v/>
      </c>
      <c r="K3" s="2">
        <f>IF(COUNT(B3:H3)&lt;7,"",D3*E3*(F3+H3)-G3)</f>
        <v/>
      </c>
    </row>
    <row r="4" ht="45" customHeight="1">
      <c r="A4" s="2" t="inlineStr">
        <is>
          <t>Handbags</t>
        </is>
      </c>
      <c r="B4" s="5" t="n"/>
      <c r="C4" s="5" t="n"/>
      <c r="D4" s="6" t="n"/>
      <c r="E4" s="6" t="n"/>
      <c r="F4" s="5" t="n"/>
      <c r="G4" s="5" t="n"/>
      <c r="H4" s="5" t="n"/>
      <c r="I4" s="2">
        <f>IF(COUNT(B4:H4)&lt;7,"",B4*D4*E4)</f>
        <v/>
      </c>
      <c r="J4" s="2">
        <f>IF(COUNT(B4:H4)&lt;7,"",B4*D4*E4*(F4+H4)-B4*(C4+G4))</f>
        <v/>
      </c>
      <c r="K4" s="2">
        <f>IF(COUNT(B4:H4)&lt;7,"",D4*E4*(F4+H4)-G4)</f>
        <v/>
      </c>
    </row>
    <row r="5" ht="45" customHeight="1">
      <c r="A5" s="2" t="inlineStr">
        <is>
          <t>Yachts and superyachts</t>
        </is>
      </c>
      <c r="B5" s="5" t="n"/>
      <c r="C5" s="5" t="n"/>
      <c r="D5" s="6" t="n"/>
      <c r="E5" s="6" t="n"/>
      <c r="F5" s="5" t="n"/>
      <c r="G5" s="5" t="n"/>
      <c r="H5" s="5" t="n"/>
      <c r="I5" s="2">
        <f>IF(COUNT(B5:H5)&lt;7,"",B5*D5*E5)</f>
        <v/>
      </c>
      <c r="J5" s="2">
        <f>IF(COUNT(B5:H5)&lt;7,"",B5*D5*E5*(F5+H5)-B5*(C5+G5))</f>
        <v/>
      </c>
      <c r="K5" s="2">
        <f>IF(COUNT(B5:H5)&lt;7,"",D5*E5*(F5+H5)-G5)</f>
        <v/>
      </c>
    </row>
    <row r="6" ht="45" customHeight="1">
      <c r="A6" s="2" t="inlineStr">
        <is>
          <t>Supercars</t>
        </is>
      </c>
      <c r="B6" s="5" t="n"/>
      <c r="C6" s="5" t="n"/>
      <c r="D6" s="6" t="n"/>
      <c r="E6" s="6" t="n"/>
      <c r="F6" s="5" t="n"/>
      <c r="G6" s="5" t="n"/>
      <c r="H6" s="5" t="n"/>
      <c r="I6" s="2">
        <f>IF(COUNT(B6:H6)&lt;7,"",B6*D6*E6)</f>
        <v/>
      </c>
      <c r="J6" s="2">
        <f>IF(COUNT(B6:H6)&lt;7,"",B6*D6*E6*(F6+H6)-B6*(C6+G6))</f>
        <v/>
      </c>
      <c r="K6" s="2">
        <f>IF(COUNT(B6:H6)&lt;7,"",D6*E6*(F6+H6)-G6)</f>
        <v/>
      </c>
    </row>
    <row r="7" ht="45" customHeight="1">
      <c r="A7" s="2" t="inlineStr">
        <is>
          <t>Everyday cars</t>
        </is>
      </c>
      <c r="B7" s="5" t="n"/>
      <c r="C7" s="5" t="n"/>
      <c r="D7" s="6" t="n"/>
      <c r="E7" s="6" t="n"/>
      <c r="F7" s="5" t="n"/>
      <c r="G7" s="5" t="n"/>
      <c r="H7" s="5" t="n"/>
      <c r="I7" s="2">
        <f>IF(COUNT(B7:H7)&lt;7,"",B7*D7*E7)</f>
        <v/>
      </c>
      <c r="J7" s="2">
        <f>IF(COUNT(B7:H7)&lt;7,"",B7*D7*E7*(F7+H7)-B7*(C7+G7))</f>
        <v/>
      </c>
      <c r="K7" s="2">
        <f>IF(COUNT(B7:H7)&lt;7,"",D7*E7*(F7+H7)-G7)</f>
        <v/>
      </c>
    </row>
    <row r="8" ht="45" customHeight="1">
      <c r="A8" s="2" t="inlineStr">
        <is>
          <t>Leisure boats</t>
        </is>
      </c>
      <c r="B8" s="5" t="n"/>
      <c r="C8" s="5" t="n"/>
      <c r="D8" s="6" t="n"/>
      <c r="E8" s="6" t="n"/>
      <c r="F8" s="5" t="n"/>
      <c r="G8" s="5" t="n"/>
      <c r="H8" s="5" t="n"/>
      <c r="I8" s="2">
        <f>IF(COUNT(B8:H8)&lt;7,"",B8*D8*E8)</f>
        <v/>
      </c>
      <c r="J8" s="2">
        <f>IF(COUNT(B8:H8)&lt;7,"",B8*D8*E8*(F8+H8)-B8*(C8+G8))</f>
        <v/>
      </c>
      <c r="K8" s="2">
        <f>IF(COUNT(B8:H8)&lt;7,"",D8*E8*(F8+H8)-G8)</f>
        <v/>
      </c>
    </row>
    <row r="9" ht="45" customHeight="1">
      <c r="A9" s="2" t="inlineStr">
        <is>
          <t>Pets</t>
        </is>
      </c>
      <c r="B9" s="5" t="n"/>
      <c r="C9" s="5" t="n"/>
      <c r="D9" s="6" t="n"/>
      <c r="E9" s="6" t="n"/>
      <c r="F9" s="5" t="n"/>
      <c r="G9" s="5" t="n"/>
      <c r="H9" s="5" t="n"/>
      <c r="I9" s="2">
        <f>IF(COUNT(B9:H9)&lt;7,"",B9*D9*E9)</f>
        <v/>
      </c>
      <c r="J9" s="2">
        <f>IF(COUNT(B9:H9)&lt;7,"",B9*D9*E9*(F9+H9)-B9*(C9+G9))</f>
        <v/>
      </c>
      <c r="K9" s="2">
        <f>IF(COUNT(B9:H9)&lt;7,"",D9*E9*(F9+H9)-G9)</f>
        <v/>
      </c>
    </row>
    <row r="12" ht="35" customHeight="1">
      <c r="A12" s="7" t="inlineStr">
        <is>
          <t>Complete ALL seven blue inputs for a segment, including zero future fees under a one-off lead contract.</t>
        </is>
      </c>
    </row>
    <row r="14" ht="35" customHeight="1">
      <c r="A14" s="7" t="inlineStr">
        <is>
          <t>Use one stated currency and horizon for each row. No conversion or cross-row total is calculated.</t>
        </is>
      </c>
    </row>
    <row r="16" ht="35" customHeight="1">
      <c r="A16" s="7" t="inlineStr">
        <is>
          <t>Future fees are expected contractually earned amounts net of future service costs, not premium renewals or app visits.</t>
        </is>
      </c>
    </row>
    <row r="18" ht="35" customHeight="1">
      <c r="A18" s="7" t="inlineStr">
        <is>
          <t>This simplified contribution model excludes fixed costs, salaries, taxes, refunds, payment delay and discounting; include these in a fuller forecast.</t>
        </is>
      </c>
    </row>
  </sheetData>
  <mergeCells count="4">
    <mergeCell ref="A14:K14"/>
    <mergeCell ref="A16:K16"/>
    <mergeCell ref="A12:K12"/>
    <mergeCell ref="A18:K18"/>
  </mergeCells>
  <dataValidations count="1">
    <dataValidation sqref="D2:E9" showDropDown="0" showInputMessage="0" showErrorMessage="1" allowBlank="1" errorTitle="Rate must be between 0 and 100 percent" error="Enter a fraction between 0 and 1." type="decimal" operator="between">
      <formula1>0</formula1>
      <formula2>1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3" customWidth="1" min="2" max="2"/>
    <col width="100" customWidth="1" min="3" max="3"/>
    <col width="35" customWidth="1" min="4" max="4"/>
    <col width="48" customWidth="1" min="5" max="5"/>
    <col width="110" customWidth="1" min="6" max="6"/>
    <col width="18" customWidth="1" min="7" max="7"/>
  </cols>
  <sheetData>
    <row r="1" ht="42" customHeight="1">
      <c r="A1" s="1" t="inlineStr">
        <is>
          <t>source_id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period</t>
        </is>
      </c>
      <c r="E1" s="1" t="inlineStr">
        <is>
          <t>basis</t>
        </is>
      </c>
      <c r="F1" s="1" t="inlineStr">
        <is>
          <t>limitation</t>
        </is>
      </c>
      <c r="G1" s="1" t="inlineStr">
        <is>
          <t>accessed</t>
        </is>
      </c>
    </row>
    <row r="2" ht="68" customHeight="1">
      <c r="A2" s="2" t="inlineStr">
        <is>
          <t>S01</t>
        </is>
      </c>
      <c r="B2" s="2" t="inlineStr">
        <is>
          <t>Objais homepage</t>
        </is>
      </c>
      <c r="C2" s="4" t="inlineStr">
        <is>
          <t>https://objais.com/en</t>
        </is>
      </c>
      <c r="D2" s="2" t="inlineStr">
        <is>
          <t>Observed October 2026</t>
        </is>
      </c>
      <c r="E2" s="2" t="inlineStr">
        <is>
          <t>Company product marketing</t>
        </is>
      </c>
      <c r="F2" s="2" t="inlineStr">
        <is>
          <t>Advertised categories; does not prove policies sold or country availability</t>
        </is>
      </c>
      <c r="G2" s="2" t="inlineStr">
        <is>
          <t>2026-10-13</t>
        </is>
      </c>
    </row>
    <row r="3" ht="68" customHeight="1">
      <c r="A3" s="2" t="inlineStr">
        <is>
          <t>S02</t>
        </is>
      </c>
      <c r="B3" s="2" t="inlineStr">
        <is>
          <t>Objais insurance</t>
        </is>
      </c>
      <c r="C3" s="4" t="inlineStr">
        <is>
          <t>https://objais.com/en/insurance</t>
        </is>
      </c>
      <c r="D3" s="2" t="inlineStr">
        <is>
          <t>Observed October 2026</t>
        </is>
      </c>
      <c r="E3" s="2" t="inlineStr">
        <is>
          <t>Company product marketing; visible HTML saved</t>
        </is>
      </c>
      <c r="F3" s="2" t="inlineStr">
        <is>
          <t>Health and home called forthcoming; estimate is nonbinding</t>
        </is>
      </c>
      <c r="G3" s="2" t="inlineStr">
        <is>
          <t>2026-10-13</t>
        </is>
      </c>
    </row>
    <row r="4" ht="68" customHeight="1">
      <c r="A4" s="2" t="inlineStr">
        <is>
          <t>S03</t>
        </is>
      </c>
      <c r="B4" s="2" t="inlineStr">
        <is>
          <t>Objais Select</t>
        </is>
      </c>
      <c r="C4" s="4" t="inlineStr">
        <is>
          <t>https://objais.com/en/select</t>
        </is>
      </c>
      <c r="D4" s="2" t="inlineStr">
        <is>
          <t>Observed October 2026</t>
        </is>
      </c>
      <c r="E4" s="2" t="inlineStr">
        <is>
          <t>Company product marketing; visible HTML saved</t>
        </is>
      </c>
      <c r="F4" s="2" t="inlineStr">
        <is>
          <t>Available now label; older supercars-in-July text persists</t>
        </is>
      </c>
      <c r="G4" s="2" t="inlineStr">
        <is>
          <t>2026-10-13</t>
        </is>
      </c>
    </row>
    <row r="5" ht="68" customHeight="1">
      <c r="A5" s="2" t="inlineStr">
        <is>
          <t>S04</t>
        </is>
      </c>
      <c r="B5" s="2" t="inlineStr">
        <is>
          <t>Objais Family</t>
        </is>
      </c>
      <c r="C5" s="4" t="inlineStr">
        <is>
          <t>https://objais.com/en/family</t>
        </is>
      </c>
      <c r="D5" s="2" t="inlineStr">
        <is>
          <t>Observed October 2026</t>
        </is>
      </c>
      <c r="E5" s="2" t="inlineStr">
        <is>
          <t>Company product marketing; visible HTML saved</t>
        </is>
      </c>
      <c r="F5" s="2" t="inlineStr">
        <is>
          <t>Live label but lists home and health inconsistently with insurance page</t>
        </is>
      </c>
      <c r="G5" s="2" t="inlineStr">
        <is>
          <t>2026-10-13</t>
        </is>
      </c>
    </row>
    <row r="6" ht="68" customHeight="1">
      <c r="A6" s="2" t="inlineStr">
        <is>
          <t>S05</t>
        </is>
      </c>
      <c r="B6" s="2" t="inlineStr">
        <is>
          <t>Objais Business</t>
        </is>
      </c>
      <c r="C6" s="4" t="inlineStr">
        <is>
          <t>https://objais.com/en/business</t>
        </is>
      </c>
      <c r="D6" s="2" t="inlineStr">
        <is>
          <t>Observed October 2026</t>
        </is>
      </c>
      <c r="E6" s="2" t="inlineStr">
        <is>
          <t>Company roadmap; visible HTML saved</t>
        </is>
      </c>
      <c r="F6" s="2" t="inlineStr">
        <is>
          <t>End 2026 and waitlist; not counted as current commercial market</t>
        </is>
      </c>
      <c r="G6" s="2" t="inlineStr">
        <is>
          <t>2026-10-13</t>
        </is>
      </c>
    </row>
    <row r="7" ht="68" customHeight="1">
      <c r="A7" s="2" t="inlineStr">
        <is>
          <t>S06</t>
        </is>
      </c>
      <c r="B7" s="2" t="inlineStr">
        <is>
          <t>Objais FAQ</t>
        </is>
      </c>
      <c r="C7" s="4" t="inlineStr">
        <is>
          <t>https://objais.com/en/faq</t>
        </is>
      </c>
      <c r="D7" s="2" t="inlineStr">
        <is>
          <t>Observed October 2026</t>
        </is>
      </c>
      <c r="E7" s="2" t="inlineStr">
        <is>
          <t>Company descriptions; visible HTML saved</t>
        </is>
      </c>
      <c r="F7" s="2" t="inlineStr">
        <is>
          <t>Wine and musical instruments mentioned only in broad FAQ; commissions differ from user-reported lead model</t>
        </is>
      </c>
      <c r="G7" s="2" t="inlineStr">
        <is>
          <t>2026-10-13</t>
        </is>
      </c>
    </row>
    <row r="8" ht="68" customHeight="1">
      <c r="A8" s="2" t="inlineStr">
        <is>
          <t>S07</t>
        </is>
      </c>
      <c r="B8" s="2" t="inlineStr">
        <is>
          <t>Art Basel UBS Art Market Report summary</t>
        </is>
      </c>
      <c r="C8" s="4" t="inlineStr">
        <is>
          <t>https://www.artbasel.com/stories/the-art-basel-and-ubs-global-art-market-report-2026</t>
        </is>
      </c>
      <c r="D8" s="2" t="inlineStr">
        <is>
          <t>2025; published March 2026</t>
        </is>
      </c>
      <c r="E8" s="2" t="inlineStr">
        <is>
          <t>Arts Economics market estimates</t>
        </is>
      </c>
      <c r="F8" s="2" t="inlineStr">
        <is>
          <t>Art and antiques trade; not art insurance premium or holdings; categories overlap</t>
        </is>
      </c>
      <c r="G8" s="2" t="inlineStr">
        <is>
          <t>2026-10-13</t>
        </is>
      </c>
    </row>
    <row r="9" ht="68" customHeight="1">
      <c r="A9" s="2" t="inlineStr">
        <is>
          <t>S08</t>
        </is>
      </c>
      <c r="B9" s="2" t="inlineStr">
        <is>
          <t>Art Basel UBS 2026 collecting survey methodology</t>
        </is>
      </c>
      <c r="C9" s="4" t="inlineStr">
        <is>
          <t>https://theartmarket.artbasel.com/</t>
        </is>
      </c>
      <c r="D9" s="2" t="inlineStr">
        <is>
          <t>Survey mid-2026</t>
        </is>
      </c>
      <c r="E9" s="2" t="inlineStr">
        <is>
          <t>Selected high-net-worth art collector survey</t>
        </is>
      </c>
      <c r="F9" s="2" t="inlineStr">
        <is>
          <t>3100 HNW respondents across 10 markets; not general population or representative of Objais users</t>
        </is>
      </c>
      <c r="G9" s="2" t="inlineStr">
        <is>
          <t>2026-10-13</t>
        </is>
      </c>
    </row>
    <row r="10" ht="68" customHeight="1">
      <c r="A10" s="2" t="inlineStr">
        <is>
          <t>S09</t>
        </is>
      </c>
      <c r="B10" s="2" t="inlineStr">
        <is>
          <t>Art Basel UBS collector research</t>
        </is>
      </c>
      <c r="C10" s="4" t="inlineStr">
        <is>
          <t>https://theartmarket.artbasel.com/research</t>
        </is>
      </c>
      <c r="D10" s="2" t="inlineStr">
        <is>
          <t>Survey 2026</t>
        </is>
      </c>
      <c r="E10" s="2" t="inlineStr">
        <is>
          <t>Selected HNW collector survey</t>
        </is>
      </c>
      <c r="F10" s="2" t="inlineStr">
        <is>
          <t>Self-reported research/advice; not app retention or verified AI accuracy</t>
        </is>
      </c>
      <c r="G10" s="2" t="inlineStr">
        <is>
          <t>2026-10-13</t>
        </is>
      </c>
    </row>
    <row r="11" ht="68" customHeight="1">
      <c r="A11" s="2" t="inlineStr">
        <is>
          <t>S10</t>
        </is>
      </c>
      <c r="B11" s="2" t="inlineStr">
        <is>
          <t>Art Basel UBS privacy and ownership</t>
        </is>
      </c>
      <c r="C11" s="4" t="inlineStr">
        <is>
          <t>https://theartmarket.artbasel.com/ownership</t>
        </is>
      </c>
      <c r="D11" s="2" t="inlineStr">
        <is>
          <t>Survey 2026</t>
        </is>
      </c>
      <c r="E11" s="2" t="inlineStr">
        <is>
          <t>Selected HNW collector survey</t>
        </is>
      </c>
      <c r="F11" s="2" t="inlineStr">
        <is>
          <t>Preferences depend on the question; privacy of ownership differs from restricting physical viewing</t>
        </is>
      </c>
      <c r="G11" s="2" t="inlineStr">
        <is>
          <t>2026-10-13</t>
        </is>
      </c>
    </row>
    <row r="12" ht="68" customHeight="1">
      <c r="A12" s="2" t="inlineStr">
        <is>
          <t>S11</t>
        </is>
      </c>
      <c r="B12" s="2" t="inlineStr">
        <is>
          <t>UBS collecting in the Americas</t>
        </is>
      </c>
      <c r="C12" s="4" t="inlineStr">
        <is>
          <t>https://www.ubs.com/global/en/our-firm/art/2025/collecting-in-the-americas.html</t>
        </is>
      </c>
      <c r="D12" s="2" t="inlineStr">
        <is>
          <t>Survey 2025 / plans for 2026</t>
        </is>
      </c>
      <c r="E12" s="2" t="inlineStr">
        <is>
          <t>Selected US and Brazilian HNW collector evidence</t>
        </is>
      </c>
      <c r="F12" s="2" t="inlineStr">
        <is>
          <t>Survey behaviour is not national art TAM; intentions are not realised activity</t>
        </is>
      </c>
      <c r="G12" s="2" t="inlineStr">
        <is>
          <t>2026-10-13</t>
        </is>
      </c>
    </row>
    <row r="13" ht="68" customHeight="1">
      <c r="A13" s="2" t="inlineStr">
        <is>
          <t>S12</t>
        </is>
      </c>
      <c r="B13" s="2" t="inlineStr">
        <is>
          <t>FH Swiss watch annual exports</t>
        </is>
      </c>
      <c r="C13" s="4" t="inlineStr">
        <is>
          <t>https://www.fhs.swiss/eng/2026_01_29_statistics.html</t>
        </is>
      </c>
      <c r="D13" s="2" t="inlineStr">
        <is>
          <t>2025</t>
        </is>
      </c>
      <c r="E13" s="2" t="inlineStr">
        <is>
          <t>Trade association using customs data</t>
        </is>
      </c>
      <c r="F13" s="2" t="inlineStr">
        <is>
          <t>Swiss export prices; not global retail sales or resale GMV</t>
        </is>
      </c>
      <c r="G13" s="2" t="inlineStr">
        <is>
          <t>2026-10-13</t>
        </is>
      </c>
    </row>
    <row r="14" ht="68" customHeight="1">
      <c r="A14" s="2" t="inlineStr">
        <is>
          <t>S13</t>
        </is>
      </c>
      <c r="B14" s="2" t="inlineStr">
        <is>
          <t>FH Swiss watch H1 exports</t>
        </is>
      </c>
      <c r="C14" s="4" t="inlineStr">
        <is>
          <t>https://www.fhs.swiss/eng/2026_07_21_statistics.html</t>
        </is>
      </c>
      <c r="D14" s="2" t="inlineStr">
        <is>
          <t>H1 2026</t>
        </is>
      </c>
      <c r="E14" s="2" t="inlineStr">
        <is>
          <t>Trade association using customs data</t>
        </is>
      </c>
      <c r="F14" s="2" t="inlineStr">
        <is>
          <t>France growth affected by logistics and re-export; not domestic demand</t>
        </is>
      </c>
      <c r="G14" s="2" t="inlineStr">
        <is>
          <t>2026-10-13</t>
        </is>
      </c>
    </row>
    <row r="15" ht="68" customHeight="1">
      <c r="A15" s="2" t="inlineStr">
        <is>
          <t>S14</t>
        </is>
      </c>
      <c r="B15" s="2" t="inlineStr">
        <is>
          <t>Deloitte Swiss Watch Industry Study</t>
        </is>
      </c>
      <c r="C15" s="4" t="inlineStr">
        <is>
          <t>https://www.deloitte.com/ch/en/about/press-room/swiss-watch-industry-study-2025.html</t>
        </is>
      </c>
      <c r="D15" s="2" t="inlineStr">
        <is>
          <t>Survey June-July 2025</t>
        </is>
      </c>
      <c r="E15" s="2" t="inlineStr">
        <is>
          <t>6500 consumer and 111 executive survey</t>
        </is>
      </c>
      <c r="F15" s="2" t="inlineStr">
        <is>
          <t>Purchase intentions; surveyed export markets include Mexico, exclude Brazil and Portugal</t>
        </is>
      </c>
      <c r="G15" s="2" t="inlineStr">
        <is>
          <t>2026-10-13</t>
        </is>
      </c>
    </row>
    <row r="16" ht="68" customHeight="1">
      <c r="A16" s="2" t="inlineStr">
        <is>
          <t>S15</t>
        </is>
      </c>
      <c r="B16" s="2" t="inlineStr">
        <is>
          <t>Chrono24 secondary watch report</t>
        </is>
      </c>
      <c r="C16" s="4" t="inlineStr">
        <is>
          <t>https://about.chrono24.com/en/press/Secondary-Watch-Market-Report-H1-2025</t>
        </is>
      </c>
      <c r="D16" s="2" t="inlineStr">
        <is>
          <t>H1 2025; published October 2025</t>
        </is>
      </c>
      <c r="E16" s="2" t="inlineStr">
        <is>
          <t>Marketplace transaction analysis and audience claims</t>
        </is>
      </c>
      <c r="F16" s="2" t="inlineStr">
        <is>
          <t>Monthly users not unique buyers or retained cohorts; listings not sales</t>
        </is>
      </c>
      <c r="G16" s="2" t="inlineStr">
        <is>
          <t>2026-10-13</t>
        </is>
      </c>
    </row>
    <row r="17" ht="68" customHeight="1">
      <c r="A17" s="2" t="inlineStr">
        <is>
          <t>S16</t>
        </is>
      </c>
      <c r="B17" s="2" t="inlineStr">
        <is>
          <t>Altagamma Bain luxury monitor release</t>
        </is>
      </c>
      <c r="C17" s="4" t="inlineStr">
        <is>
          <t>https://altagamma.it/media/source/COMUNICATO%20STAMPA_OSSERVATORIO%20ALTAGAMMA%202025.pdf</t>
        </is>
      </c>
      <c r="D17" s="2" t="inlineStr">
        <is>
          <t>November 2025 estimate for 2025</t>
        </is>
      </c>
      <c r="E17" s="2" t="inlineStr">
        <is>
          <t>Trade body / Bain annual market estimate</t>
        </is>
      </c>
      <c r="F17" s="2" t="inlineStr">
        <is>
          <t>Published before year end; forecast/estimate, not audited 2025 actual; personal luxury includes many categories</t>
        </is>
      </c>
      <c r="G17" s="2" t="inlineStr">
        <is>
          <t>2026-10-13</t>
        </is>
      </c>
    </row>
    <row r="18" ht="68" customHeight="1">
      <c r="A18" s="2" t="inlineStr">
        <is>
          <t>S17</t>
        </is>
      </c>
      <c r="B18" s="2" t="inlineStr">
        <is>
          <t>World Gold Council gold jewellery annual demand</t>
        </is>
      </c>
      <c r="C18" s="4" t="inlineStr">
        <is>
          <t>https://www.gold.org/goldhub/research/gold-demand-trends/gold-demand-trends-full-year-2025/jewellery</t>
        </is>
      </c>
      <c r="D18" s="2" t="inlineStr">
        <is>
          <t>2025</t>
        </is>
      </c>
      <c r="E18" s="2" t="inlineStr">
        <is>
          <t>Research provider demand estimates</t>
        </is>
      </c>
      <c r="F18" s="2" t="inlineStr">
        <is>
          <t>Gold jewellery only; demand value reflects gold-price basis, not all jewellery retail markup or gemstones</t>
        </is>
      </c>
      <c r="G18" s="2" t="inlineStr">
        <is>
          <t>2026-10-13</t>
        </is>
      </c>
    </row>
    <row r="19" ht="68" customHeight="1">
      <c r="A19" s="2" t="inlineStr">
        <is>
          <t>S18</t>
        </is>
      </c>
      <c r="B19" s="2" t="inlineStr">
        <is>
          <t>World Gold Council Q2 jewellery demand</t>
        </is>
      </c>
      <c r="C19" s="4" t="inlineStr">
        <is>
          <t>https://www.gold.org/goldhub/research/gold-demand-trends/gold-demand-trends-q2-2026/jewellery</t>
        </is>
      </c>
      <c r="D19" s="2" t="inlineStr">
        <is>
          <t>Q2 / H1 2026</t>
        </is>
      </c>
      <c r="E19" s="2" t="inlineStr">
        <is>
          <t>Research provider demand estimates</t>
        </is>
      </c>
      <c r="F19" s="2" t="inlineStr">
        <is>
          <t>Tonnage and value diverge; H1 value cannot be compared to Q2 volume as same period</t>
        </is>
      </c>
      <c r="G19" s="2" t="inlineStr">
        <is>
          <t>2026-10-13</t>
        </is>
      </c>
    </row>
    <row r="20" ht="68" customHeight="1">
      <c r="A20" s="2" t="inlineStr">
        <is>
          <t>S19</t>
        </is>
      </c>
      <c r="B20" s="2" t="inlineStr">
        <is>
          <t>Richemont FY26 annual results</t>
        </is>
      </c>
      <c r="C20" s="4" t="inlineStr">
        <is>
          <t>https://www.richemont.com/news-media/press-releases-news/richemont-delivers-strong-sales-growth-and-solid-results-for-the-year-ended-31-march-2026/</t>
        </is>
      </c>
      <c r="D20" s="2" t="inlineStr">
        <is>
          <t>FY ended March 31 2026</t>
        </is>
      </c>
      <c r="E20" s="2" t="inlineStr">
        <is>
          <t>Audited issuer results</t>
        </is>
      </c>
      <c r="F20" s="2" t="inlineStr">
        <is>
          <t>Jewellery Maisons also sell watches; company segments are not pure category TAM</t>
        </is>
      </c>
      <c r="G20" s="2" t="inlineStr">
        <is>
          <t>2026-10-13</t>
        </is>
      </c>
    </row>
    <row r="21" ht="68" customHeight="1">
      <c r="A21" s="2" t="inlineStr">
        <is>
          <t>S20</t>
        </is>
      </c>
      <c r="B21" s="2" t="inlineStr">
        <is>
          <t>Hermes FY25 results</t>
        </is>
      </c>
      <c r="C21" s="4" t="inlineStr">
        <is>
          <t>https://assets-finance.hermes.com/s3fs-public/node/pdf_file/2026-02/1770842738/hermes_20260212_pr_2025fullyearresults_va.pdf?VersionId=b_gXeCpcnuB3ftYcPgTb8IVxf8wfnw0k</t>
        </is>
      </c>
      <c r="D21" s="2" t="inlineStr">
        <is>
          <t>2025</t>
        </is>
      </c>
      <c r="E21" s="2" t="inlineStr">
        <is>
          <t>Issuer results; sector table PDF page 7</t>
        </is>
      </c>
      <c r="F21" s="2" t="inlineStr">
        <is>
          <t>Leather segment includes saddlery and small goods; not handbags only; actual and constant-FX growth differ</t>
        </is>
      </c>
      <c r="G21" s="2" t="inlineStr">
        <is>
          <t>2026-10-13</t>
        </is>
      </c>
    </row>
    <row r="22" ht="68" customHeight="1">
      <c r="A22" s="2" t="inlineStr">
        <is>
          <t>S21</t>
        </is>
      </c>
      <c r="B22" s="2" t="inlineStr">
        <is>
          <t>Ferrari FY25 results</t>
        </is>
      </c>
      <c r="C22" s="4" t="inlineStr">
        <is>
          <t>https://cdn.ferrari.com/cms/network/media/pdf/2026_02_10%20-%20Ferrari%20FY%202025%20Results%20Press%20Release.pdf</t>
        </is>
      </c>
      <c r="D22" s="2" t="inlineStr">
        <is>
          <t>2025</t>
        </is>
      </c>
      <c r="E22" s="2" t="inlineStr">
        <is>
          <t>Official issuer indexed excerpt</t>
        </is>
      </c>
      <c r="F22" s="2" t="inlineStr">
        <is>
          <t>13640 shipments verified in official indexed text; full PDF retrieval not available; not whole supercar market</t>
        </is>
      </c>
      <c r="G22" s="2" t="inlineStr">
        <is>
          <t>2026-10-13</t>
        </is>
      </c>
    </row>
    <row r="23" ht="68" customHeight="1">
      <c r="A23" s="2" t="inlineStr">
        <is>
          <t>S22</t>
        </is>
      </c>
      <c r="B23" s="2" t="inlineStr">
        <is>
          <t>European Boating Industry overview</t>
        </is>
      </c>
      <c r="C23" s="4" t="inlineStr">
        <is>
          <t>https://europeanboatingindustry.eu/about-us/about-ebi</t>
        </is>
      </c>
      <c r="D23" s="2" t="inlineStr">
        <is>
          <t>Undated current industry overview</t>
        </is>
      </c>
      <c r="E23" s="2" t="inlineStr">
        <is>
          <t>Trade association estimates</t>
        </is>
      </c>
      <c r="F23" s="2" t="inlineStr">
        <is>
          <t>Installed boats and participation, not annual yacht purchases or unique insured owners</t>
        </is>
      </c>
      <c r="G23" s="2" t="inlineStr">
        <is>
          <t>2026-10-13</t>
        </is>
      </c>
    </row>
    <row r="24" ht="68" customHeight="1">
      <c r="A24" s="2" t="inlineStr">
        <is>
          <t>S23</t>
        </is>
      </c>
      <c r="B24" s="2" t="inlineStr">
        <is>
          <t>NMMA full year retail boat units</t>
        </is>
      </c>
      <c r="C24" s="4" t="inlineStr">
        <is>
          <t>https://www.nmma.org/press/article/25432</t>
        </is>
      </c>
      <c r="D24" s="2" t="inlineStr">
        <is>
          <t>2025; published March 2026</t>
        </is>
      </c>
      <c r="E24" s="2" t="inlineStr">
        <is>
          <t>US association retail unit tracking</t>
        </is>
      </c>
      <c r="F24" s="2" t="inlineStr">
        <is>
          <t>All new recreational boats; not global yacht market or existing fleet</t>
        </is>
      </c>
      <c r="G24" s="2" t="inlineStr">
        <is>
          <t>2026-10-13</t>
        </is>
      </c>
    </row>
    <row r="25" ht="68" customHeight="1">
      <c r="A25" s="2" t="inlineStr">
        <is>
          <t>S24</t>
        </is>
      </c>
      <c r="B25" s="2" t="inlineStr">
        <is>
          <t>Sanlorenzo 2025 financial highlights</t>
        </is>
      </c>
      <c r="C25" s="4" t="inlineStr">
        <is>
          <t>https://www.sanlorenzoyacht.com/en/investors</t>
        </is>
      </c>
      <c r="D25" s="2" t="inlineStr">
        <is>
          <t>2025</t>
        </is>
      </c>
      <c r="E25" s="2" t="inlineStr">
        <is>
          <t>Issuer financial highlights</t>
        </is>
      </c>
      <c r="F25" s="2" t="inlineStr">
        <is>
          <t>One builder; revenues not market size; rounded headline</t>
        </is>
      </c>
      <c r="G25" s="2" t="inlineStr">
        <is>
          <t>2026-10-13</t>
        </is>
      </c>
    </row>
    <row r="26" ht="68" customHeight="1">
      <c r="A26" s="2" t="inlineStr">
        <is>
          <t>S25</t>
        </is>
      </c>
      <c r="B26" s="2" t="inlineStr">
        <is>
          <t>ACEA global and EU auto report</t>
        </is>
      </c>
      <c r="C26" s="4" t="inlineStr">
        <is>
          <t>https://www.acea.auto/publication/economic-and-market-report-global-and-eu-auto-industry-full-year-2025/</t>
        </is>
      </c>
      <c r="D26" s="2" t="inlineStr">
        <is>
          <t>2025</t>
        </is>
      </c>
      <c r="E26" s="2" t="inlineStr">
        <is>
          <t>Vehicle industry statistics</t>
        </is>
      </c>
      <c r="F26" s="2" t="inlineStr">
        <is>
          <t>Worldwide passenger cars; not luxury cars or installed insured fleet</t>
        </is>
      </c>
      <c r="G26" s="2" t="inlineStr">
        <is>
          <t>2026-10-13</t>
        </is>
      </c>
    </row>
    <row r="27" ht="68" customHeight="1">
      <c r="A27" s="2" t="inlineStr">
        <is>
          <t>S26</t>
        </is>
      </c>
      <c r="B27" s="2" t="inlineStr">
        <is>
          <t>SUSEP first half 2026</t>
        </is>
      </c>
      <c r="C27" s="4" t="inlineStr">
        <is>
          <t>https://www.gov.br/susep/pt-br/central-de-conteudos/noticias/2026/agosto/setor-supervisionado-pela-susep-registra-r-207-12-bilhoes-em-receitas-no-primeiro-semestre</t>
        </is>
      </c>
      <c r="D27" s="2" t="inlineStr">
        <is>
          <t>H1 2026</t>
        </is>
      </c>
      <c r="E27" s="2" t="inlineStr">
        <is>
          <t>Insurance regulator market statistics</t>
        </is>
      </c>
      <c r="F27" s="2" t="inlineStr">
        <is>
          <t>Brazil; supervised sectors differ from health regulator ANS; premium is not broker revenue</t>
        </is>
      </c>
      <c r="G27" s="2" t="inlineStr">
        <is>
          <t>2026-10-13</t>
        </is>
      </c>
    </row>
    <row r="28" ht="68" customHeight="1">
      <c r="A28" s="2" t="inlineStr">
        <is>
          <t>S27</t>
        </is>
      </c>
      <c r="B28" s="2" t="inlineStr">
        <is>
          <t>SUSEP 2025 consolidated bulletin release</t>
        </is>
      </c>
      <c r="C28" s="4" t="inlineStr">
        <is>
          <t>https://www.gov.br/susep/pt-br/central-de-conteudos/noticias/2026/fevereiro/em-ano-de-avancos-em-inclusao-e-modernizacao-regulatoria-setor-de-seguros-arrecada-r-415-bilhoes</t>
        </is>
      </c>
      <c r="D28" s="2" t="inlineStr">
        <is>
          <t>2025</t>
        </is>
      </c>
      <c r="E28" s="2" t="inlineStr">
        <is>
          <t>Insurance regulator statistics</t>
        </is>
      </c>
      <c r="F28" s="2" t="inlineStr">
        <is>
          <t>Broad receipts include accumulation products; not addressable Objais premium pool</t>
        </is>
      </c>
      <c r="G28" s="2" t="inlineStr">
        <is>
          <t>2026-10-13</t>
        </is>
      </c>
    </row>
    <row r="29" ht="68" customHeight="1">
      <c r="A29" s="2" t="inlineStr">
        <is>
          <t>S28</t>
        </is>
      </c>
      <c r="B29" s="2" t="inlineStr">
        <is>
          <t>ASF H1 2026 insurance evolution</t>
        </is>
      </c>
      <c r="C29" s="4" t="inlineStr">
        <is>
          <t>https://www.consumidor.asf.com.pt/web/site-asf/publica%C3%A7%C3%B5es/publica%C3%A7%C3%B5es/relat%C3%B3rio-da-evolu%C3%A7%C3%A3o-da-atividade-seguradora</t>
        </is>
      </c>
      <c r="D29" s="2" t="inlineStr">
        <is>
          <t>H1 2026</t>
        </is>
      </c>
      <c r="E29" s="2" t="inlineStr">
        <is>
          <t>Portuguese regulator publication</t>
        </is>
      </c>
      <c r="F29" s="2" t="inlineStr">
        <is>
          <t>Direct insurance production; full statistical series intermittently blocked by access challenge; indexed and accessible summary used</t>
        </is>
      </c>
      <c r="G29" s="2" t="inlineStr">
        <is>
          <t>2026-10-13</t>
        </is>
      </c>
    </row>
    <row r="30" ht="68" customHeight="1">
      <c r="A30" s="2" t="inlineStr">
        <is>
          <t>S29</t>
        </is>
      </c>
      <c r="B30" s="2" t="inlineStr">
        <is>
          <t>APS motor insurance 2025</t>
        </is>
      </c>
      <c r="C30" s="4" t="inlineStr">
        <is>
          <t>https://www.apseguradores.pt/pt/not%C3%ADcias-e-eventos/not%C3%ADcias/2026/articleid/854/seguro-autom%C3%B3vel-mant%C3%A9m-trajet%C3%B3ria-de-crescimento-em-2025</t>
        </is>
      </c>
      <c r="D30" s="2" t="inlineStr">
        <is>
          <t>2025; release August 2026</t>
        </is>
      </c>
      <c r="E30" s="2" t="inlineStr">
        <is>
          <t>Portuguese insurance trade association</t>
        </is>
      </c>
      <c r="F30" s="2" t="inlineStr">
        <is>
          <t>Insured vehicles, not people; claims payments not premiums; HTML copy retained</t>
        </is>
      </c>
      <c r="G30" s="2" t="inlineStr">
        <is>
          <t>2026-10-13</t>
        </is>
      </c>
    </row>
    <row r="31" ht="68" customHeight="1">
      <c r="A31" s="2" t="inlineStr">
        <is>
          <t>S30</t>
        </is>
      </c>
      <c r="B31" s="2" t="inlineStr">
        <is>
          <t>APS motor insurance H1 2026</t>
        </is>
      </c>
      <c r="C31" s="4" t="inlineStr">
        <is>
          <t>https://www.apseguradores.pt/pt/not%C3%ADcias-e-eventos/not%C3%ADcias/2026/articleid/863/seguro-autom%C3%B3vel-indicadores-do-1%C2%BA-semestre-2026</t>
        </is>
      </c>
      <c r="D31" s="2" t="inlineStr">
        <is>
          <t>H1 2026</t>
        </is>
      </c>
      <c r="E31" s="2" t="inlineStr">
        <is>
          <t>Portuguese insurance trade association indexed excerpt</t>
        </is>
      </c>
      <c r="F31" s="2" t="inlineStr">
        <is>
          <t>98.2% market coverage; same rounded 9.3m figure as 2025 does not mean no growth</t>
        </is>
      </c>
      <c r="G31" s="2" t="inlineStr">
        <is>
          <t>2026-10-13</t>
        </is>
      </c>
    </row>
    <row r="32" ht="68" customHeight="1">
      <c r="A32" s="2" t="inlineStr">
        <is>
          <t>S31</t>
        </is>
      </c>
      <c r="B32" s="2" t="inlineStr">
        <is>
          <t>FEDIAF pet population</t>
        </is>
      </c>
      <c r="C32" s="4" t="inlineStr">
        <is>
          <t>https://europeanpetfood.org/about/statistics/</t>
        </is>
      </c>
      <c r="D32" s="2" t="inlineStr">
        <is>
          <t>2024; published June 2026</t>
        </is>
      </c>
      <c r="E32" s="2" t="inlineStr">
        <is>
          <t>Trade association / Soulor estimates</t>
        </is>
      </c>
      <c r="F32" s="2" t="inlineStr">
        <is>
          <t>41 European countries; changed coverage means no naive year-on-year growth; pets not insured pets</t>
        </is>
      </c>
      <c r="G32" s="2" t="inlineStr">
        <is>
          <t>2026-10-13</t>
        </is>
      </c>
    </row>
    <row r="33" ht="68" customHeight="1">
      <c r="A33" s="2" t="inlineStr">
        <is>
          <t>S32</t>
        </is>
      </c>
      <c r="B33" s="2" t="inlineStr">
        <is>
          <t>NAPHIA State of the Industry</t>
        </is>
      </c>
      <c r="C33" s="4" t="inlineStr">
        <is>
          <t>https://naphia.org/industry-data/</t>
        </is>
      </c>
      <c r="D33" s="2" t="inlineStr">
        <is>
          <t>2025; published June 2026</t>
        </is>
      </c>
      <c r="E33" s="2" t="inlineStr">
        <is>
          <t>Trade association / WTW industry data</t>
        </is>
      </c>
      <c r="F33" s="2" t="inlineStr">
        <is>
          <t>US and Canada; North America aggregate premium graphic currency footnote unresolved, therefore not used</t>
        </is>
      </c>
      <c r="G33" s="2" t="inlineStr">
        <is>
          <t>2026-10-13</t>
        </is>
      </c>
    </row>
    <row r="34" ht="68" customHeight="1">
      <c r="A34" s="2" t="inlineStr">
        <is>
          <t>S33</t>
        </is>
      </c>
      <c r="B34" s="2" t="inlineStr">
        <is>
          <t>ABI UK pet claims</t>
        </is>
      </c>
      <c r="C34" s="4" t="inlineStr">
        <is>
          <t>https://www.abi.org.uk/media-hub/news-post/insurance-payouts-for-pawly-pets-top-1-billion-for-third-year-in-a-row</t>
        </is>
      </c>
      <c r="D34" s="2" t="inlineStr">
        <is>
          <t>2024; published May 2025</t>
        </is>
      </c>
      <c r="E34" s="2" t="inlineStr">
        <is>
          <t>Association member insurance data</t>
        </is>
      </c>
      <c r="F34" s="2" t="inlineStr">
        <is>
          <t>Older observed period retained; claims payments not premium revenue or unique pets</t>
        </is>
      </c>
      <c r="G34" s="2" t="inlineStr">
        <is>
          <t>2026-10-13</t>
        </is>
      </c>
    </row>
    <row r="35" ht="68" customHeight="1">
      <c r="A35" s="2" t="inlineStr">
        <is>
          <t>S34</t>
        </is>
      </c>
      <c r="B35" s="2" t="inlineStr">
        <is>
          <t>ABINPET Brazilian sector overview</t>
        </is>
      </c>
      <c r="C35" s="4" t="inlineStr">
        <is>
          <t>https://abinpet.org.br/informacoes-gerais-do-setor/</t>
        </is>
      </c>
      <c r="D35" s="2" t="inlineStr">
        <is>
          <t>2024</t>
        </is>
      </c>
      <c r="E35" s="2" t="inlineStr">
        <is>
          <t>Brazilian pet trade association</t>
        </is>
      </c>
      <c r="F35" s="2" t="inlineStr">
        <is>
          <t>Entire pet sector includes food, products and services; not pet insurance</t>
        </is>
      </c>
      <c r="G35" s="2" t="inlineStr">
        <is>
          <t>2026-10-13</t>
        </is>
      </c>
    </row>
    <row r="36" ht="68" customHeight="1">
      <c r="A36" s="2" t="inlineStr">
        <is>
          <t>S35</t>
        </is>
      </c>
      <c r="B36" s="2" t="inlineStr">
        <is>
          <t>ABEMPET October 2025 outlook</t>
        </is>
      </c>
      <c r="C36" s="4" t="inlineStr">
        <is>
          <t>https://abempet.org.br/2025/10/no-digital-o-varejo-especializado-mantem-a-lideranca/</t>
        </is>
      </c>
      <c r="D36" s="2" t="inlineStr">
        <is>
          <t>Forecast for 2025</t>
        </is>
      </c>
      <c r="E36" s="2" t="inlineStr">
        <is>
          <t>Trade association forecast</t>
        </is>
      </c>
      <c r="F36" s="2" t="inlineStr">
        <is>
          <t>77.2bn forecast is not a verified full-year actual</t>
        </is>
      </c>
      <c r="G36" s="2" t="inlineStr">
        <is>
          <t>2026-10-13</t>
        </is>
      </c>
    </row>
    <row r="37" ht="68" customHeight="1">
      <c r="A37" s="2" t="inlineStr">
        <is>
          <t>S36</t>
        </is>
      </c>
      <c r="B37" s="2" t="inlineStr">
        <is>
          <t>Fidelidade Pets Portugal</t>
        </is>
      </c>
      <c r="C37" s="4" t="inlineStr">
        <is>
          <t>https://fidelidade.pt/particulares/pets/proteger</t>
        </is>
      </c>
      <c r="D37" s="2" t="inlineStr">
        <is>
          <t>Observed October 2026</t>
        </is>
      </c>
      <c r="E37" s="2" t="inlineStr">
        <is>
          <t>Insurer product marketing</t>
        </is>
      </c>
      <c r="F37" s="2" t="inlineStr">
        <is>
          <t>Different assistance, prevention and reimbursement options; terms determine benefits; no Objais partnership established</t>
        </is>
      </c>
      <c r="G37" s="2" t="inlineStr">
        <is>
          <t>2026-10-13</t>
        </is>
      </c>
    </row>
    <row r="38" ht="68" customHeight="1">
      <c r="A38" s="2" t="inlineStr">
        <is>
          <t>S37</t>
        </is>
      </c>
      <c r="B38" s="2" t="inlineStr">
        <is>
          <t>Fidelidade pet reimbursement journey</t>
        </is>
      </c>
      <c r="C38" s="4" t="inlineStr">
        <is>
          <t>https://mypets.fidelidade.pt/usar-seguro</t>
        </is>
      </c>
      <c r="D38" s="2" t="inlineStr">
        <is>
          <t>Observed October 2026</t>
        </is>
      </c>
      <c r="E38" s="2" t="inlineStr">
        <is>
          <t>Insurer servicing requirements</t>
        </is>
      </c>
      <c r="F38" s="2" t="inlineStr">
        <is>
          <t>Shows records required for reimbursement; does not establish Objais servicing access</t>
        </is>
      </c>
      <c r="G38" s="2" t="inlineStr">
        <is>
          <t>2026-10-13</t>
        </is>
      </c>
    </row>
    <row r="39" ht="68" customHeight="1">
      <c r="A39" s="2" t="inlineStr">
        <is>
          <t>S38</t>
        </is>
      </c>
      <c r="B39" s="2" t="inlineStr">
        <is>
          <t>Jewelers Mutual premium factors</t>
        </is>
      </c>
      <c r="C39" s="4" t="inlineStr">
        <is>
          <t>https://www.jewelersmutual.com/jewelry-insurance-explained/cost</t>
        </is>
      </c>
      <c r="D39" s="2" t="inlineStr">
        <is>
          <t>Observed October 2026</t>
        </is>
      </c>
      <c r="E39" s="2" t="inlineStr">
        <is>
          <t>US insurer advertised typical rates</t>
        </is>
      </c>
      <c r="F39" s="2" t="inlineStr">
        <is>
          <t>1-2% annual value rate varies by location, deductible and underwriting; not universal or Objais tariff</t>
        </is>
      </c>
      <c r="G39" s="2" t="inlineStr">
        <is>
          <t>2026-10-13</t>
        </is>
      </c>
    </row>
    <row r="40" ht="68" customHeight="1">
      <c r="A40" s="2" t="inlineStr">
        <is>
          <t>S39</t>
        </is>
      </c>
      <c r="B40" s="2" t="inlineStr">
        <is>
          <t>Jewelers Mutual coverage</t>
        </is>
      </c>
      <c r="C40" s="4" t="inlineStr">
        <is>
          <t>https://www.jewelersmutual.com/jewelry-insurance-explained/coverage</t>
        </is>
      </c>
      <c r="D40" s="2" t="inlineStr">
        <is>
          <t>Observed October 2026</t>
        </is>
      </c>
      <c r="E40" s="2" t="inlineStr">
        <is>
          <t>US insurer product terms summary</t>
        </is>
      </c>
      <c r="F40" s="2" t="inlineStr">
        <is>
          <t>Residence eligibility and conditions apply; travel coverage not permission to sell in Brazil or Europe</t>
        </is>
      </c>
      <c r="G40" s="2" t="inlineStr">
        <is>
          <t>2026-10-13</t>
        </is>
      </c>
    </row>
    <row r="41" ht="68" customHeight="1">
      <c r="A41" s="2" t="inlineStr">
        <is>
          <t>S40</t>
        </is>
      </c>
      <c r="B41" s="2" t="inlineStr">
        <is>
          <t>Pantaenius yacht insurance</t>
        </is>
      </c>
      <c r="C41" s="4" t="inlineStr">
        <is>
          <t>https://www.pantaenius.com/uk-en/</t>
        </is>
      </c>
      <c r="D41" s="2" t="inlineStr">
        <is>
          <t>Observed October 2026</t>
        </is>
      </c>
      <c r="E41" s="2" t="inlineStr">
        <is>
          <t>Specialist distributor product marketing</t>
        </is>
      </c>
      <c r="F41" s="2" t="inlineStr">
        <is>
          <t>UK page; hull and liability distinct; company audience claims not verified retention</t>
        </is>
      </c>
      <c r="G41" s="2" t="inlineStr">
        <is>
          <t>2026-10-13</t>
        </is>
      </c>
    </row>
    <row r="42" ht="68" customHeight="1">
      <c r="A42" s="2" t="inlineStr">
        <is>
          <t>S41</t>
        </is>
      </c>
      <c r="B42" s="2" t="inlineStr">
        <is>
          <t>WAX collection and insurance product</t>
        </is>
      </c>
      <c r="C42" s="4" t="inlineStr">
        <is>
          <t>https://vault.waxcollectibles.com/</t>
        </is>
      </c>
      <c r="D42" s="2" t="inlineStr">
        <is>
          <t>Observed October 2026</t>
        </is>
      </c>
      <c r="E42" s="2" t="inlineStr">
        <is>
          <t>Company product marketing</t>
        </is>
      </c>
      <c r="F42" s="2" t="inlineStr">
        <is>
          <t>Close product benchmark; bindable quote and edits advertised, not independently tested</t>
        </is>
      </c>
      <c r="G42" s="2" t="inlineStr">
        <is>
          <t>2026-10-13</t>
        </is>
      </c>
    </row>
    <row r="43" ht="68" customHeight="1">
      <c r="A43" s="2" t="inlineStr">
        <is>
          <t>S42</t>
        </is>
      </c>
      <c r="B43" s="2" t="inlineStr">
        <is>
          <t>WAX App Store developer description</t>
        </is>
      </c>
      <c r="C43" s="4" t="inlineStr">
        <is>
          <t>https://apps.apple.com/us/app/wax-collectibles/id1511201226</t>
        </is>
      </c>
      <c r="D43" s="2" t="inlineStr">
        <is>
          <t>Observed October 2026</t>
        </is>
      </c>
      <c r="E43" s="2" t="inlineStr">
        <is>
          <t>Developer-supplied app description</t>
        </is>
      </c>
      <c r="F43" s="2" t="inlineStr">
        <is>
          <t>US and UAE partners identified; no evidence of Brazil/Portugal placement</t>
        </is>
      </c>
      <c r="G43" s="2" t="inlineStr">
        <is>
          <t>2026-10-13</t>
        </is>
      </c>
    </row>
    <row r="44" ht="68" customHeight="1">
      <c r="A44" s="2" t="inlineStr">
        <is>
          <t>S43</t>
        </is>
      </c>
      <c r="B44" s="2" t="inlineStr">
        <is>
          <t>Chubb Studio partner directory</t>
        </is>
      </c>
      <c r="C44" s="4" t="inlineStr">
        <is>
          <t>https://studio.chubb.com/connect/partners</t>
        </is>
      </c>
      <c r="D44" s="2" t="inlineStr">
        <is>
          <t>Observed October 2026</t>
        </is>
      </c>
      <c r="E44" s="2" t="inlineStr">
        <is>
          <t>Insurer partner directory</t>
        </is>
      </c>
      <c r="F44" s="2" t="inlineStr">
        <is>
          <t>Confirms WAX and Hodinkee relationships; does not establish access to Chubb APIs for Objais</t>
        </is>
      </c>
      <c r="G44" s="2" t="inlineStr">
        <is>
          <t>2026-10-13</t>
        </is>
      </c>
    </row>
    <row r="45" ht="68" customHeight="1">
      <c r="A45" s="2" t="inlineStr">
        <is>
          <t>S44</t>
        </is>
      </c>
      <c r="B45" s="2" t="inlineStr">
        <is>
          <t>Artlogic collection infrastructure</t>
        </is>
      </c>
      <c r="C45" s="4" t="inlineStr">
        <is>
          <t>https://artlogic.net/</t>
        </is>
      </c>
      <c r="D45" s="2" t="inlineStr">
        <is>
          <t>Observed October 2026</t>
        </is>
      </c>
      <c r="E45" s="2" t="inlineStr">
        <is>
          <t>Vendor product marketing</t>
        </is>
      </c>
      <c r="F45" s="2" t="inlineStr">
        <is>
          <t>Professional art infrastructure; no market share or active-user claim used</t>
        </is>
      </c>
      <c r="G45" s="2" t="inlineStr">
        <is>
          <t>2026-10-13</t>
        </is>
      </c>
    </row>
    <row r="46" ht="68" customHeight="1">
      <c r="A46" s="2" t="inlineStr">
        <is>
          <t>S45</t>
        </is>
      </c>
      <c r="B46" s="2" t="inlineStr">
        <is>
          <t>Howden Portugal fine art placement</t>
        </is>
      </c>
      <c r="C46" s="4" t="inlineStr">
        <is>
          <t>https://www.howdengroup.com/pt-pt/cover/fine-art-insurance</t>
        </is>
      </c>
      <c r="D46" s="2" t="inlineStr">
        <is>
          <t>Verified earlier in this same research session October 2026</t>
        </is>
      </c>
      <c r="E46" s="2" t="inlineStr">
        <is>
          <t>Specialist intermediary product marketing</t>
        </is>
      </c>
      <c r="F46" s="2" t="inlineStr">
        <is>
          <t>Specialist placement exists; category terms and insurer acceptance must be confirmed; refresh intermittently unavailable</t>
        </is>
      </c>
      <c r="G46" s="2" t="inlineStr">
        <is>
          <t>2026-10-13</t>
        </is>
      </c>
    </row>
    <row r="47" ht="68" customHeight="1">
      <c r="A47" s="2" t="inlineStr">
        <is>
          <t>S46</t>
        </is>
      </c>
      <c r="B47" s="2" t="inlineStr">
        <is>
          <t>Porto residential art extension</t>
        </is>
      </c>
      <c r="C47" s="4" t="inlineStr">
        <is>
          <t>https://www.portoseguro.com.br/content/dam/documentos/condicoes_gerais/seguro_residencia/habitual/cg-resid-veraneio-premium-private-dez-25.pdf</t>
        </is>
      </c>
      <c r="D47" s="2" t="inlineStr">
        <is>
          <t>Effective December 5 2025</t>
        </is>
      </c>
      <c r="E47" s="2" t="inlineStr">
        <is>
          <t>Insurer contract wording; locally retained PDF inspected</t>
        </is>
      </c>
      <c r="F47" s="2" t="inlineStr">
        <is>
          <t>Printed p72 / PDF p73; exclusions apply to this extension only, not whole Brazilian insurance market</t>
        </is>
      </c>
      <c r="G47" s="2" t="inlineStr">
        <is>
          <t>2026-10-13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</hyperlinks>
  <pageMargins left="0.75" right="0.75" top="1" bottom="1" header="0.5" footer="0.5"/>
  <tableParts count="1">
    <tablePart xmlns:r="http://schemas.openxmlformats.org/officeDocument/2006/relationships" r:id="rId4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7" customWidth="1" min="2" max="2"/>
    <col width="100" customWidth="1" min="3" max="3"/>
  </cols>
  <sheetData>
    <row r="1" ht="42" customHeight="1">
      <c r="A1" s="1" t="inlineStr">
        <is>
          <t>Gap</t>
        </is>
      </c>
      <c r="B1" s="1" t="inlineStr">
        <is>
          <t>Required evidence</t>
        </is>
      </c>
      <c r="C1" s="1" t="inlineStr">
        <is>
          <t>Why it matters</t>
        </is>
      </c>
    </row>
    <row r="2" ht="68" customHeight="1">
      <c r="A2" s="2" t="inlineStr">
        <is>
          <t>Actual market usage</t>
        </is>
      </c>
      <c r="B2" s="2" t="inlineStr">
        <is>
          <t>By-category active users, leads accepted and policies bound</t>
        </is>
      </c>
      <c r="C2" s="2" t="inlineStr">
        <is>
          <t>Advertising alone does not identify the categories generating revenue</t>
        </is>
      </c>
    </row>
    <row r="3" ht="68" customHeight="1">
      <c r="A3" s="2" t="inlineStr">
        <is>
          <t>Geographic operating footprint</t>
        </is>
      </c>
      <c r="B3" s="2" t="inlineStr">
        <is>
          <t>Named licensed intermediary, active insurer and placement limits per category/country</t>
        </is>
      </c>
      <c r="C3" s="2" t="inlineStr">
        <is>
          <t>Brazil development roots do not prove Brazilian insurance placement</t>
        </is>
      </c>
    </row>
    <row r="4" ht="68" customHeight="1">
      <c r="A4" s="2" t="inlineStr">
        <is>
          <t>Commercial terms</t>
        </is>
      </c>
      <c r="B4" s="2" t="inlineStr">
        <is>
          <t>Net accepted-lead fee, refund/clawback terms, exclusivity, renewal remuneration</t>
        </is>
      </c>
      <c r="C4" s="2" t="inlineStr">
        <is>
          <t>Premium volume does not establish Objais revenue</t>
        </is>
      </c>
    </row>
    <row r="5" ht="68" customHeight="1">
      <c r="A5" s="2" t="inlineStr">
        <is>
          <t>Acquisition economics</t>
        </is>
      </c>
      <c r="B5" s="2" t="inlineStr">
        <is>
          <t>CAC by channel/category and accepted-lead yield</t>
        </is>
      </c>
      <c r="C5" s="2" t="inlineStr">
        <is>
          <t>Needed before judging tickets as too low or ranking segments by profit</t>
        </is>
      </c>
    </row>
    <row r="6" ht="68" customHeight="1">
      <c r="A6" s="2" t="inlineStr">
        <is>
          <t>Retention</t>
        </is>
      </c>
      <c r="B6" s="2" t="inlineStr">
        <is>
          <t>Meaningful user actions and contractual revenue by 30/60/90 days and annual cohort</t>
        </is>
      </c>
      <c r="C6" s="2" t="inlineStr">
        <is>
          <t>Low buying frequency cannot substitute for retention measurement</t>
        </is>
      </c>
    </row>
    <row r="7" ht="68" customHeight="1">
      <c r="A7" s="2" t="inlineStr">
        <is>
          <t>Regional market totals</t>
        </is>
      </c>
      <c r="B7" s="2" t="inlineStr">
        <is>
          <t>Brazil/Portugal specialist watch, bag, art, yacht and pet-insurance totals</t>
        </is>
      </c>
      <c r="C7" s="2" t="inlineStr">
        <is>
          <t>Public proxies do not form a comparable national TAM</t>
        </is>
      </c>
    </row>
    <row r="8" ht="68" customHeight="1">
      <c r="A8" s="2" t="inlineStr">
        <is>
          <t>Current availability</t>
        </is>
      </c>
      <c r="B8" s="2" t="inlineStr">
        <is>
          <t>Resolve health/home labels and FAQ-only wine/instrument categories</t>
        </is>
      </c>
      <c r="C8" s="2" t="inlineStr">
        <is>
          <t>Exclude uncertain and planned scope from present market</t>
        </is>
      </c>
    </row>
    <row r="9" ht="68" customHeight="1">
      <c r="A9" s="2" t="inlineStr">
        <is>
          <t>Operational rights</t>
        </is>
      </c>
      <c r="B9" s="2" t="inlineStr">
        <is>
          <t>Insurer-accepted records, policy update and claims permissions, data rights</t>
        </is>
      </c>
      <c r="C9" s="2" t="inlineStr">
        <is>
          <t>App features cannot be assumed to amend cover or receive revenue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2026-10-13T18:20:31Z</dcterms:created>
  <dcterms:modified xmlns:dcterms="http://purl.org/dc/terms/" xmlns:xsi="http://www.w3.org/2001/XMLSchema-instance" xsi:type="dcterms:W3CDTF">2026-10-13T18:20:32Z</dcterms:modified>
</cp:coreProperties>
</file>