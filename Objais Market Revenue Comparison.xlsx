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Parameters" sheetId="2" r:id="rId2"/>
    <sheet name="Summary" sheetId="3" r:id="rId3"/>
    <sheet name="C1" sheetId="4" r:id="rId4"/>
    <sheet name="C2" sheetId="5" r:id="rId5"/>
    <sheet name="C3" sheetId="6" r:id="rId6"/>
    <sheet name="C4" sheetId="7" r:id="rId7"/>
    <sheet name="C5" sheetId="8" r:id="rId8"/>
    <sheet name="C6" sheetId="9" r:id="rId9"/>
    <sheet name="C7" sheetId="10" r:id="rId10"/>
    <sheet name="C8" sheetId="11" r:id="rId11"/>
    <sheet name="C9" sheetId="12" r:id="rId12"/>
    <sheet name="C10" sheetId="13" r:id="rId13"/>
    <sheet name="Sensitivity" sheetId="14" r:id="rId14"/>
    <sheet name="Markets" sheetId="15" r:id="rId15"/>
    <sheet name="LaneInputs" sheetId="16" r:id="rId16"/>
    <sheet name="TeamData" sheetId="17" r:id="rId17"/>
    <sheet name="Sources" sheetId="18" r:id="rId18"/>
    <sheet name="CaseGuide" sheetId="19" r:id="rId19"/>
    <sheet name="Thresholds" sheetId="20" r:id="rId20"/>
    <sheet name="StressGrid" sheetId="21" r:id="rId21"/>
  </sheets>
  <definedNames>
    <definedName name="_xlnm._FilterDatabase" localSheetId="15" hidden="1">LaneInputs!$A$4:$T$60</definedName>
  </definedNames>
  <calcPr calcId="124519" fullCalcOnLoad="1"/>
</workbook>
</file>

<file path=xl/sharedStrings.xml><?xml version="1.0" encoding="utf-8"?>
<sst xmlns="http://schemas.openxmlformats.org/spreadsheetml/2006/main" count="1300" uniqueCount="473">
  <si>
    <t>Objais formal revenue model</t>
  </si>
  <si>
    <t>Evidence status</t>
  </si>
  <si>
    <t>ALL numerical inputs are illustrative assumptions, not Objais results, prices, contracts or forecasts.</t>
  </si>
  <si>
    <t>Mathematical source</t>
  </si>
  <si>
    <t>Objais Revenue Model.tex contains definitions, derivations and limits. revenue_model.py is the executable reference.</t>
  </si>
  <si>
    <t>What this file does</t>
  </si>
  <si>
    <t>Ten synthetic counterfactuals, editable parameters and live 36-month expected-value formulas; native currency EUR for every synthetic example. LaneInputs retains native currencies; no mixed-currency aggregation.</t>
  </si>
  <si>
    <t>Edit</t>
  </si>
  <si>
    <t>Blue cells on Parameters are inputs. Formula-derived initial payments are not blue. Each S sheet has calendar and single-acquired-owner blocks.</t>
  </si>
  <si>
    <t>Opportunity states</t>
  </si>
  <si>
    <t>E: retained owner with one unexhausted opportunity. M: retained owner after monetisation. State continuation is distinct from policy survival and billing continuation.</t>
  </si>
  <si>
    <t>q definition</t>
  </si>
  <si>
    <t>Probability of the first payable monetary event per eligible owner-month; lead acceptance in C1-C9 and policy binding in C10. Do not reuse an observed rate across these definitions.</t>
  </si>
  <si>
    <t>Repeat eligibility</t>
  </si>
  <si>
    <t>Reset probability is a genuinely new payable opportunity, not another app visit, record, scan or automatic policy revaluation.</t>
  </si>
  <si>
    <t>Initial payment</t>
  </si>
  <si>
    <t>Lead case: stated fee. Binding case: eligible premium times commission rate times retained share. Architectures are alternatives; no lead+binding double counting.</t>
  </si>
  <si>
    <t>Other streams</t>
  </si>
  <si>
    <t>Software and annual renewal hypotheses are separate. Lead-only architecture does not earn renewal income. Service-referral events exist in the formal specification but are not simulated here.</t>
  </si>
  <si>
    <t>Time convention</t>
  </si>
  <si>
    <t>Acquisition and monetisation during month; retention and eligibility reset at month end. New software pays in month of acquisition; first annual renewal is month 13.</t>
  </si>
  <si>
    <t>Cost convention</t>
  </si>
  <si>
    <t>Eligible/completed month cost plus event processing, subscription and policy costs. Acquisition charged once, fixed costs kept separate.</t>
  </si>
  <si>
    <t>Customer value</t>
  </si>
  <si>
    <t>Cohort block acquires one owner in month 1, no further acquisition, no CAC or fixed cost. Its discounted contribution is V36 before CAC; Summary subtracts CAC once.</t>
  </si>
  <si>
    <t>Cash convention</t>
  </si>
  <si>
    <t>Immediate net invoicing, no late credits or bad debt, a single shared collection lag, and expenses paid when incurred. Revenue minus collected cash equals receivables.</t>
  </si>
  <si>
    <t>Finite horizon</t>
  </si>
  <si>
    <t>V36 need not be below infinite V: later retained months can bring cost without another payment.</t>
  </si>
  <si>
    <t>Sensitivity</t>
  </si>
  <si>
    <t>Lead-only, lambda=0, no subscriptions or renewals. Vary pre-/post-event continuation to show mathematical contribution, using C1 fee/cost assumptions.</t>
  </si>
  <si>
    <t>Validation</t>
  </si>
  <si>
    <t>The original model has 22 tests. This comparison is checked independently against Python and inverse thresholds; native Excel recalculation is not claimed.</t>
  </si>
  <si>
    <t>Use limits</t>
  </si>
  <si>
    <t>Formulas implement the stationary monthly examples. The formal model admits lane/time-dependent parameters, contractual event ledgers and dated FX; no current local insurance access is asserted.</t>
  </si>
  <si>
    <t>Illustrative assumptions â€” no empirical calibration</t>
  </si>
  <si>
    <t>q and payment are defined by the event basis. A renewal-rights switch is a hypothetical scenario, not a verified contract.</t>
  </si>
  <si>
    <t>Parameter</t>
  </si>
  <si>
    <t>Symbol</t>
  </si>
  <si>
    <t>Unit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</si>
  <si>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</si>
  <si>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</si>
  <si>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</si>
  <si>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</si>
  <si>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</si>
  <si>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</si>
  <si>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</si>
  <si>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</si>
  <si>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</si>
  <si>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</si>
  <si>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Definition / evidence</t>
  </si>
  <si>
    <t>Architecture selector</t>
  </si>
  <si>
    <t>z_N</t>
  </si>
  <si>
    <t>0 lead; 1 bound policy</t>
  </si>
  <si>
    <t>Alternatives, not simultaneous initial remuneration; ILLUSTRATIVE</t>
  </si>
  <si>
    <t>Payable-event probability</t>
  </si>
  <si>
    <t>q</t>
  </si>
  <si>
    <t>fraction</t>
  </si>
  <si>
    <t>Lead acceptance or binding depending on selector; ILLUSTRATIVE</t>
  </si>
  <si>
    <t>Pre-event continuation</t>
  </si>
  <si>
    <t>rho_E</t>
  </si>
  <si>
    <t>Unexhausted opportunity continuation; ILLUSTRATIVE</t>
  </si>
  <si>
    <t>Post-event continuation</t>
  </si>
  <si>
    <t>rho_M</t>
  </si>
  <si>
    <t>Completed opportunity continuation; ILLUSTRATIVE</t>
  </si>
  <si>
    <t>New eligibility</t>
  </si>
  <si>
    <t>lambda</t>
  </si>
  <si>
    <t>Genuine new payable episode; ILLUSTRATIVE</t>
  </si>
  <si>
    <t>Lead fee</t>
  </si>
  <si>
    <t>f_L</t>
  </si>
  <si>
    <t>EUR per lead</t>
  </si>
  <si>
    <t>Synthetic lead fee; ILLUSTRATIVE</t>
  </si>
  <si>
    <t>Eligible policy premium</t>
  </si>
  <si>
    <t>P</t>
  </si>
  <si>
    <t>EUR per policy</t>
  </si>
  <si>
    <t>Synthetic commission basis; ILLUSTRATIVE</t>
  </si>
  <si>
    <t>Initial commission rate</t>
  </si>
  <si>
    <t>nu_N</t>
  </si>
  <si>
    <t>Synthetic rate; ILLUSTRATIVE</t>
  </si>
  <si>
    <t>Retained commission share</t>
  </si>
  <si>
    <t>s_N</t>
  </si>
  <si>
    <t>Synthetic share; ILLUSTRATIVE</t>
  </si>
  <si>
    <t>Initial payment derived</t>
  </si>
  <si>
    <t>f</t>
  </si>
  <si>
    <t>EUR per event</t>
  </si>
  <si>
    <t>Lead fee OR premium Ã— rate Ã— share; ILLUSTRATIVE</t>
  </si>
  <si>
    <t>Payment reversal fraction</t>
  </si>
  <si>
    <t>omega</t>
  </si>
  <si>
    <t>Expected current-period credit; not policy survival; ILLUSTRATIVE</t>
  </si>
  <si>
    <t>Processing cost per event</t>
  </si>
  <si>
    <t>h</t>
  </si>
  <si>
    <t>Synthetic event processing cost; ILLUSTRATIVE</t>
  </si>
  <si>
    <t>Eligible-owner monthly cost</t>
  </si>
  <si>
    <t>v_E</t>
  </si>
  <si>
    <t>EUR per owner-month</t>
  </si>
  <si>
    <t>Synthetic cost before event; ILLUSTRATIVE</t>
  </si>
  <si>
    <t>Completed-owner monthly cost</t>
  </si>
  <si>
    <t>v_M</t>
  </si>
  <si>
    <t>Synthetic cost after event; ILLUSTRATIVE</t>
  </si>
  <si>
    <t>Acquisition cost</t>
  </si>
  <si>
    <t>k</t>
  </si>
  <si>
    <t>EUR per acquired owner</t>
  </si>
  <si>
    <t>Synthetic CAC; ILLUSTRATIVE</t>
  </si>
  <si>
    <t>New owners per month</t>
  </si>
  <si>
    <t>A_t</t>
  </si>
  <si>
    <t>owners</t>
  </si>
  <si>
    <t>Synthetic calendar inflow; ILLUSTRATIVE</t>
  </si>
  <si>
    <t>Fixed monthly cost</t>
  </si>
  <si>
    <t>F</t>
  </si>
  <si>
    <t>EUR per month</t>
  </si>
  <si>
    <t>Synthetic fixed operating expense; ILLUSTRATIVE</t>
  </si>
  <si>
    <t>New software paid conversion</t>
  </si>
  <si>
    <t>kappa</t>
  </si>
  <si>
    <t>Synthetic paid conversion; ILLUSTRATIVE</t>
  </si>
  <si>
    <t>Software billed continuation</t>
  </si>
  <si>
    <t>eta</t>
  </si>
  <si>
    <t>Independent billing-cohort marginal; ILLUSTRATIVE</t>
  </si>
  <si>
    <t>Software monthly payment</t>
  </si>
  <si>
    <t>b</t>
  </si>
  <si>
    <t>EUR per billed month</t>
  </si>
  <si>
    <t>Synthetic monthly price; ILLUSTRATIVE</t>
  </si>
  <si>
    <t>Software monthly cost</t>
  </si>
  <si>
    <t>v_S</t>
  </si>
  <si>
    <t>Synthetic incremental cost; ILLUSTRATIVE</t>
  </si>
  <si>
    <t>Renewal remuneration switch</t>
  </si>
  <si>
    <t>z_pi</t>
  </si>
  <si>
    <t>0 or 1</t>
  </si>
  <si>
    <t>Hypothetical rights; requires policy architecture; ILLUSTRATIVE</t>
  </si>
  <si>
    <t>Policy monthly survival</t>
  </si>
  <si>
    <t>s_pi</t>
  </si>
  <si>
    <t>Synthetic survival; not app retention; ILLUSTRATIVE</t>
  </si>
  <si>
    <t>Renewal interval</t>
  </si>
  <si>
    <t>J</t>
  </si>
  <si>
    <t>months</t>
  </si>
  <si>
    <t>12 in annual examples; positive integer; ILLUSTRATIVE</t>
  </si>
  <si>
    <t>Payment per renewal</t>
  </si>
  <si>
    <t>phi_pi</t>
  </si>
  <si>
    <t>EUR per policy renewal</t>
  </si>
  <si>
    <t>Synthetic net fee; ILLUSTRATIVE</t>
  </si>
  <si>
    <t>Policy monthly service cost</t>
  </si>
  <si>
    <t>v_pi</t>
  </si>
  <si>
    <t>EUR per active policy-month</t>
  </si>
  <si>
    <t>Synthetic cost; ILLUSTRATIVE</t>
  </si>
  <si>
    <t>Cash collection lag</t>
  </si>
  <si>
    <t>lag</t>
  </si>
  <si>
    <t>Same lag for all streams in this example; ILLUSTRATIVE</t>
  </si>
  <si>
    <t>Monthly discount rate</t>
  </si>
  <si>
    <t>i</t>
  </si>
  <si>
    <t>Synthetic time-value convention; ILLUSTRATIVE</t>
  </si>
  <si>
    <t>Counterfactual model outputs â€” illustrative only</t>
  </si>
  <si>
    <t>V36 is per one acquired owner. Calendar totals use 1,000 new owners per month and separate fixed costs. EUR in all examples.</t>
  </si>
  <si>
    <t>Case</t>
  </si>
  <si>
    <t>Architecture</t>
  </si>
  <si>
    <t>V36 before CAC</t>
  </si>
  <si>
    <t>V36 minus CAC</t>
  </si>
  <si>
    <t>Revenue 36 months</t>
  </si>
  <si>
    <t>Contribution 36 months</t>
  </si>
  <si>
    <t>Operating result 36 months</t>
  </si>
  <si>
    <t>Cash surplus 36 months</t>
  </si>
  <si>
    <t>Closing receivables</t>
  </si>
  <si>
    <t>Break-even CAC V36</t>
  </si>
  <si>
    <t>Structural input check</t>
  </si>
  <si>
    <t>C1 â€” One-visit lead baseline</t>
  </si>
  <si>
    <t>All parameters are illustrative. Top block: calendar cohorts. Lower block: one acquired owner, no CAC/fixed cost, for customer-value calculation.</t>
  </si>
  <si>
    <t>Month</t>
  </si>
  <si>
    <t>Acquired</t>
  </si>
  <si>
    <t>E eligible</t>
  </si>
  <si>
    <t>M completed active</t>
  </si>
  <si>
    <t>Payable events</t>
  </si>
  <si>
    <t>New policies</t>
  </si>
  <si>
    <t>Active policies</t>
  </si>
  <si>
    <t>Renewed policies</t>
  </si>
  <si>
    <t>Billed subscribers</t>
  </si>
  <si>
    <t>Initial revenue</t>
  </si>
  <si>
    <t>Renewal revenue</t>
  </si>
  <si>
    <t>Software revenue</t>
  </si>
  <si>
    <t>Total revenue</t>
  </si>
  <si>
    <t>Variable cost</t>
  </si>
  <si>
    <t>Contribution</t>
  </si>
  <si>
    <t>Fixed cost</t>
  </si>
  <si>
    <t>Operating result</t>
  </si>
  <si>
    <t>Cash receipts</t>
  </si>
  <si>
    <t>Receivables</t>
  </si>
  <si>
    <t>Cash surplus</t>
  </si>
  <si>
    <t>Cumulative cash</t>
  </si>
  <si>
    <t>Churned opportunity owners</t>
  </si>
  <si>
    <t>Next E</t>
  </si>
  <si>
    <t>Next M</t>
  </si>
  <si>
    <t>Discounted contribution before CAC</t>
  </si>
  <si>
    <t>One acquired-owner cohort: V36 before acquisition/fixed costs. This isolates the mathematical unit value.</t>
  </si>
  <si>
    <t>One-visit lead baseline</t>
  </si>
  <si>
    <t>C2 â€” Same lead, cheaper acquisition</t>
  </si>
  <si>
    <t>Same lead, cheaper acquisition</t>
  </si>
  <si>
    <t>C3 â€” Post-sale retention only</t>
  </si>
  <si>
    <t>Post-sale retention only</t>
  </si>
  <si>
    <t>C4 â€” Retention before first paid lead</t>
  </si>
  <si>
    <t>Retention before first paid lead</t>
  </si>
  <si>
    <t>C5 â€” New payable opportunities</t>
  </si>
  <si>
    <t>New payable opportunities</t>
  </si>
  <si>
    <t>C6 â€” Collector tool with low insurance intent</t>
  </si>
  <si>
    <t>Collector tool with low insurance intent</t>
  </si>
  <si>
    <t>C7 â€” Low-intent collector plus repeat leads</t>
  </si>
  <si>
    <t>Low-intent collector plus repeat leads</t>
  </si>
  <si>
    <t>C8 â€” Low-intent collector plus 5% paid tools</t>
  </si>
  <si>
    <t>Low-intent collector plus 5% paid tools</t>
  </si>
  <si>
    <t>C9 â€” Low-intent collector plus 15% paid tools</t>
  </si>
  <si>
    <t>Low-intent collector plus 15% paid tools</t>
  </si>
  <si>
    <t>C10 â€” Binding commission and renewal rights</t>
  </si>
  <si>
    <t>Binding commission and renewal rights</t>
  </si>
  <si>
    <t>Lead-only unit value: pre- and post-event continuation</t>
  </si>
  <si>
    <t>Synthetic C1 fee/cost inputs; lambda=0; no software or policy remuneration. Cells show infinite discounted V minus CAC, not market estimates.</t>
  </si>
  <si>
    <t>rho_M / rho_E</t>
  </si>
  <si>
    <t>Market</t>
  </si>
  <si>
    <t>Scope</t>
  </si>
  <si>
    <t>Target segment</t>
  </si>
  <si>
    <t>Recurring task</t>
  </si>
  <si>
    <t>Revenue route</t>
  </si>
  <si>
    <t>Viability assumption</t>
  </si>
  <si>
    <t>Missing data</t>
  </si>
  <si>
    <t>Market application — qualitative mechanisms, no fabricated market economics</t>
  </si>
  <si>
    <t>Watches</t>
  </si>
  <si>
    <t>Current advertised</t>
  </si>
  <si>
    <t>Single owner vs multi-watch collector</t>
  </si>
  <si>
    <t>Serials, invoices, purchases, service, disposal and coverage records</t>
  </si>
  <si>
    <t>Accepted initial lead; renewal only with rights; paid dealer workflow if contracted</t>
  </si>
  <si>
    <t>Dealer/service distribution lowers CAC or documentation raises q; repeat episodes must be payable</t>
  </si>
  <si>
    <t>Reference and authenticity requirements, net fee, multi-piece share, dealer CAC</t>
  </si>
  <si>
    <t>Jewellery</t>
  </si>
  <si>
    <t>One-piece owner vs growing collection</t>
  </si>
  <si>
    <t>Appraisal, gifts, repair and insured-value changes</t>
  </si>
  <si>
    <t>Initial lead or binding commission; policy renewal with rights</t>
  </si>
  <si>
    <t>Actual payment and conversion cover acquisition and appraisal/support costs</t>
  </si>
  <si>
    <t>Premium basis, broker share, net fee, appraisals, renewal ownership</t>
  </si>
  <si>
    <t>Luxury handbags</t>
  </si>
  <si>
    <t>User of one bag vs valuable resale collection</t>
  </si>
  <si>
    <t>Model, variant, receipts, condition and ownership changes</t>
  </si>
  <si>
    <t>Initial placement; contracted service or paid inventory tool</t>
  </si>
  <si>
    <t>Insurable collection and reliable variants produce paid demand; monitoring alone earns nothing</t>
  </si>
  <si>
    <t>Insurer appetite, collection value distribution, matching accuracy and verification cost</t>
  </si>
  <si>
    <t>Fine art</t>
  </si>
  <si>
    <t>Private collector vs professional managing clients</t>
  </si>
  <si>
    <t>Provenance, location, loan, transit, restoration and estate records</t>
  </si>
  <si>
    <t>Placement; contracted expert referrals; professional subscription</t>
  </si>
  <si>
    <t>Larger contribution survives specialist costs, or professionals pay for repeated work</t>
  </si>
  <si>
    <t>Expert minutes, placement yield, referral ledger, payer and documentation acceptance</t>
  </si>
  <si>
    <t>Decorative antiques</t>
  </si>
  <si>
    <t>Existing broader scope and expansion overlap</t>
  </si>
  <si>
    <t>Documented collection vs isolated inherited object</t>
  </si>
  <si>
    <t>Appraisal, restoration, provenance, estate and movement records</t>
  </si>
  <si>
    <t>Placement and separately contracted services</t>
  </si>
  <si>
    <t>Accepted documented niche, trusted partner access and adequate net fee</t>
  </si>
  <si>
    <t>Category acceptance, provenance cost, expert turnaround, completed referrals</t>
  </si>
  <si>
    <t>Yachts and superyachts</t>
  </si>
  <si>
    <t>Owner, yacht manager or specialist broker</t>
  </si>
  <si>
    <t>Surveys, cruising/use changes and renewal submissions</t>
  </si>
  <si>
    <t>Specialist placement or paid partner workflow</t>
  </si>
  <si>
    <t>Net fee exceeds long sales-cycle and specialist work; partner relationship can recur</t>
  </si>
  <si>
    <t>Decision maker, premium/fee share, acquisition hours, survey costs and payment lag</t>
  </si>
  <si>
    <t>Leisure boats</t>
  </si>
  <si>
    <t>Private leisure owner vs marina-led channel</t>
  </si>
  <si>
    <t>Mooring, use, records and renewal preparation</t>
  </si>
  <si>
    <t>Placement; earned renewal or marina workflow</t>
  </si>
  <si>
    <t>Partner-sourced contribution positive after servicing; eligibility follows actual cover</t>
  </si>
  <si>
    <t>Marina sourcing CAC, acceptance, usage rules, support and renewal rights</t>
  </si>
  <si>
    <t>Supercars</t>
  </si>
  <si>
    <t>Current advertised with rollout wording conflict</t>
  </si>
  <si>
    <t>Single-car owner vs collectible fleet</t>
  </si>
  <si>
    <t>Provenance, agreed value, mileage, storage and transfers</t>
  </si>
  <si>
    <t>Specialist placement and documented renewal rights</t>
  </si>
  <si>
    <t>Specialist net remuneration covers verification and distribution; no premium-to-fee shortcut</t>
  </si>
  <si>
    <t>Rollout status, collector/fleet mix, lead value, specialist effort and policy terms</t>
  </si>
  <si>
    <t>Everyday cars</t>
  </si>
  <si>
    <t>Owner shopping at purchase or renewal</t>
  </si>
  <si>
    <t>Quote, renewal and claims documentation</t>
  </si>
  <si>
    <t>Paid lead or binding/renewal commission</t>
  </si>
  <si>
    <t>One-off contribution positive or later renewal payment actually belongs to Objais</t>
  </si>
  <si>
    <t>Channel CAC, duplicate rejection, binding yield, commissions, renewal attribution</t>
  </si>
  <si>
    <t>Pets</t>
  </si>
  <si>
    <t>Caregiving household vs occasional insurance shopper</t>
  </si>
  <si>
    <t>Veterinary evidence, benefits and claims records</t>
  </si>
  <si>
    <t>Placement; contracted renewal or paid care/document service</t>
  </si>
  <si>
    <t>Revenue funds recurring support; insurer integration makes workflow useful</t>
  </si>
  <si>
    <t>Insurance vs assistance scope, support minutes, access to insurer systems and payer</t>
  </si>
  <si>
    <t>TCGs and sports cards</t>
  </si>
  <si>
    <t>Proposed expansion; categories kept distinct</t>
  </si>
  <si>
    <t>Casual player/bulk owner vs valuable adult collection</t>
  </si>
  <si>
    <t>Batch additions, variants, trades, grading certificates and inventory</t>
  </si>
  <si>
    <t>Collection placement; genuinely paid repeat service; optional subscription</t>
  </si>
  <si>
    <t>Insurable fraction and conversion sufficient, or paid-tool margin supports free usage</t>
  </si>
  <si>
    <t>Collection values, insurable fraction, paid conversion, billed churn, scans and data licence cost</t>
  </si>
  <si>
    <t>Action figures and designer toys</t>
  </si>
  <si>
    <t>Proposed expansion</t>
  </si>
  <si>
    <t>Mass-market pieces vs boxed limited editions/statues</t>
  </si>
  <si>
    <t>Edition, completeness, box condition, wish lists and inventory</t>
  </si>
  <si>
    <t>Collection placement; paid inventory or documented referral</t>
  </si>
  <si>
    <t>Catalogue-defined niche and paid demand exceed matching/storage/licence costs</t>
  </si>
  <si>
    <t>Exact variant coverage, collection value, cost per item and willingness to pay</t>
  </si>
  <si>
    <t>Modern or certified coins</t>
  </si>
  <si>
    <t>Proposed expansion; broad collections overlap</t>
  </si>
  <si>
    <t>Numismatic collection; bullion separate</t>
  </si>
  <si>
    <t>Mint/date, certification, grade, provenance and swaps</t>
  </si>
  <si>
    <t>Specialist placement; appraisal referrals; paid documentation</t>
  </si>
  <si>
    <t>Accepted specialist coverage and accurate documentation with controlled verification cost</t>
  </si>
  <si>
    <t>Numismatic/bullion split, accepted grades, partner yield, certificate and appraisal costs</t>
  </si>
  <si>
    <t>Archaeological antiquities and ancient coins</t>
  </si>
  <si>
    <t>Separate proposed expansion</t>
  </si>
  <si>
    <t>Objects with documented provenance and lawful title</t>
  </si>
  <si>
    <t>Provenance, title, expert attribution and movement records</t>
  </si>
  <si>
    <t>Specialist placement or paid expert documentation</t>
  </si>
  <si>
    <t>Specialist acceptance and full costs proven before an automated mass-market offer</t>
  </si>
  <si>
    <t>Title/provenance requirements by country, insurer acceptance, expert cost and responsibility</t>
  </si>
  <si>
    <t>Lane</t>
  </si>
  <si>
    <t>Specify country</t>
  </si>
  <si>
    <t>Native currency</t>
  </si>
  <si>
    <t>Channel</t>
  </si>
  <si>
    <t>Documented availability 0/1</t>
  </si>
  <si>
    <t>Payment basis confirmed</t>
  </si>
  <si>
    <t>p request / acquired owner</t>
  </si>
  <si>
    <t>alpha paid / request</t>
  </si>
  <si>
    <t>f fee before reversals</t>
  </si>
  <si>
    <t>omega reversal fraction</t>
  </si>
  <si>
    <t>h cost / paid event</t>
  </si>
  <si>
    <t>vE cost / acquired owner</t>
  </si>
  <si>
    <t>CAC / acquired owner</t>
  </si>
  <si>
    <t>q derived</t>
  </si>
  <si>
    <t>One-visit V before CAC</t>
  </si>
  <si>
    <t>Unit contribution after CAC</t>
  </si>
  <si>
    <t>F fixed cost / month</t>
  </si>
  <si>
    <t>Minimum monthly owners to cover F</t>
  </si>
  <si>
    <t>Interpretation</t>
  </si>
  <si>
    <t>Actual inputs — blank until the team provides evidence</t>
  </si>
  <si>
    <t>One-visit lead screen only. Retained/renewal/subscription architectures use the cohort sheets after validated inputs are entered. Blank is unknown, not zero. Availability is a separate gate.</t>
  </si>
  <si>
    <t>Brazil</t>
  </si>
  <si>
    <t>BRL</t>
  </si>
  <si>
    <t>Unknown economics and access. Numeric output does not establish category acceptance.</t>
  </si>
  <si>
    <t>Portugal</t>
  </si>
  <si>
    <t>EUR</t>
  </si>
  <si>
    <t>Other European country</t>
  </si>
  <si>
    <t>Other global country</t>
  </si>
  <si>
    <t>Priority</t>
  </si>
  <si>
    <t>Owner</t>
  </si>
  <si>
    <t>Question / dataset</t>
  </si>
  <si>
    <t>Required fields</t>
  </si>
  <si>
    <t>Evidence to request</t>
  </si>
  <si>
    <t>Model parameters</t>
  </si>
  <si>
    <t>Team data request — minimum viable calibration and recurring hypotheses</t>
  </si>
  <si>
    <t>P0</t>
  </si>
  <si>
    <t>Commercial / finance</t>
  </si>
  <si>
    <t>Payment trigger and contract</t>
  </si>
  <si>
    <t>Counterparty, country, category, event basis, fee schedule, acceptance definition, payout split, reversal rules, renewal/service rights and attribution window</t>
  </si>
  <si>
    <t>Signed agreement and anonymised invoice examples</t>
  </si>
  <si>
    <t>Architecture, f, omega, renewal-rights mask</t>
  </si>
  <si>
    <t>Product / commercial</t>
  </si>
  <si>
    <t>Actual operating scope</t>
  </si>
  <si>
    <t>Live vs waitlist, supported country, local intermediary, insurer, category, accepted value range, required ownership/valuation documents</t>
  </si>
  <si>
    <t>Category-country availability matrix and acceptance record</t>
  </si>
  <si>
    <t>Whether a modeled revenue stream is available</t>
  </si>
  <si>
    <t>Growth / finance</t>
  </si>
  <si>
    <t>Acquisition denominator and cost</t>
  </si>
  <si>
    <t>Channel spend, attributable labour, partner fees, unique acquired owners, acquisition date, country, category and referral source</t>
  </si>
  <si>
    <t>Monthly channel exports, invoices and owner-level acquisition keys</t>
  </si>
  <si>
    <t>CAC; avoid using CAC per paid lead with q a second time</t>
  </si>
  <si>
    <t>First payment funnel</t>
  </si>
  <si>
    <t>Unique eligible owners, qualified requests, submission, acceptance/rejection reason, policy binding if relevant, dates and paid amount</t>
  </si>
  <si>
    <t>Owner/event-level anonymised funnel for all available history, ideally 12-24 months</t>
  </si>
  <si>
    <t>p, alpha, q and paid-event delay</t>
  </si>
  <si>
    <t>Finance / operations</t>
  </si>
  <si>
    <t>Variable cost and servicing</t>
  </si>
  <si>
    <t>AI/OCR calls, images/items, licensed-data charges, storage, payment/platform fees, support/expert minutes and wage rates, per policy costs</t>
  </si>
  <si>
    <t>Usage invoices, operational time samples and allocation rules</t>
  </si>
  <si>
    <t>h, vE, vM, vS, vPolicy; costs of free users</t>
  </si>
  <si>
    <t>Finance</t>
  </si>
  <si>
    <t>Invoices and collections</t>
  </si>
  <si>
    <t>Event ID, invoice date/amount, credits, due date, actual receipts, writeoffs, insurer share and currency</t>
  </si>
  <si>
    <t>Anonymised receivables and receipts ledger tied to event IDs</t>
  </si>
  <si>
    <t>Net fees, cash lag, bad debt and working capital</t>
  </si>
  <si>
    <t>P1</t>
  </si>
  <si>
    <t>Product / data</t>
  </si>
  <si>
    <t>Continuation before and after payment</t>
  </si>
  <si>
    <t>Cohort, first payment date, eligible state, post-payment state, meaningful task timestamps, deletion/contactability and exposure months</t>
  </si>
  <si>
    <t>Anonymised monthly owner/event panel with observation end</t>
  </si>
  <si>
    <t>rhoE/rhoM with censoring; app visit frequency measured separately</t>
  </si>
  <si>
    <t>Commercial / data</t>
  </si>
  <si>
    <t>Genuine repeat eligibility</t>
  </si>
  <si>
    <t>New asset/contract episode, relationship to first lead, consent, duplicate disposition, incremental accepted fee and date</t>
  </si>
  <si>
    <t>Repeat-event ledger plus explicit contract clause</t>
  </si>
  <si>
    <t>lambda; never infer from scans or portfolio additions</t>
  </si>
  <si>
    <t>Insurance / finance</t>
  </si>
  <si>
    <t>Renewals and revenue rights</t>
  </si>
  <si>
    <t>Policy births, term, premium, cancellation, renewal due/observed dates, surviving policies, actual renewal fees, service costs and ownership of book</t>
  </si>
  <si>
    <t>Mature policy cohorts and counterparty renewal statements</t>
  </si>
  <si>
    <t>Policy survival and phiRenewal; young cohorts are censored</t>
  </si>
  <si>
    <t>Product / research</t>
  </si>
  <si>
    <t>Collector fit and willingness to pay</t>
  </si>
  <si>
    <t>Category, owner vs dealer, collection-value bands, items, changes per month, existing tools, insured status, locale and completed protection need</t>
  </si>
  <si>
    <t>Consented targeted interviews plus paid pilot outcomes</t>
  </si>
  <si>
    <t>Insurable fraction, q by segment, substitution and differentiation</t>
  </si>
  <si>
    <t>Product / finance</t>
  </si>
  <si>
    <t>Paid tools and service referrals</t>
  </si>
  <si>
    <t>Offer exposure, actual payer, starts, billed renewal, cancellations/refunds, net recurring price, app-store/payment costs, completed referral fee</t>
  </si>
  <si>
    <t>Paid pilot or existing billing ledger; signed service terms</t>
  </si>
  <si>
    <t>kappa, eta, b-vS and event-level referral margin</t>
  </si>
  <si>
    <t>Finance / leadership</t>
  </si>
  <si>
    <t>Operating scale and concentration</t>
  </si>
  <si>
    <t>Actual fixed spend, incremental build/licence/integration cost, channel capacity, signed distribution reach, insurer concentration and currencies</t>
  </si>
  <si>
    <t>Management accounts, pipeline and partner channel history</t>
  </si>
  <si>
    <t>Company profit, startup funding, concentration and obtainable volume</t>
  </si>
  <si>
    <t>Source</t>
  </si>
  <si>
    <t>URL</t>
  </si>
  <si>
    <t>Supports</t>
  </si>
  <si>
    <t>Evidence ceiling</t>
  </si>
  <si>
    <t>Evidence supporting market mechanisms</t>
  </si>
  <si>
    <t>Objais public FAQ</t>
  </si>
  <si>
    <t>https://www.objais.com/en/faq</t>
  </si>
  <si>
    <t>Broker commissions and service referrals are described; payment trigger and renewal rights undisclosed</t>
  </si>
  <si>
    <t>Official indexed page refreshed 13 Oct 2026; direct browser extraction unavailable</t>
  </si>
  <si>
    <t>Collectr PRO</t>
  </si>
  <si>
    <t>https://www.getcollectr.com/pro</t>
  </si>
  <si>
    <t>USD 59.99 annual advertised price; paid features and free alternative</t>
  </si>
  <si>
    <t>Direct official page refreshed 13 Oct 2026; not Objais paid conversion</t>
  </si>
  <si>
    <t>Pop Price Guide plans</t>
  </si>
  <si>
    <t>https://www.hobbydb.com/marketplaces/poppriceguide/subs/pop-price-guide-landing-page</t>
  </si>
  <si>
    <t>USD 29.99 annual advertised price</t>
  </si>
  <si>
    <t>Direct official page refreshed 13 Oct 2026; not Objais price or willingness to pay</t>
  </si>
  <si>
    <t>Collectibles Insurance Services</t>
  </si>
  <si>
    <t>https://collectinsure.com/pokemon-insurance/</t>
  </si>
  <si>
    <t>US collection product, inventory, additions and automatic growth option</t>
  </si>
  <si>
    <t>Direct official page refreshed 13 Oct 2026; no Brazil/Europe product availability inferred</t>
  </si>
  <si>
    <t>Howden Portugal</t>
  </si>
  <si>
    <t>https://www.howdengroup.com/pt-en/sector/fine-art-and-specie</t>
  </si>
  <si>
    <t>Portugal specialist fine art and valuable goods insurance precedent</t>
  </si>
  <si>
    <t>Direct official page refreshed 13 Oct 2026; no Objais agreement inferred</t>
  </si>
  <si>
    <t>Current markets research</t>
  </si>
  <si>
    <t>Objais Current Markets Research.md</t>
  </si>
  <si>
    <t>Current scope, 104 observations and category caveats</t>
  </si>
  <si>
    <t>Existing research dated 13 Oct 2026; no actual Objais economics</t>
  </si>
  <si>
    <t>Collectibles research</t>
  </si>
  <si>
    <t>Collectibles Market Research.md</t>
  </si>
  <si>
    <t>Category evidence, 116 observations and geographic caveats</t>
  </si>
  <si>
    <t>Existing research dated 13 Oct 2026; not a conversion/retention dataset</t>
  </si>
  <si>
    <t>Mechanism</t>
  </si>
  <si>
    <t>Market application</t>
  </si>
  <si>
    <t>Evidence</t>
  </si>
  <si>
    <t>Controlled comparisons — not ten market forecasts</t>
  </si>
  <si>
    <t>All current categories if contract is lead-only</t>
  </si>
  <si>
    <t>All numerical inputs synthetic; market mapping is a hypothesis</t>
  </si>
  <si>
    <t>Dealer, jeweller, marina or other partner hypothesis</t>
  </si>
  <si>
    <t>Any retained collection dashboard without another payment</t>
  </si>
  <si>
    <t>Watch/jewellery or valuable collection documentation hypothesis</t>
  </si>
  <si>
    <t>Any collection ONLY if additional episodes are contractually paid</t>
  </si>
  <si>
    <t>TCG/figure broad-audience stress case, not measured category rates</t>
  </si>
  <si>
    <t>Repeat-eligibility hypothesis applied to C6</t>
  </si>
  <si>
    <t>Optional software hypothesis applied to C6</t>
  </si>
  <si>
    <t>Alternative architecture for accepted policies; not lead fees plus full commission</t>
  </si>
  <si>
    <t>V36 maximum CAC</t>
  </si>
  <si>
    <t>Target CAC plus burden</t>
  </si>
  <si>
    <t>Discounted events</t>
  </si>
  <si>
    <t>Discounted variable cost</t>
  </si>
  <si>
    <t>Discounted other revenue</t>
  </si>
  <si>
    <t>Minimum initial payment</t>
  </si>
  <si>
    <t>Software margin per paid start</t>
  </si>
  <si>
    <t>Minimum paid conversion</t>
  </si>
  <si>
    <t>Inverse viability thresholds — 36-month customer contribution</t>
  </si>
  <si>
    <t>Targets use CAC only, before fixed costs. Fees and conversion are changed one at a time holding all other inputs fixed. Company cash/profit are separate on Summary.</t>
  </si>
  <si>
    <t>Synthetic parameters. Conversion above 1 is infeasible. A positive unit margin alone does not establish operating profit.</t>
  </si>
  <si>
    <t>Fee EUR</t>
  </si>
  <si>
    <t>CAC EUR</t>
  </si>
  <si>
    <t>Reset lambda</t>
  </si>
  <si>
    <t>Paid conversion</t>
  </si>
  <si>
    <t>V36 after CAC</t>
  </si>
  <si>
    <t>Positive unit contribution</t>
  </si>
  <si>
    <t>360 controlled combinations — static reference results</t>
  </si>
  <si>
    <t>Collector C6 continuation/cost assumptions held fixed. Edit Parameters for live recalculation; this reference grid is static.</t>
  </si>
</sst>
</file>

<file path=xl/styles.xml><?xml version="1.0" encoding="utf-8"?>
<styleSheet xmlns="http://schemas.openxmlformats.org/spreadsheetml/2006/main">
  <numFmts count="3">
    <numFmt numFmtId="164" formatCode="0.0000"/>
    <numFmt numFmtId="165" formatCode="0.0%"/>
    <numFmt numFmtId="166" formatCode="#,##0.00;[Red]-#,##0.00"/>
  </numFmts>
  <fonts count="6">
    <font>
      <sz val="11"/>
      <color theme="1"/>
      <name val="Calibri"/>
      <family val="2"/>
      <scheme val="minor"/>
    </font>
    <font>
      <b/>
      <sz val="17"/>
      <color rgb="FF173247"/>
      <name val="Arial"/>
      <family val="2"/>
    </font>
    <font>
      <sz val="10"/>
      <color rgb="FF173247"/>
      <name val="Arial"/>
      <family val="2"/>
    </font>
    <font>
      <b/>
      <sz val="11"/>
      <color rgb="FF9F321D"/>
      <name val="Arial"/>
      <family val="2"/>
    </font>
    <font>
      <b/>
      <sz val="10"/>
      <color rgb="FFFFFFFF"/>
      <name val="Arial"/>
      <family val="2"/>
    </font>
    <font>
      <sz val="10"/>
      <color rgb="FF005BBB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2E9"/>
        <bgColor indexed="64"/>
      </patternFill>
    </fill>
    <fill>
      <patternFill patternType="solid">
        <fgColor rgb="FF173247"/>
        <bgColor indexed="64"/>
      </patternFill>
    </fill>
    <fill>
      <patternFill patternType="solid">
        <fgColor rgb="FFE5F1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wrapText="1"/>
    </xf>
    <xf numFmtId="0" fontId="4" fillId="3" borderId="0" xfId="0" applyFont="1" applyFill="1" applyAlignment="1">
      <alignment vertical="top" wrapText="1"/>
    </xf>
    <xf numFmtId="164" fontId="5" fillId="4" borderId="0" xfId="0" applyNumberFormat="1" applyFont="1" applyFill="1" applyAlignment="1">
      <alignment vertical="top"/>
    </xf>
    <xf numFmtId="165" fontId="5" fillId="4" borderId="0" xfId="0" applyNumberFormat="1" applyFont="1" applyFill="1"/>
    <xf numFmtId="166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Unit value after CAC â€” synthetic cases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V36 minus CAC</c:v>
          </c:tx>
          <c:cat>
            <c:strRef>
              <c:f>Summary!$B$5:$B$14</c:f>
              <c:strCache>
                <c:ptCount val="10"/>
                <c:pt idx="0">
                  <c:v>One-visit lead baseline</c:v>
                </c:pt>
                <c:pt idx="1">
                  <c:v>Same lead, cheaper acquisition</c:v>
                </c:pt>
                <c:pt idx="2">
                  <c:v>Post-sale retention only</c:v>
                </c:pt>
                <c:pt idx="3">
                  <c:v>Retention before first paid lead</c:v>
                </c:pt>
                <c:pt idx="4">
                  <c:v>New payable opportunities</c:v>
                </c:pt>
                <c:pt idx="5">
                  <c:v>Collector tool with low insurance intent</c:v>
                </c:pt>
                <c:pt idx="6">
                  <c:v>Low-intent collector plus repeat leads</c:v>
                </c:pt>
                <c:pt idx="7">
                  <c:v>Low-intent collector plus 5% paid tools</c:v>
                </c:pt>
                <c:pt idx="8">
                  <c:v>Low-intent collector plus 15% paid tools</c:v>
                </c:pt>
                <c:pt idx="9">
                  <c:v>Binding commission and renewal rights</c:v>
                </c:pt>
              </c:strCache>
            </c:strRef>
          </c:cat>
          <c:val>
            <c:numRef>
              <c:f>Summary!$D$5:$D$14</c:f>
              <c:numCache>
                <c:formatCode>General</c:formatCode>
                <c:ptCount val="10"/>
                <c:pt idx="0">
                  <c:v>-2.4000000000000004</c:v>
                </c:pt>
                <c:pt idx="1">
                  <c:v>0.5999999999999999</c:v>
                </c:pt>
                <c:pt idx="2">
                  <c:v>-2.514252988249299</c:v>
                </c:pt>
                <c:pt idx="3">
                  <c:v>1.1746776843088114</c:v>
                </c:pt>
                <c:pt idx="4">
                  <c:v>1.8769524938485045</c:v>
                </c:pt>
                <c:pt idx="5">
                  <c:v>-4.528563581725825</c:v>
                </c:pt>
                <c:pt idx="6">
                  <c:v>-3.9423970916685347</c:v>
                </c:pt>
                <c:pt idx="7">
                  <c:v>-2.6564356401540996</c:v>
                </c:pt>
                <c:pt idx="8">
                  <c:v>1.087820242989352</c:v>
                </c:pt>
                <c:pt idx="9">
                  <c:v>0.24908164471655425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EUR / acquired owner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3</xdr:col>
      <xdr:colOff>1038225</xdr:colOff>
      <xdr:row>35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objais.com/en/faq" TargetMode="External"/><Relationship Id="rId2" Type="http://schemas.openxmlformats.org/officeDocument/2006/relationships/hyperlink" Target="https://www.getcollectr.com/pro" TargetMode="External"/><Relationship Id="rId3" Type="http://schemas.openxmlformats.org/officeDocument/2006/relationships/hyperlink" Target="https://www.hobbydb.com/marketplaces/poppriceguide/subs/pop-price-guide-landing-page" TargetMode="External"/><Relationship Id="rId4" Type="http://schemas.openxmlformats.org/officeDocument/2006/relationships/hyperlink" Target="https://collectinsure.com/pokemon-insurance/" TargetMode="External"/><Relationship Id="rId5" Type="http://schemas.openxmlformats.org/officeDocument/2006/relationships/hyperlink" Target="https://www.howdengroup.com/pt-en/sector/fine-art-and-specie" TargetMode="External"/><Relationship Id="rId6" Type="http://schemas.openxmlformats.org/officeDocument/2006/relationships/hyperlink" Target="Objais Current Markets Research.md" TargetMode="External"/><Relationship Id="rId7" Type="http://schemas.openxmlformats.org/officeDocument/2006/relationships/hyperlink" Target="Collectibles Market Research.m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showGridLines="0" tabSelected="1" workbookViewId="0">
      <pane ySplit="2" topLeftCell="A3" activePane="bottomLeft" state="frozen"/>
      <selection pane="bottomLeft"/>
    </sheetView>
  </sheetViews>
  <sheetFormatPr defaultRowHeight="15"/>
  <cols>
    <col min="1" max="1" width="29.7109375" customWidth="1"/>
    <col min="2" max="2" width="110.7109375" customWidth="1"/>
  </cols>
  <sheetData>
    <row r="1" spans="1:2">
      <c r="A1" s="1" t="s">
        <v>0</v>
      </c>
      <c r="B1" s="1"/>
    </row>
    <row r="3" spans="1:2" ht="53" customHeight="1">
      <c r="A3" s="2" t="s">
        <v>1</v>
      </c>
      <c r="B3" s="2" t="s">
        <v>2</v>
      </c>
    </row>
    <row r="4" spans="1:2" ht="53" customHeight="1">
      <c r="A4" s="2" t="s">
        <v>3</v>
      </c>
      <c r="B4" s="2" t="s">
        <v>4</v>
      </c>
    </row>
    <row r="5" spans="1:2" ht="53" customHeight="1">
      <c r="A5" s="2" t="s">
        <v>5</v>
      </c>
      <c r="B5" s="2" t="s">
        <v>6</v>
      </c>
    </row>
    <row r="6" spans="1:2" ht="53" customHeight="1">
      <c r="A6" s="2" t="s">
        <v>7</v>
      </c>
      <c r="B6" s="2" t="s">
        <v>8</v>
      </c>
    </row>
    <row r="7" spans="1:2" ht="53" customHeight="1">
      <c r="A7" s="2" t="s">
        <v>9</v>
      </c>
      <c r="B7" s="2" t="s">
        <v>10</v>
      </c>
    </row>
    <row r="8" spans="1:2" ht="53" customHeight="1">
      <c r="A8" s="2" t="s">
        <v>11</v>
      </c>
      <c r="B8" s="2" t="s">
        <v>12</v>
      </c>
    </row>
    <row r="9" spans="1:2" ht="53" customHeight="1">
      <c r="A9" s="2" t="s">
        <v>13</v>
      </c>
      <c r="B9" s="2" t="s">
        <v>14</v>
      </c>
    </row>
    <row r="10" spans="1:2" ht="53" customHeight="1">
      <c r="A10" s="2" t="s">
        <v>15</v>
      </c>
      <c r="B10" s="2" t="s">
        <v>16</v>
      </c>
    </row>
    <row r="11" spans="1:2" ht="53" customHeight="1">
      <c r="A11" s="2" t="s">
        <v>17</v>
      </c>
      <c r="B11" s="2" t="s">
        <v>18</v>
      </c>
    </row>
    <row r="12" spans="1:2" ht="53" customHeight="1">
      <c r="A12" s="2" t="s">
        <v>19</v>
      </c>
      <c r="B12" s="2" t="s">
        <v>20</v>
      </c>
    </row>
    <row r="13" spans="1:2" ht="53" customHeight="1">
      <c r="A13" s="2" t="s">
        <v>21</v>
      </c>
      <c r="B13" s="2" t="s">
        <v>22</v>
      </c>
    </row>
    <row r="14" spans="1:2" ht="53" customHeight="1">
      <c r="A14" s="2" t="s">
        <v>23</v>
      </c>
      <c r="B14" s="2" t="s">
        <v>24</v>
      </c>
    </row>
    <row r="15" spans="1:2" ht="53" customHeight="1">
      <c r="A15" s="2" t="s">
        <v>25</v>
      </c>
      <c r="B15" s="2" t="s">
        <v>26</v>
      </c>
    </row>
    <row r="16" spans="1:2" ht="53" customHeight="1">
      <c r="A16" s="2" t="s">
        <v>27</v>
      </c>
      <c r="B16" s="2" t="s">
        <v>28</v>
      </c>
    </row>
    <row r="17" spans="1:2" ht="53" customHeight="1">
      <c r="A17" s="2" t="s">
        <v>29</v>
      </c>
      <c r="B17" s="2" t="s">
        <v>30</v>
      </c>
    </row>
    <row r="18" spans="1:2" ht="53" customHeight="1">
      <c r="A18" s="2" t="s">
        <v>31</v>
      </c>
      <c r="B18" s="2" t="s">
        <v>32</v>
      </c>
    </row>
    <row r="19" spans="1:2" ht="53" customHeight="1">
      <c r="A19" s="2" t="s">
        <v>33</v>
      </c>
      <c r="B19" s="2" t="s">
        <v>34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32"/>
  <sheetViews>
    <sheetView showGridLines="0" workbookViewId="0">
      <pane xSplit="3" ySplit="4" topLeftCell="D5" activePane="bottomRight" state="frozen"/>
      <selection pane="topRight" activeCell="D1" sqref="D1"/>
      <selection pane="bottomLeft" activeCell="A5" sqref="A5"/>
      <selection pane="bottomRight"/>
    </sheetView>
  </sheetViews>
  <sheetFormatPr defaultRowHeight="15"/>
  <cols>
    <col min="1" max="1" width="35.7109375" customWidth="1"/>
    <col min="2" max="2" width="17.7109375" customWidth="1"/>
    <col min="3" max="3" width="30.7109375" customWidth="1"/>
    <col min="4" max="13" width="19.7109375" customWidth="1"/>
    <col min="14" max="14" width="58.7109375" customWidth="1"/>
  </cols>
  <sheetData>
    <row r="1" spans="1:14">
      <c r="A1" s="1" t="s">
        <v>35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A2" s="3" t="s">
        <v>36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4" spans="1:14">
      <c r="A4" s="4" t="s">
        <v>37</v>
      </c>
      <c r="B4" s="4" t="s">
        <v>38</v>
      </c>
      <c r="C4" s="4" t="s">
        <v>39</v>
      </c>
      <c r="D4" s="4" t="s">
        <v>40</v>
      </c>
      <c r="E4" s="4" t="s">
        <v>41</v>
      </c>
      <c r="F4" s="4" t="s">
        <v>42</v>
      </c>
      <c r="G4" s="4" t="s">
        <v>43</v>
      </c>
      <c r="H4" s="4" t="s">
        <v>44</v>
      </c>
      <c r="I4" s="4" t="s">
        <v>45</v>
      </c>
      <c r="J4" s="4" t="s">
        <v>46</v>
      </c>
      <c r="K4" s="4" t="s">
        <v>47</v>
      </c>
      <c r="L4" s="4" t="s">
        <v>48</v>
      </c>
      <c r="M4" s="4" t="s">
        <v>49</v>
      </c>
      <c r="N4" s="4" t="s">
        <v>50</v>
      </c>
    </row>
    <row r="5" spans="1:14" ht="39" customHeight="1">
      <c r="A5" s="2" t="s">
        <v>51</v>
      </c>
      <c r="B5" s="2" t="s">
        <v>52</v>
      </c>
      <c r="C5" s="2" t="s">
        <v>53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1</v>
      </c>
      <c r="N5" s="2" t="s">
        <v>54</v>
      </c>
    </row>
    <row r="6" spans="1:14" ht="39" customHeight="1">
      <c r="A6" s="2" t="s">
        <v>55</v>
      </c>
      <c r="B6" s="2" t="s">
        <v>56</v>
      </c>
      <c r="C6" s="2" t="s">
        <v>57</v>
      </c>
      <c r="D6" s="6">
        <v>0.1</v>
      </c>
      <c r="E6" s="6">
        <v>0.1</v>
      </c>
      <c r="F6" s="6">
        <v>0.1</v>
      </c>
      <c r="G6" s="6">
        <v>0.1</v>
      </c>
      <c r="H6" s="6">
        <v>0.1</v>
      </c>
      <c r="I6" s="6">
        <v>0.02</v>
      </c>
      <c r="J6" s="6">
        <v>0.02</v>
      </c>
      <c r="K6" s="6">
        <v>0.02</v>
      </c>
      <c r="L6" s="6">
        <v>0.02</v>
      </c>
      <c r="M6" s="6">
        <v>0.1</v>
      </c>
      <c r="N6" s="2" t="s">
        <v>58</v>
      </c>
    </row>
    <row r="7" spans="1:14" ht="39" customHeight="1">
      <c r="A7" s="2" t="s">
        <v>59</v>
      </c>
      <c r="B7" s="2" t="s">
        <v>60</v>
      </c>
      <c r="C7" s="2" t="s">
        <v>57</v>
      </c>
      <c r="D7" s="6">
        <v>0</v>
      </c>
      <c r="E7" s="6">
        <v>0</v>
      </c>
      <c r="F7" s="6">
        <v>0</v>
      </c>
      <c r="G7" s="6">
        <v>0.8</v>
      </c>
      <c r="H7" s="6">
        <v>0.8</v>
      </c>
      <c r="I7" s="6">
        <v>0.9</v>
      </c>
      <c r="J7" s="6">
        <v>0.9</v>
      </c>
      <c r="K7" s="6">
        <v>0.9</v>
      </c>
      <c r="L7" s="6">
        <v>0.9</v>
      </c>
      <c r="M7" s="6">
        <v>0</v>
      </c>
      <c r="N7" s="2" t="s">
        <v>61</v>
      </c>
    </row>
    <row r="8" spans="1:14" ht="39" customHeight="1">
      <c r="A8" s="2" t="s">
        <v>62</v>
      </c>
      <c r="B8" s="2" t="s">
        <v>63</v>
      </c>
      <c r="C8" s="2" t="s">
        <v>57</v>
      </c>
      <c r="D8" s="6">
        <v>0</v>
      </c>
      <c r="E8" s="6">
        <v>0</v>
      </c>
      <c r="F8" s="6">
        <v>0.8</v>
      </c>
      <c r="G8" s="6">
        <v>0.8</v>
      </c>
      <c r="H8" s="6">
        <v>0.8</v>
      </c>
      <c r="I8" s="6">
        <v>0.95</v>
      </c>
      <c r="J8" s="6">
        <v>0.95</v>
      </c>
      <c r="K8" s="6">
        <v>0.95</v>
      </c>
      <c r="L8" s="6">
        <v>0.95</v>
      </c>
      <c r="M8" s="6">
        <v>0</v>
      </c>
      <c r="N8" s="2" t="s">
        <v>64</v>
      </c>
    </row>
    <row r="9" spans="1:14" ht="39" customHeight="1">
      <c r="A9" s="2" t="s">
        <v>65</v>
      </c>
      <c r="B9" s="2" t="s">
        <v>66</v>
      </c>
      <c r="C9" s="2" t="s">
        <v>57</v>
      </c>
      <c r="D9" s="6">
        <v>0</v>
      </c>
      <c r="E9" s="6">
        <v>0</v>
      </c>
      <c r="F9" s="6">
        <v>0</v>
      </c>
      <c r="G9" s="6">
        <v>0</v>
      </c>
      <c r="H9" s="6">
        <v>0.1</v>
      </c>
      <c r="I9" s="6">
        <v>0</v>
      </c>
      <c r="J9" s="6">
        <v>0.1</v>
      </c>
      <c r="K9" s="6">
        <v>0</v>
      </c>
      <c r="L9" s="6">
        <v>0</v>
      </c>
      <c r="M9" s="6">
        <v>0</v>
      </c>
      <c r="N9" s="2" t="s">
        <v>67</v>
      </c>
    </row>
    <row r="10" spans="1:14" ht="39" customHeight="1">
      <c r="A10" s="2" t="s">
        <v>68</v>
      </c>
      <c r="B10" s="2" t="s">
        <v>69</v>
      </c>
      <c r="C10" s="2" t="s">
        <v>70</v>
      </c>
      <c r="D10" s="5">
        <v>20</v>
      </c>
      <c r="E10" s="5">
        <v>20</v>
      </c>
      <c r="F10" s="5">
        <v>20</v>
      </c>
      <c r="G10" s="5">
        <v>20</v>
      </c>
      <c r="H10" s="5">
        <v>20</v>
      </c>
      <c r="I10" s="5">
        <v>20</v>
      </c>
      <c r="J10" s="5">
        <v>20</v>
      </c>
      <c r="K10" s="5">
        <v>20</v>
      </c>
      <c r="L10" s="5">
        <v>20</v>
      </c>
      <c r="M10" s="5">
        <v>20</v>
      </c>
      <c r="N10" s="2" t="s">
        <v>71</v>
      </c>
    </row>
    <row r="11" spans="1:14" ht="39" customHeight="1">
      <c r="A11" s="2" t="s">
        <v>72</v>
      </c>
      <c r="B11" s="2" t="s">
        <v>73</v>
      </c>
      <c r="C11" s="2" t="s">
        <v>74</v>
      </c>
      <c r="D11" s="5">
        <v>300</v>
      </c>
      <c r="E11" s="5">
        <v>300</v>
      </c>
      <c r="F11" s="5">
        <v>300</v>
      </c>
      <c r="G11" s="5">
        <v>300</v>
      </c>
      <c r="H11" s="5">
        <v>300</v>
      </c>
      <c r="I11" s="5">
        <v>300</v>
      </c>
      <c r="J11" s="5">
        <v>300</v>
      </c>
      <c r="K11" s="5">
        <v>300</v>
      </c>
      <c r="L11" s="5">
        <v>300</v>
      </c>
      <c r="M11" s="5">
        <v>300</v>
      </c>
      <c r="N11" s="2" t="s">
        <v>75</v>
      </c>
    </row>
    <row r="12" spans="1:14" ht="39" customHeight="1">
      <c r="A12" s="2" t="s">
        <v>76</v>
      </c>
      <c r="B12" s="2" t="s">
        <v>77</v>
      </c>
      <c r="C12" s="2" t="s">
        <v>57</v>
      </c>
      <c r="D12" s="6">
        <v>0.1</v>
      </c>
      <c r="E12" s="6">
        <v>0.1</v>
      </c>
      <c r="F12" s="6">
        <v>0.1</v>
      </c>
      <c r="G12" s="6">
        <v>0.1</v>
      </c>
      <c r="H12" s="6">
        <v>0.1</v>
      </c>
      <c r="I12" s="6">
        <v>0.1</v>
      </c>
      <c r="J12" s="6">
        <v>0.1</v>
      </c>
      <c r="K12" s="6">
        <v>0.1</v>
      </c>
      <c r="L12" s="6">
        <v>0.1</v>
      </c>
      <c r="M12" s="6">
        <v>0.1</v>
      </c>
      <c r="N12" s="2" t="s">
        <v>78</v>
      </c>
    </row>
    <row r="13" spans="1:14" ht="39" customHeight="1">
      <c r="A13" s="2" t="s">
        <v>79</v>
      </c>
      <c r="B13" s="2" t="s">
        <v>80</v>
      </c>
      <c r="C13" s="2" t="s">
        <v>57</v>
      </c>
      <c r="D13" s="6">
        <v>1</v>
      </c>
      <c r="E13" s="6">
        <v>1</v>
      </c>
      <c r="F13" s="6">
        <v>1</v>
      </c>
      <c r="G13" s="6">
        <v>1</v>
      </c>
      <c r="H13" s="6">
        <v>1</v>
      </c>
      <c r="I13" s="6">
        <v>1</v>
      </c>
      <c r="J13" s="6">
        <v>1</v>
      </c>
      <c r="K13" s="6">
        <v>1</v>
      </c>
      <c r="L13" s="6">
        <v>1</v>
      </c>
      <c r="M13" s="6">
        <v>1</v>
      </c>
      <c r="N13" s="2" t="s">
        <v>81</v>
      </c>
    </row>
    <row r="14" spans="1:14" ht="39" customHeight="1">
      <c r="A14" s="2" t="s">
        <v>82</v>
      </c>
      <c r="B14" s="2" t="s">
        <v>83</v>
      </c>
      <c r="C14" s="2" t="s">
        <v>84</v>
      </c>
      <c r="D14" s="7">
        <f>IF(Parameters!$D$5=1,Parameters!$D$11*Parameters!$D$12*Parameters!$D$13,Parameters!$D$10)</f>
        <v>20</v>
      </c>
      <c r="E14" s="7">
        <f>IF(Parameters!$E$5=1,Parameters!$E$11*Parameters!$E$12*Parameters!$E$13,Parameters!$E$10)</f>
        <v>20</v>
      </c>
      <c r="F14" s="7">
        <f>IF(Parameters!$F$5=1,Parameters!$F$11*Parameters!$F$12*Parameters!$F$13,Parameters!$F$10)</f>
        <v>20</v>
      </c>
      <c r="G14" s="7">
        <f>IF(Parameters!$G$5=1,Parameters!$G$11*Parameters!$G$12*Parameters!$G$13,Parameters!$G$10)</f>
        <v>20</v>
      </c>
      <c r="H14" s="7">
        <f>IF(Parameters!$H$5=1,Parameters!$H$11*Parameters!$H$12*Parameters!$H$13,Parameters!$H$10)</f>
        <v>20</v>
      </c>
      <c r="I14" s="7">
        <f>IF(Parameters!$I$5=1,Parameters!$I$11*Parameters!$I$12*Parameters!$I$13,Parameters!$I$10)</f>
        <v>20</v>
      </c>
      <c r="J14" s="7">
        <f>IF(Parameters!$J$5=1,Parameters!$J$11*Parameters!$J$12*Parameters!$J$13,Parameters!$J$10)</f>
        <v>20</v>
      </c>
      <c r="K14" s="7">
        <f>IF(Parameters!$K$5=1,Parameters!$K$11*Parameters!$K$12*Parameters!$K$13,Parameters!$K$10)</f>
        <v>20</v>
      </c>
      <c r="L14" s="7">
        <f>IF(Parameters!$L$5=1,Parameters!$L$11*Parameters!$L$12*Parameters!$L$13,Parameters!$L$10)</f>
        <v>20</v>
      </c>
      <c r="M14" s="7">
        <f>IF(Parameters!$M$5=1,Parameters!$M$11*Parameters!$M$12*Parameters!$M$13,Parameters!$M$10)</f>
        <v>30</v>
      </c>
      <c r="N14" s="2" t="s">
        <v>85</v>
      </c>
    </row>
    <row r="15" spans="1:14" ht="39" customHeight="1">
      <c r="A15" s="2" t="s">
        <v>86</v>
      </c>
      <c r="B15" s="2" t="s">
        <v>87</v>
      </c>
      <c r="C15" s="2" t="s">
        <v>57</v>
      </c>
      <c r="D15" s="6">
        <v>0.05</v>
      </c>
      <c r="E15" s="6">
        <v>0.05</v>
      </c>
      <c r="F15" s="6">
        <v>0.05</v>
      </c>
      <c r="G15" s="6">
        <v>0.05</v>
      </c>
      <c r="H15" s="6">
        <v>0.05</v>
      </c>
      <c r="I15" s="6">
        <v>0.05</v>
      </c>
      <c r="J15" s="6">
        <v>0.05</v>
      </c>
      <c r="K15" s="6">
        <v>0.05</v>
      </c>
      <c r="L15" s="6">
        <v>0.05</v>
      </c>
      <c r="M15" s="6">
        <v>0</v>
      </c>
      <c r="N15" s="2" t="s">
        <v>88</v>
      </c>
    </row>
    <row r="16" spans="1:14" ht="39" customHeight="1">
      <c r="A16" s="2" t="s">
        <v>89</v>
      </c>
      <c r="B16" s="2" t="s">
        <v>90</v>
      </c>
      <c r="C16" s="2" t="s">
        <v>84</v>
      </c>
      <c r="D16" s="5">
        <v>1</v>
      </c>
      <c r="E16" s="5">
        <v>1</v>
      </c>
      <c r="F16" s="5">
        <v>1</v>
      </c>
      <c r="G16" s="5">
        <v>1</v>
      </c>
      <c r="H16" s="5">
        <v>1</v>
      </c>
      <c r="I16" s="5">
        <v>1</v>
      </c>
      <c r="J16" s="5">
        <v>1</v>
      </c>
      <c r="K16" s="5">
        <v>1</v>
      </c>
      <c r="L16" s="5">
        <v>1</v>
      </c>
      <c r="M16" s="5">
        <v>1</v>
      </c>
      <c r="N16" s="2" t="s">
        <v>91</v>
      </c>
    </row>
    <row r="17" spans="1:14" ht="39" customHeight="1">
      <c r="A17" s="2" t="s">
        <v>92</v>
      </c>
      <c r="B17" s="2" t="s">
        <v>93</v>
      </c>
      <c r="C17" s="2" t="s">
        <v>94</v>
      </c>
      <c r="D17" s="5">
        <v>0.2</v>
      </c>
      <c r="E17" s="5">
        <v>0.2</v>
      </c>
      <c r="F17" s="5">
        <v>0.2</v>
      </c>
      <c r="G17" s="5">
        <v>0.2</v>
      </c>
      <c r="H17" s="5">
        <v>0.2</v>
      </c>
      <c r="I17" s="5">
        <v>0.3</v>
      </c>
      <c r="J17" s="5">
        <v>0.3</v>
      </c>
      <c r="K17" s="5">
        <v>0.3</v>
      </c>
      <c r="L17" s="5">
        <v>0.3</v>
      </c>
      <c r="M17" s="5">
        <v>0.2</v>
      </c>
      <c r="N17" s="2" t="s">
        <v>95</v>
      </c>
    </row>
    <row r="18" spans="1:14" ht="39" customHeight="1">
      <c r="A18" s="2" t="s">
        <v>96</v>
      </c>
      <c r="B18" s="2" t="s">
        <v>97</v>
      </c>
      <c r="C18" s="2" t="s">
        <v>94</v>
      </c>
      <c r="D18" s="5">
        <v>0.3</v>
      </c>
      <c r="E18" s="5">
        <v>0.3</v>
      </c>
      <c r="F18" s="5">
        <v>0.3</v>
      </c>
      <c r="G18" s="5">
        <v>0.3</v>
      </c>
      <c r="H18" s="5">
        <v>0.3</v>
      </c>
      <c r="I18" s="5">
        <v>0.5</v>
      </c>
      <c r="J18" s="5">
        <v>0.5</v>
      </c>
      <c r="K18" s="5">
        <v>0.5</v>
      </c>
      <c r="L18" s="5">
        <v>0.5</v>
      </c>
      <c r="M18" s="5">
        <v>0.3</v>
      </c>
      <c r="N18" s="2" t="s">
        <v>98</v>
      </c>
    </row>
    <row r="19" spans="1:14" ht="39" customHeight="1">
      <c r="A19" s="2" t="s">
        <v>99</v>
      </c>
      <c r="B19" s="2" t="s">
        <v>100</v>
      </c>
      <c r="C19" s="2" t="s">
        <v>101</v>
      </c>
      <c r="D19" s="5">
        <v>4</v>
      </c>
      <c r="E19" s="5">
        <v>1</v>
      </c>
      <c r="F19" s="5">
        <v>4</v>
      </c>
      <c r="G19" s="5">
        <v>4</v>
      </c>
      <c r="H19" s="5">
        <v>4</v>
      </c>
      <c r="I19" s="5">
        <v>4</v>
      </c>
      <c r="J19" s="5">
        <v>4</v>
      </c>
      <c r="K19" s="5">
        <v>4</v>
      </c>
      <c r="L19" s="5">
        <v>4</v>
      </c>
      <c r="M19" s="5">
        <v>4</v>
      </c>
      <c r="N19" s="2" t="s">
        <v>102</v>
      </c>
    </row>
    <row r="20" spans="1:14" ht="39" customHeight="1">
      <c r="A20" s="2" t="s">
        <v>103</v>
      </c>
      <c r="B20" s="2" t="s">
        <v>104</v>
      </c>
      <c r="C20" s="2" t="s">
        <v>105</v>
      </c>
      <c r="D20" s="5">
        <v>1000</v>
      </c>
      <c r="E20" s="5">
        <v>1000</v>
      </c>
      <c r="F20" s="5">
        <v>1000</v>
      </c>
      <c r="G20" s="5">
        <v>1000</v>
      </c>
      <c r="H20" s="5">
        <v>1000</v>
      </c>
      <c r="I20" s="5">
        <v>1000</v>
      </c>
      <c r="J20" s="5">
        <v>1000</v>
      </c>
      <c r="K20" s="5">
        <v>1000</v>
      </c>
      <c r="L20" s="5">
        <v>1000</v>
      </c>
      <c r="M20" s="5">
        <v>1000</v>
      </c>
      <c r="N20" s="2" t="s">
        <v>106</v>
      </c>
    </row>
    <row r="21" spans="1:14" ht="39" customHeight="1">
      <c r="A21" s="2" t="s">
        <v>107</v>
      </c>
      <c r="B21" s="2" t="s">
        <v>108</v>
      </c>
      <c r="C21" s="2" t="s">
        <v>109</v>
      </c>
      <c r="D21" s="5">
        <v>1000</v>
      </c>
      <c r="E21" s="5">
        <v>1000</v>
      </c>
      <c r="F21" s="5">
        <v>1000</v>
      </c>
      <c r="G21" s="5">
        <v>1000</v>
      </c>
      <c r="H21" s="5">
        <v>1000</v>
      </c>
      <c r="I21" s="5">
        <v>1000</v>
      </c>
      <c r="J21" s="5">
        <v>1000</v>
      </c>
      <c r="K21" s="5">
        <v>1000</v>
      </c>
      <c r="L21" s="5">
        <v>1000</v>
      </c>
      <c r="M21" s="5">
        <v>1000</v>
      </c>
      <c r="N21" s="2" t="s">
        <v>110</v>
      </c>
    </row>
    <row r="22" spans="1:14" ht="39" customHeight="1">
      <c r="A22" s="2" t="s">
        <v>111</v>
      </c>
      <c r="B22" s="2" t="s">
        <v>112</v>
      </c>
      <c r="C22" s="2" t="s">
        <v>57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0.05</v>
      </c>
      <c r="L22" s="6">
        <v>0.15</v>
      </c>
      <c r="M22" s="6">
        <v>0</v>
      </c>
      <c r="N22" s="2" t="s">
        <v>113</v>
      </c>
    </row>
    <row r="23" spans="1:14" ht="39" customHeight="1">
      <c r="A23" s="2" t="s">
        <v>114</v>
      </c>
      <c r="B23" s="2" t="s">
        <v>115</v>
      </c>
      <c r="C23" s="2" t="s">
        <v>57</v>
      </c>
      <c r="D23" s="6">
        <v>0.95</v>
      </c>
      <c r="E23" s="6">
        <v>0.95</v>
      </c>
      <c r="F23" s="6">
        <v>0.95</v>
      </c>
      <c r="G23" s="6">
        <v>0.95</v>
      </c>
      <c r="H23" s="6">
        <v>0.95</v>
      </c>
      <c r="I23" s="6">
        <v>0.95</v>
      </c>
      <c r="J23" s="6">
        <v>0.95</v>
      </c>
      <c r="K23" s="6">
        <v>0.95</v>
      </c>
      <c r="L23" s="6">
        <v>0.95</v>
      </c>
      <c r="M23" s="6">
        <v>0.95</v>
      </c>
      <c r="N23" s="2" t="s">
        <v>116</v>
      </c>
    </row>
    <row r="24" spans="1:14" ht="39" customHeight="1">
      <c r="A24" s="2" t="s">
        <v>117</v>
      </c>
      <c r="B24" s="2" t="s">
        <v>118</v>
      </c>
      <c r="C24" s="2" t="s">
        <v>119</v>
      </c>
      <c r="D24" s="5">
        <v>3</v>
      </c>
      <c r="E24" s="5">
        <v>3</v>
      </c>
      <c r="F24" s="5">
        <v>3</v>
      </c>
      <c r="G24" s="5">
        <v>3</v>
      </c>
      <c r="H24" s="5">
        <v>3</v>
      </c>
      <c r="I24" s="5">
        <v>3</v>
      </c>
      <c r="J24" s="5">
        <v>3</v>
      </c>
      <c r="K24" s="5">
        <v>3</v>
      </c>
      <c r="L24" s="5">
        <v>3</v>
      </c>
      <c r="M24" s="5">
        <v>3</v>
      </c>
      <c r="N24" s="2" t="s">
        <v>120</v>
      </c>
    </row>
    <row r="25" spans="1:14" ht="39" customHeight="1">
      <c r="A25" s="2" t="s">
        <v>121</v>
      </c>
      <c r="B25" s="2" t="s">
        <v>122</v>
      </c>
      <c r="C25" s="2" t="s">
        <v>119</v>
      </c>
      <c r="D25" s="5">
        <v>0.5</v>
      </c>
      <c r="E25" s="5">
        <v>0.5</v>
      </c>
      <c r="F25" s="5">
        <v>0.5</v>
      </c>
      <c r="G25" s="5">
        <v>0.5</v>
      </c>
      <c r="H25" s="5">
        <v>0.5</v>
      </c>
      <c r="I25" s="5">
        <v>0.5</v>
      </c>
      <c r="J25" s="5">
        <v>0.5</v>
      </c>
      <c r="K25" s="5">
        <v>0.5</v>
      </c>
      <c r="L25" s="5">
        <v>0.5</v>
      </c>
      <c r="M25" s="5">
        <v>0.5</v>
      </c>
      <c r="N25" s="2" t="s">
        <v>123</v>
      </c>
    </row>
    <row r="26" spans="1:14" ht="39" customHeight="1">
      <c r="A26" s="2" t="s">
        <v>124</v>
      </c>
      <c r="B26" s="2" t="s">
        <v>125</v>
      </c>
      <c r="C26" s="2" t="s">
        <v>126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1</v>
      </c>
      <c r="N26" s="2" t="s">
        <v>127</v>
      </c>
    </row>
    <row r="27" spans="1:14" ht="39" customHeight="1">
      <c r="A27" s="2" t="s">
        <v>128</v>
      </c>
      <c r="B27" s="2" t="s">
        <v>129</v>
      </c>
      <c r="C27" s="2" t="s">
        <v>57</v>
      </c>
      <c r="D27" s="6">
        <v>0.98</v>
      </c>
      <c r="E27" s="6">
        <v>0.98</v>
      </c>
      <c r="F27" s="6">
        <v>0.98</v>
      </c>
      <c r="G27" s="6">
        <v>0.98</v>
      </c>
      <c r="H27" s="6">
        <v>0.98</v>
      </c>
      <c r="I27" s="6">
        <v>0.98</v>
      </c>
      <c r="J27" s="6">
        <v>0.98</v>
      </c>
      <c r="K27" s="6">
        <v>0.98</v>
      </c>
      <c r="L27" s="6">
        <v>0.98</v>
      </c>
      <c r="M27" s="6">
        <v>0.98</v>
      </c>
      <c r="N27" s="2" t="s">
        <v>130</v>
      </c>
    </row>
    <row r="28" spans="1:14" ht="39" customHeight="1">
      <c r="A28" s="2" t="s">
        <v>131</v>
      </c>
      <c r="B28" s="2" t="s">
        <v>132</v>
      </c>
      <c r="C28" s="2" t="s">
        <v>133</v>
      </c>
      <c r="D28" s="5">
        <v>12</v>
      </c>
      <c r="E28" s="5">
        <v>12</v>
      </c>
      <c r="F28" s="5">
        <v>12</v>
      </c>
      <c r="G28" s="5">
        <v>12</v>
      </c>
      <c r="H28" s="5">
        <v>12</v>
      </c>
      <c r="I28" s="5">
        <v>12</v>
      </c>
      <c r="J28" s="5">
        <v>12</v>
      </c>
      <c r="K28" s="5">
        <v>12</v>
      </c>
      <c r="L28" s="5">
        <v>12</v>
      </c>
      <c r="M28" s="5">
        <v>12</v>
      </c>
      <c r="N28" s="2" t="s">
        <v>134</v>
      </c>
    </row>
    <row r="29" spans="1:14" ht="39" customHeight="1">
      <c r="A29" s="2" t="s">
        <v>135</v>
      </c>
      <c r="B29" s="2" t="s">
        <v>136</v>
      </c>
      <c r="C29" s="2" t="s">
        <v>137</v>
      </c>
      <c r="D29" s="5">
        <v>15</v>
      </c>
      <c r="E29" s="5">
        <v>15</v>
      </c>
      <c r="F29" s="5">
        <v>15</v>
      </c>
      <c r="G29" s="5">
        <v>15</v>
      </c>
      <c r="H29" s="5">
        <v>15</v>
      </c>
      <c r="I29" s="5">
        <v>15</v>
      </c>
      <c r="J29" s="5">
        <v>15</v>
      </c>
      <c r="K29" s="5">
        <v>15</v>
      </c>
      <c r="L29" s="5">
        <v>15</v>
      </c>
      <c r="M29" s="5">
        <v>15</v>
      </c>
      <c r="N29" s="2" t="s">
        <v>138</v>
      </c>
    </row>
    <row r="30" spans="1:14" ht="39" customHeight="1">
      <c r="A30" s="2" t="s">
        <v>139</v>
      </c>
      <c r="B30" s="2" t="s">
        <v>140</v>
      </c>
      <c r="C30" s="2" t="s">
        <v>141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0.1</v>
      </c>
      <c r="N30" s="2" t="s">
        <v>142</v>
      </c>
    </row>
    <row r="31" spans="1:14" ht="39" customHeight="1">
      <c r="A31" s="2" t="s">
        <v>143</v>
      </c>
      <c r="B31" s="2" t="s">
        <v>144</v>
      </c>
      <c r="C31" s="2" t="s">
        <v>133</v>
      </c>
      <c r="D31" s="5">
        <v>1</v>
      </c>
      <c r="E31" s="5">
        <v>1</v>
      </c>
      <c r="F31" s="5">
        <v>1</v>
      </c>
      <c r="G31" s="5">
        <v>1</v>
      </c>
      <c r="H31" s="5">
        <v>1</v>
      </c>
      <c r="I31" s="5">
        <v>1</v>
      </c>
      <c r="J31" s="5">
        <v>1</v>
      </c>
      <c r="K31" s="5">
        <v>1</v>
      </c>
      <c r="L31" s="5">
        <v>1</v>
      </c>
      <c r="M31" s="5">
        <v>1</v>
      </c>
      <c r="N31" s="2" t="s">
        <v>145</v>
      </c>
    </row>
    <row r="32" spans="1:14" ht="39" customHeight="1">
      <c r="A32" s="2" t="s">
        <v>146</v>
      </c>
      <c r="B32" s="2" t="s">
        <v>147</v>
      </c>
      <c r="C32" s="2" t="s">
        <v>57</v>
      </c>
      <c r="D32" s="6">
        <v>0.01</v>
      </c>
      <c r="E32" s="6">
        <v>0.01</v>
      </c>
      <c r="F32" s="6">
        <v>0.01</v>
      </c>
      <c r="G32" s="6">
        <v>0.01</v>
      </c>
      <c r="H32" s="6">
        <v>0.01</v>
      </c>
      <c r="I32" s="6">
        <v>0.01</v>
      </c>
      <c r="J32" s="6">
        <v>0.01</v>
      </c>
      <c r="K32" s="6">
        <v>0.01</v>
      </c>
      <c r="L32" s="6">
        <v>0.01</v>
      </c>
      <c r="M32" s="6">
        <v>0.01</v>
      </c>
      <c r="N32" s="2" t="s">
        <v>148</v>
      </c>
    </row>
  </sheetData>
  <mergeCells count="2">
    <mergeCell ref="A1:N1"/>
    <mergeCell ref="A2:N2"/>
  </mergeCells>
  <dataValidations count="270">
    <dataValidation type="whole" allowBlank="1" showInputMessage="1" showErrorMessage="1" sqref="D5">
      <formula1>0</formula1>
      <formula2>1</formula2>
    </dataValidation>
    <dataValidation type="whole" allowBlank="1" showInputMessage="1" showErrorMessage="1" sqref="E5">
      <formula1>0</formula1>
      <formula2>1</formula2>
    </dataValidation>
    <dataValidation type="whole" allowBlank="1" showInputMessage="1" showErrorMessage="1" sqref="F5">
      <formula1>0</formula1>
      <formula2>1</formula2>
    </dataValidation>
    <dataValidation type="whole" allowBlank="1" showInputMessage="1" showErrorMessage="1" sqref="G5">
      <formula1>0</formula1>
      <formula2>1</formula2>
    </dataValidation>
    <dataValidation type="whole" allowBlank="1" showInputMessage="1" showErrorMessage="1" sqref="H5">
      <formula1>0</formula1>
      <formula2>1</formula2>
    </dataValidation>
    <dataValidation type="whole" allowBlank="1" showInputMessage="1" showErrorMessage="1" sqref="I5">
      <formula1>0</formula1>
      <formula2>1</formula2>
    </dataValidation>
    <dataValidation type="whole" allowBlank="1" showInputMessage="1" showErrorMessage="1" sqref="J5">
      <formula1>0</formula1>
      <formula2>1</formula2>
    </dataValidation>
    <dataValidation type="whole" allowBlank="1" showInputMessage="1" showErrorMessage="1" sqref="K5">
      <formula1>0</formula1>
      <formula2>1</formula2>
    </dataValidation>
    <dataValidation type="whole" allowBlank="1" showInputMessage="1" showErrorMessage="1" sqref="L5">
      <formula1>0</formula1>
      <formula2>1</formula2>
    </dataValidation>
    <dataValidation type="whole" allowBlank="1" showInputMessage="1" showErrorMessage="1" sqref="M5">
      <formula1>0</formula1>
      <formula2>1</formula2>
    </dataValidation>
    <dataValidation type="decimal" allowBlank="1" showInputMessage="1" showErrorMessage="1" sqref="D6">
      <formula1>0</formula1>
      <formula2>1</formula2>
    </dataValidation>
    <dataValidation type="decimal" allowBlank="1" showInputMessage="1" showErrorMessage="1" sqref="E6">
      <formula1>0</formula1>
      <formula2>1</formula2>
    </dataValidation>
    <dataValidation type="decimal" allowBlank="1" showInputMessage="1" showErrorMessage="1" sqref="F6">
      <formula1>0</formula1>
      <formula2>1</formula2>
    </dataValidation>
    <dataValidation type="decimal" allowBlank="1" showInputMessage="1" showErrorMessage="1" sqref="G6">
      <formula1>0</formula1>
      <formula2>1</formula2>
    </dataValidation>
    <dataValidation type="decimal" allowBlank="1" showInputMessage="1" showErrorMessage="1" sqref="H6">
      <formula1>0</formula1>
      <formula2>1</formula2>
    </dataValidation>
    <dataValidation type="decimal" allowBlank="1" showInputMessage="1" showErrorMessage="1" sqref="I6">
      <formula1>0</formula1>
      <formula2>1</formula2>
    </dataValidation>
    <dataValidation type="decimal" allowBlank="1" showInputMessage="1" showErrorMessage="1" sqref="J6">
      <formula1>0</formula1>
      <formula2>1</formula2>
    </dataValidation>
    <dataValidation type="decimal" allowBlank="1" showInputMessage="1" showErrorMessage="1" sqref="K6">
      <formula1>0</formula1>
      <formula2>1</formula2>
    </dataValidation>
    <dataValidation type="decimal" allowBlank="1" showInputMessage="1" showErrorMessage="1" sqref="L6">
      <formula1>0</formula1>
      <formula2>1</formula2>
    </dataValidation>
    <dataValidation type="decimal" allowBlank="1" showInputMessage="1" showErrorMessage="1" sqref="M6">
      <formula1>0</formula1>
      <formula2>1</formula2>
    </dataValidation>
    <dataValidation type="decimal" allowBlank="1" showInputMessage="1" showErrorMessage="1" sqref="D7">
      <formula1>0</formula1>
      <formula2>1</formula2>
    </dataValidation>
    <dataValidation type="decimal" allowBlank="1" showInputMessage="1" showErrorMessage="1" sqref="E7">
      <formula1>0</formula1>
      <formula2>1</formula2>
    </dataValidation>
    <dataValidation type="decimal" allowBlank="1" showInputMessage="1" showErrorMessage="1" sqref="F7">
      <formula1>0</formula1>
      <formula2>1</formula2>
    </dataValidation>
    <dataValidation type="decimal" allowBlank="1" showInputMessage="1" showErrorMessage="1" sqref="G7">
      <formula1>0</formula1>
      <formula2>1</formula2>
    </dataValidation>
    <dataValidation type="decimal" allowBlank="1" showInputMessage="1" showErrorMessage="1" sqref="H7">
      <formula1>0</formula1>
      <formula2>1</formula2>
    </dataValidation>
    <dataValidation type="decimal" allowBlank="1" showInputMessage="1" showErrorMessage="1" sqref="I7">
      <formula1>0</formula1>
      <formula2>1</formula2>
    </dataValidation>
    <dataValidation type="decimal" allowBlank="1" showInputMessage="1" showErrorMessage="1" sqref="J7">
      <formula1>0</formula1>
      <formula2>1</formula2>
    </dataValidation>
    <dataValidation type="decimal" allowBlank="1" showInputMessage="1" showErrorMessage="1" sqref="K7">
      <formula1>0</formula1>
      <formula2>1</formula2>
    </dataValidation>
    <dataValidation type="decimal" allowBlank="1" showInputMessage="1" showErrorMessage="1" sqref="L7">
      <formula1>0</formula1>
      <formula2>1</formula2>
    </dataValidation>
    <dataValidation type="decimal" allowBlank="1" showInputMessage="1" showErrorMessage="1" sqref="M7">
      <formula1>0</formula1>
      <formula2>1</formula2>
    </dataValidation>
    <dataValidation type="decimal" allowBlank="1" showInputMessage="1" showErrorMessage="1" sqref="D8">
      <formula1>0</formula1>
      <formula2>1</formula2>
    </dataValidation>
    <dataValidation type="decimal" allowBlank="1" showInputMessage="1" showErrorMessage="1" sqref="E8">
      <formula1>0</formula1>
      <formula2>1</formula2>
    </dataValidation>
    <dataValidation type="decimal" allowBlank="1" showInputMessage="1" showErrorMessage="1" sqref="F8">
      <formula1>0</formula1>
      <formula2>1</formula2>
    </dataValidation>
    <dataValidation type="decimal" allowBlank="1" showInputMessage="1" showErrorMessage="1" sqref="G8">
      <formula1>0</formula1>
      <formula2>1</formula2>
    </dataValidation>
    <dataValidation type="decimal" allowBlank="1" showInputMessage="1" showErrorMessage="1" sqref="H8">
      <formula1>0</formula1>
      <formula2>1</formula2>
    </dataValidation>
    <dataValidation type="decimal" allowBlank="1" showInputMessage="1" showErrorMessage="1" sqref="I8">
      <formula1>0</formula1>
      <formula2>1</formula2>
    </dataValidation>
    <dataValidation type="decimal" allowBlank="1" showInputMessage="1" showErrorMessage="1" sqref="J8">
      <formula1>0</formula1>
      <formula2>1</formula2>
    </dataValidation>
    <dataValidation type="decimal" allowBlank="1" showInputMessage="1" showErrorMessage="1" sqref="K8">
      <formula1>0</formula1>
      <formula2>1</formula2>
    </dataValidation>
    <dataValidation type="decimal" allowBlank="1" showInputMessage="1" showErrorMessage="1" sqref="L8">
      <formula1>0</formula1>
      <formula2>1</formula2>
    </dataValidation>
    <dataValidation type="decimal" allowBlank="1" showInputMessage="1" showErrorMessage="1" sqref="M8">
      <formula1>0</formula1>
      <formula2>1</formula2>
    </dataValidation>
    <dataValidation type="decimal" allowBlank="1" showInputMessage="1" showErrorMessage="1" sqref="D9">
      <formula1>0</formula1>
      <formula2>1</formula2>
    </dataValidation>
    <dataValidation type="decimal" allowBlank="1" showInputMessage="1" showErrorMessage="1" sqref="E9">
      <formula1>0</formula1>
      <formula2>1</formula2>
    </dataValidation>
    <dataValidation type="decimal" allowBlank="1" showInputMessage="1" showErrorMessage="1" sqref="F9">
      <formula1>0</formula1>
      <formula2>1</formula2>
    </dataValidation>
    <dataValidation type="decimal" allowBlank="1" showInputMessage="1" showErrorMessage="1" sqref="G9">
      <formula1>0</formula1>
      <formula2>1</formula2>
    </dataValidation>
    <dataValidation type="decimal" allowBlank="1" showInputMessage="1" showErrorMessage="1" sqref="H9">
      <formula1>0</formula1>
      <formula2>1</formula2>
    </dataValidation>
    <dataValidation type="decimal" allowBlank="1" showInputMessage="1" showErrorMessage="1" sqref="I9">
      <formula1>0</formula1>
      <formula2>1</formula2>
    </dataValidation>
    <dataValidation type="decimal" allowBlank="1" showInputMessage="1" showErrorMessage="1" sqref="J9">
      <formula1>0</formula1>
      <formula2>1</formula2>
    </dataValidation>
    <dataValidation type="decimal" allowBlank="1" showInputMessage="1" showErrorMessage="1" sqref="K9">
      <formula1>0</formula1>
      <formula2>1</formula2>
    </dataValidation>
    <dataValidation type="decimal" allowBlank="1" showInputMessage="1" showErrorMessage="1" sqref="L9">
      <formula1>0</formula1>
      <formula2>1</formula2>
    </dataValidation>
    <dataValidation type="decimal" allowBlank="1" showInputMessage="1" showErrorMessage="1" sqref="M9">
      <formula1>0</formula1>
      <formula2>1</formula2>
    </dataValidation>
    <dataValidation type="decimal" operator="greaterThanOrEqual" allowBlank="1" showInputMessage="1" showErrorMessage="1" sqref="D10">
      <formula1>0</formula1>
    </dataValidation>
    <dataValidation type="decimal" operator="greaterThanOrEqual" allowBlank="1" showInputMessage="1" showErrorMessage="1" sqref="E10">
      <formula1>0</formula1>
    </dataValidation>
    <dataValidation type="decimal" operator="greaterThanOrEqual" allowBlank="1" showInputMessage="1" showErrorMessage="1" sqref="F10">
      <formula1>0</formula1>
    </dataValidation>
    <dataValidation type="decimal" operator="greaterThanOrEqual" allowBlank="1" showInputMessage="1" showErrorMessage="1" sqref="G10">
      <formula1>0</formula1>
    </dataValidation>
    <dataValidation type="decimal" operator="greaterThanOrEqual" allowBlank="1" showInputMessage="1" showErrorMessage="1" sqref="H10">
      <formula1>0</formula1>
    </dataValidation>
    <dataValidation type="decimal" operator="greaterThanOrEqual" allowBlank="1" showInputMessage="1" showErrorMessage="1" sqref="I10">
      <formula1>0</formula1>
    </dataValidation>
    <dataValidation type="decimal" operator="greaterThanOrEqual" allowBlank="1" showInputMessage="1" showErrorMessage="1" sqref="J10">
      <formula1>0</formula1>
    </dataValidation>
    <dataValidation type="decimal" operator="greaterThanOrEqual" allowBlank="1" showInputMessage="1" showErrorMessage="1" sqref="K10">
      <formula1>0</formula1>
    </dataValidation>
    <dataValidation type="decimal" operator="greaterThanOrEqual" allowBlank="1" showInputMessage="1" showErrorMessage="1" sqref="L10">
      <formula1>0</formula1>
    </dataValidation>
    <dataValidation type="decimal" operator="greaterThanOrEqual" allowBlank="1" showInputMessage="1" showErrorMessage="1" sqref="M10">
      <formula1>0</formula1>
    </dataValidation>
    <dataValidation type="decimal" operator="greaterThanOrEqual" allowBlank="1" showInputMessage="1" showErrorMessage="1" sqref="D11">
      <formula1>0</formula1>
    </dataValidation>
    <dataValidation type="decimal" operator="greaterThanOrEqual" allowBlank="1" showInputMessage="1" showErrorMessage="1" sqref="E11">
      <formula1>0</formula1>
    </dataValidation>
    <dataValidation type="decimal" operator="greaterThanOrEqual" allowBlank="1" showInputMessage="1" showErrorMessage="1" sqref="F11">
      <formula1>0</formula1>
    </dataValidation>
    <dataValidation type="decimal" operator="greaterThanOrEqual" allowBlank="1" showInputMessage="1" showErrorMessage="1" sqref="G11">
      <formula1>0</formula1>
    </dataValidation>
    <dataValidation type="decimal" operator="greaterThanOrEqual" allowBlank="1" showInputMessage="1" showErrorMessage="1" sqref="H11">
      <formula1>0</formula1>
    </dataValidation>
    <dataValidation type="decimal" operator="greaterThanOrEqual" allowBlank="1" showInputMessage="1" showErrorMessage="1" sqref="I11">
      <formula1>0</formula1>
    </dataValidation>
    <dataValidation type="decimal" operator="greaterThanOrEqual" allowBlank="1" showInputMessage="1" showErrorMessage="1" sqref="J11">
      <formula1>0</formula1>
    </dataValidation>
    <dataValidation type="decimal" operator="greaterThanOrEqual" allowBlank="1" showInputMessage="1" showErrorMessage="1" sqref="K11">
      <formula1>0</formula1>
    </dataValidation>
    <dataValidation type="decimal" operator="greaterThanOrEqual" allowBlank="1" showInputMessage="1" showErrorMessage="1" sqref="L11">
      <formula1>0</formula1>
    </dataValidation>
    <dataValidation type="decimal" operator="greaterThanOrEqual" allowBlank="1" showInputMessage="1" showErrorMessage="1" sqref="M11">
      <formula1>0</formula1>
    </dataValidation>
    <dataValidation type="decimal" allowBlank="1" showInputMessage="1" showErrorMessage="1" sqref="D12">
      <formula1>0</formula1>
      <formula2>1</formula2>
    </dataValidation>
    <dataValidation type="decimal" allowBlank="1" showInputMessage="1" showErrorMessage="1" sqref="E12">
      <formula1>0</formula1>
      <formula2>1</formula2>
    </dataValidation>
    <dataValidation type="decimal" allowBlank="1" showInputMessage="1" showErrorMessage="1" sqref="F12">
      <formula1>0</formula1>
      <formula2>1</formula2>
    </dataValidation>
    <dataValidation type="decimal" allowBlank="1" showInputMessage="1" showErrorMessage="1" sqref="G12">
      <formula1>0</formula1>
      <formula2>1</formula2>
    </dataValidation>
    <dataValidation type="decimal" allowBlank="1" showInputMessage="1" showErrorMessage="1" sqref="H12">
      <formula1>0</formula1>
      <formula2>1</formula2>
    </dataValidation>
    <dataValidation type="decimal" allowBlank="1" showInputMessage="1" showErrorMessage="1" sqref="I12">
      <formula1>0</formula1>
      <formula2>1</formula2>
    </dataValidation>
    <dataValidation type="decimal" allowBlank="1" showInputMessage="1" showErrorMessage="1" sqref="J12">
      <formula1>0</formula1>
      <formula2>1</formula2>
    </dataValidation>
    <dataValidation type="decimal" allowBlank="1" showInputMessage="1" showErrorMessage="1" sqref="K12">
      <formula1>0</formula1>
      <formula2>1</formula2>
    </dataValidation>
    <dataValidation type="decimal" allowBlank="1" showInputMessage="1" showErrorMessage="1" sqref="L12">
      <formula1>0</formula1>
      <formula2>1</formula2>
    </dataValidation>
    <dataValidation type="decimal" allowBlank="1" showInputMessage="1" showErrorMessage="1" sqref="M12">
      <formula1>0</formula1>
      <formula2>1</formula2>
    </dataValidation>
    <dataValidation type="decimal" allowBlank="1" showInputMessage="1" showErrorMessage="1" sqref="D13">
      <formula1>0</formula1>
      <formula2>1</formula2>
    </dataValidation>
    <dataValidation type="decimal" allowBlank="1" showInputMessage="1" showErrorMessage="1" sqref="E13">
      <formula1>0</formula1>
      <formula2>1</formula2>
    </dataValidation>
    <dataValidation type="decimal" allowBlank="1" showInputMessage="1" showErrorMessage="1" sqref="F13">
      <formula1>0</formula1>
      <formula2>1</formula2>
    </dataValidation>
    <dataValidation type="decimal" allowBlank="1" showInputMessage="1" showErrorMessage="1" sqref="G13">
      <formula1>0</formula1>
      <formula2>1</formula2>
    </dataValidation>
    <dataValidation type="decimal" allowBlank="1" showInputMessage="1" showErrorMessage="1" sqref="H13">
      <formula1>0</formula1>
      <formula2>1</formula2>
    </dataValidation>
    <dataValidation type="decimal" allowBlank="1" showInputMessage="1" showErrorMessage="1" sqref="I13">
      <formula1>0</formula1>
      <formula2>1</formula2>
    </dataValidation>
    <dataValidation type="decimal" allowBlank="1" showInputMessage="1" showErrorMessage="1" sqref="J13">
      <formula1>0</formula1>
      <formula2>1</formula2>
    </dataValidation>
    <dataValidation type="decimal" allowBlank="1" showInputMessage="1" showErrorMessage="1" sqref="K13">
      <formula1>0</formula1>
      <formula2>1</formula2>
    </dataValidation>
    <dataValidation type="decimal" allowBlank="1" showInputMessage="1" showErrorMessage="1" sqref="L13">
      <formula1>0</formula1>
      <formula2>1</formula2>
    </dataValidation>
    <dataValidation type="decimal" allowBlank="1" showInputMessage="1" showErrorMessage="1" sqref="M13">
      <formula1>0</formula1>
      <formula2>1</formula2>
    </dataValidation>
    <dataValidation type="decimal" allowBlank="1" showInputMessage="1" showErrorMessage="1" sqref="D15">
      <formula1>0</formula1>
      <formula2>1</formula2>
    </dataValidation>
    <dataValidation type="decimal" allowBlank="1" showInputMessage="1" showErrorMessage="1" sqref="E15">
      <formula1>0</formula1>
      <formula2>1</formula2>
    </dataValidation>
    <dataValidation type="decimal" allowBlank="1" showInputMessage="1" showErrorMessage="1" sqref="F15">
      <formula1>0</formula1>
      <formula2>1</formula2>
    </dataValidation>
    <dataValidation type="decimal" allowBlank="1" showInputMessage="1" showErrorMessage="1" sqref="G15">
      <formula1>0</formula1>
      <formula2>1</formula2>
    </dataValidation>
    <dataValidation type="decimal" allowBlank="1" showInputMessage="1" showErrorMessage="1" sqref="H15">
      <formula1>0</formula1>
      <formula2>1</formula2>
    </dataValidation>
    <dataValidation type="decimal" allowBlank="1" showInputMessage="1" showErrorMessage="1" sqref="I15">
      <formula1>0</formula1>
      <formula2>1</formula2>
    </dataValidation>
    <dataValidation type="decimal" allowBlank="1" showInputMessage="1" showErrorMessage="1" sqref="J15">
      <formula1>0</formula1>
      <formula2>1</formula2>
    </dataValidation>
    <dataValidation type="decimal" allowBlank="1" showInputMessage="1" showErrorMessage="1" sqref="K15">
      <formula1>0</formula1>
      <formula2>1</formula2>
    </dataValidation>
    <dataValidation type="decimal" allowBlank="1" showInputMessage="1" showErrorMessage="1" sqref="L15">
      <formula1>0</formula1>
      <formula2>1</formula2>
    </dataValidation>
    <dataValidation type="decimal" allowBlank="1" showInputMessage="1" showErrorMessage="1" sqref="M15">
      <formula1>0</formula1>
      <formula2>1</formula2>
    </dataValidation>
    <dataValidation type="decimal" operator="greaterThanOrEqual" allowBlank="1" showInputMessage="1" showErrorMessage="1" sqref="D16">
      <formula1>0</formula1>
    </dataValidation>
    <dataValidation type="decimal" operator="greaterThanOrEqual" allowBlank="1" showInputMessage="1" showErrorMessage="1" sqref="E16">
      <formula1>0</formula1>
    </dataValidation>
    <dataValidation type="decimal" operator="greaterThanOrEqual" allowBlank="1" showInputMessage="1" showErrorMessage="1" sqref="F16">
      <formula1>0</formula1>
    </dataValidation>
    <dataValidation type="decimal" operator="greaterThanOrEqual" allowBlank="1" showInputMessage="1" showErrorMessage="1" sqref="G16">
      <formula1>0</formula1>
    </dataValidation>
    <dataValidation type="decimal" operator="greaterThanOrEqual" allowBlank="1" showInputMessage="1" showErrorMessage="1" sqref="H16">
      <formula1>0</formula1>
    </dataValidation>
    <dataValidation type="decimal" operator="greaterThanOrEqual" allowBlank="1" showInputMessage="1" showErrorMessage="1" sqref="I16">
      <formula1>0</formula1>
    </dataValidation>
    <dataValidation type="decimal" operator="greaterThanOrEqual" allowBlank="1" showInputMessage="1" showErrorMessage="1" sqref="J16">
      <formula1>0</formula1>
    </dataValidation>
    <dataValidation type="decimal" operator="greaterThanOrEqual" allowBlank="1" showInputMessage="1" showErrorMessage="1" sqref="K16">
      <formula1>0</formula1>
    </dataValidation>
    <dataValidation type="decimal" operator="greaterThanOrEqual" allowBlank="1" showInputMessage="1" showErrorMessage="1" sqref="L16">
      <formula1>0</formula1>
    </dataValidation>
    <dataValidation type="decimal" operator="greaterThanOrEqual" allowBlank="1" showInputMessage="1" showErrorMessage="1" sqref="M16">
      <formula1>0</formula1>
    </dataValidation>
    <dataValidation type="decimal" operator="greaterThanOrEqual" allowBlank="1" showInputMessage="1" showErrorMessage="1" sqref="D17">
      <formula1>0</formula1>
    </dataValidation>
    <dataValidation type="decimal" operator="greaterThanOrEqual" allowBlank="1" showInputMessage="1" showErrorMessage="1" sqref="E17">
      <formula1>0</formula1>
    </dataValidation>
    <dataValidation type="decimal" operator="greaterThanOrEqual" allowBlank="1" showInputMessage="1" showErrorMessage="1" sqref="F17">
      <formula1>0</formula1>
    </dataValidation>
    <dataValidation type="decimal" operator="greaterThanOrEqual" allowBlank="1" showInputMessage="1" showErrorMessage="1" sqref="G17">
      <formula1>0</formula1>
    </dataValidation>
    <dataValidation type="decimal" operator="greaterThanOrEqual" allowBlank="1" showInputMessage="1" showErrorMessage="1" sqref="H17">
      <formula1>0</formula1>
    </dataValidation>
    <dataValidation type="decimal" operator="greaterThanOrEqual" allowBlank="1" showInputMessage="1" showErrorMessage="1" sqref="I17">
      <formula1>0</formula1>
    </dataValidation>
    <dataValidation type="decimal" operator="greaterThanOrEqual" allowBlank="1" showInputMessage="1" showErrorMessage="1" sqref="J17">
      <formula1>0</formula1>
    </dataValidation>
    <dataValidation type="decimal" operator="greaterThanOrEqual" allowBlank="1" showInputMessage="1" showErrorMessage="1" sqref="K17">
      <formula1>0</formula1>
    </dataValidation>
    <dataValidation type="decimal" operator="greaterThanOrEqual" allowBlank="1" showInputMessage="1" showErrorMessage="1" sqref="L17">
      <formula1>0</formula1>
    </dataValidation>
    <dataValidation type="decimal" operator="greaterThanOrEqual" allowBlank="1" showInputMessage="1" showErrorMessage="1" sqref="M17">
      <formula1>0</formula1>
    </dataValidation>
    <dataValidation type="decimal" operator="greaterThanOrEqual" allowBlank="1" showInputMessage="1" showErrorMessage="1" sqref="D18">
      <formula1>0</formula1>
    </dataValidation>
    <dataValidation type="decimal" operator="greaterThanOrEqual" allowBlank="1" showInputMessage="1" showErrorMessage="1" sqref="E18">
      <formula1>0</formula1>
    </dataValidation>
    <dataValidation type="decimal" operator="greaterThanOrEqual" allowBlank="1" showInputMessage="1" showErrorMessage="1" sqref="F18">
      <formula1>0</formula1>
    </dataValidation>
    <dataValidation type="decimal" operator="greaterThanOrEqual" allowBlank="1" showInputMessage="1" showErrorMessage="1" sqref="G18">
      <formula1>0</formula1>
    </dataValidation>
    <dataValidation type="decimal" operator="greaterThanOrEqual" allowBlank="1" showInputMessage="1" showErrorMessage="1" sqref="H18">
      <formula1>0</formula1>
    </dataValidation>
    <dataValidation type="decimal" operator="greaterThanOrEqual" allowBlank="1" showInputMessage="1" showErrorMessage="1" sqref="I18">
      <formula1>0</formula1>
    </dataValidation>
    <dataValidation type="decimal" operator="greaterThanOrEqual" allowBlank="1" showInputMessage="1" showErrorMessage="1" sqref="J18">
      <formula1>0</formula1>
    </dataValidation>
    <dataValidation type="decimal" operator="greaterThanOrEqual" allowBlank="1" showInputMessage="1" showErrorMessage="1" sqref="K18">
      <formula1>0</formula1>
    </dataValidation>
    <dataValidation type="decimal" operator="greaterThanOrEqual" allowBlank="1" showInputMessage="1" showErrorMessage="1" sqref="L18">
      <formula1>0</formula1>
    </dataValidation>
    <dataValidation type="decimal" operator="greaterThanOrEqual" allowBlank="1" showInputMessage="1" showErrorMessage="1" sqref="M18">
      <formula1>0</formula1>
    </dataValidation>
    <dataValidation type="decimal" operator="greaterThanOrEqual" allowBlank="1" showInputMessage="1" showErrorMessage="1" sqref="D19">
      <formula1>0</formula1>
    </dataValidation>
    <dataValidation type="decimal" operator="greaterThanOrEqual" allowBlank="1" showInputMessage="1" showErrorMessage="1" sqref="E19">
      <formula1>0</formula1>
    </dataValidation>
    <dataValidation type="decimal" operator="greaterThanOrEqual" allowBlank="1" showInputMessage="1" showErrorMessage="1" sqref="F19">
      <formula1>0</formula1>
    </dataValidation>
    <dataValidation type="decimal" operator="greaterThanOrEqual" allowBlank="1" showInputMessage="1" showErrorMessage="1" sqref="G19">
      <formula1>0</formula1>
    </dataValidation>
    <dataValidation type="decimal" operator="greaterThanOrEqual" allowBlank="1" showInputMessage="1" showErrorMessage="1" sqref="H19">
      <formula1>0</formula1>
    </dataValidation>
    <dataValidation type="decimal" operator="greaterThanOrEqual" allowBlank="1" showInputMessage="1" showErrorMessage="1" sqref="I19">
      <formula1>0</formula1>
    </dataValidation>
    <dataValidation type="decimal" operator="greaterThanOrEqual" allowBlank="1" showInputMessage="1" showErrorMessage="1" sqref="J19">
      <formula1>0</formula1>
    </dataValidation>
    <dataValidation type="decimal" operator="greaterThanOrEqual" allowBlank="1" showInputMessage="1" showErrorMessage="1" sqref="K19">
      <formula1>0</formula1>
    </dataValidation>
    <dataValidation type="decimal" operator="greaterThanOrEqual" allowBlank="1" showInputMessage="1" showErrorMessage="1" sqref="L19">
      <formula1>0</formula1>
    </dataValidation>
    <dataValidation type="decimal" operator="greaterThanOrEqual" allowBlank="1" showInputMessage="1" showErrorMessage="1" sqref="M19">
      <formula1>0</formula1>
    </dataValidation>
    <dataValidation type="decimal" operator="greaterThanOrEqual" allowBlank="1" showInputMessage="1" showErrorMessage="1" sqref="D20">
      <formula1>0</formula1>
    </dataValidation>
    <dataValidation type="decimal" operator="greaterThanOrEqual" allowBlank="1" showInputMessage="1" showErrorMessage="1" sqref="E20">
      <formula1>0</formula1>
    </dataValidation>
    <dataValidation type="decimal" operator="greaterThanOrEqual" allowBlank="1" showInputMessage="1" showErrorMessage="1" sqref="F20">
      <formula1>0</formula1>
    </dataValidation>
    <dataValidation type="decimal" operator="greaterThanOrEqual" allowBlank="1" showInputMessage="1" showErrorMessage="1" sqref="G20">
      <formula1>0</formula1>
    </dataValidation>
    <dataValidation type="decimal" operator="greaterThanOrEqual" allowBlank="1" showInputMessage="1" showErrorMessage="1" sqref="H20">
      <formula1>0</formula1>
    </dataValidation>
    <dataValidation type="decimal" operator="greaterThanOrEqual" allowBlank="1" showInputMessage="1" showErrorMessage="1" sqref="I20">
      <formula1>0</formula1>
    </dataValidation>
    <dataValidation type="decimal" operator="greaterThanOrEqual" allowBlank="1" showInputMessage="1" showErrorMessage="1" sqref="J20">
      <formula1>0</formula1>
    </dataValidation>
    <dataValidation type="decimal" operator="greaterThanOrEqual" allowBlank="1" showInputMessage="1" showErrorMessage="1" sqref="K20">
      <formula1>0</formula1>
    </dataValidation>
    <dataValidation type="decimal" operator="greaterThanOrEqual" allowBlank="1" showInputMessage="1" showErrorMessage="1" sqref="L20">
      <formula1>0</formula1>
    </dataValidation>
    <dataValidation type="decimal" operator="greaterThanOrEqual" allowBlank="1" showInputMessage="1" showErrorMessage="1" sqref="M20">
      <formula1>0</formula1>
    </dataValidation>
    <dataValidation type="decimal" operator="greaterThanOrEqual" allowBlank="1" showInputMessage="1" showErrorMessage="1" sqref="D21">
      <formula1>0</formula1>
    </dataValidation>
    <dataValidation type="decimal" operator="greaterThanOrEqual" allowBlank="1" showInputMessage="1" showErrorMessage="1" sqref="E21">
      <formula1>0</formula1>
    </dataValidation>
    <dataValidation type="decimal" operator="greaterThanOrEqual" allowBlank="1" showInputMessage="1" showErrorMessage="1" sqref="F21">
      <formula1>0</formula1>
    </dataValidation>
    <dataValidation type="decimal" operator="greaterThanOrEqual" allowBlank="1" showInputMessage="1" showErrorMessage="1" sqref="G21">
      <formula1>0</formula1>
    </dataValidation>
    <dataValidation type="decimal" operator="greaterThanOrEqual" allowBlank="1" showInputMessage="1" showErrorMessage="1" sqref="H21">
      <formula1>0</formula1>
    </dataValidation>
    <dataValidation type="decimal" operator="greaterThanOrEqual" allowBlank="1" showInputMessage="1" showErrorMessage="1" sqref="I21">
      <formula1>0</formula1>
    </dataValidation>
    <dataValidation type="decimal" operator="greaterThanOrEqual" allowBlank="1" showInputMessage="1" showErrorMessage="1" sqref="J21">
      <formula1>0</formula1>
    </dataValidation>
    <dataValidation type="decimal" operator="greaterThanOrEqual" allowBlank="1" showInputMessage="1" showErrorMessage="1" sqref="K21">
      <formula1>0</formula1>
    </dataValidation>
    <dataValidation type="decimal" operator="greaterThanOrEqual" allowBlank="1" showInputMessage="1" showErrorMessage="1" sqref="L21">
      <formula1>0</formula1>
    </dataValidation>
    <dataValidation type="decimal" operator="greaterThanOrEqual" allowBlank="1" showInputMessage="1" showErrorMessage="1" sqref="M21">
      <formula1>0</formula1>
    </dataValidation>
    <dataValidation type="decimal" allowBlank="1" showInputMessage="1" showErrorMessage="1" sqref="D22">
      <formula1>0</formula1>
      <formula2>1</formula2>
    </dataValidation>
    <dataValidation type="decimal" allowBlank="1" showInputMessage="1" showErrorMessage="1" sqref="E22">
      <formula1>0</formula1>
      <formula2>1</formula2>
    </dataValidation>
    <dataValidation type="decimal" allowBlank="1" showInputMessage="1" showErrorMessage="1" sqref="F22">
      <formula1>0</formula1>
      <formula2>1</formula2>
    </dataValidation>
    <dataValidation type="decimal" allowBlank="1" showInputMessage="1" showErrorMessage="1" sqref="G22">
      <formula1>0</formula1>
      <formula2>1</formula2>
    </dataValidation>
    <dataValidation type="decimal" allowBlank="1" showInputMessage="1" showErrorMessage="1" sqref="H22">
      <formula1>0</formula1>
      <formula2>1</formula2>
    </dataValidation>
    <dataValidation type="decimal" allowBlank="1" showInputMessage="1" showErrorMessage="1" sqref="I22">
      <formula1>0</formula1>
      <formula2>1</formula2>
    </dataValidation>
    <dataValidation type="decimal" allowBlank="1" showInputMessage="1" showErrorMessage="1" sqref="J22">
      <formula1>0</formula1>
      <formula2>1</formula2>
    </dataValidation>
    <dataValidation type="decimal" allowBlank="1" showInputMessage="1" showErrorMessage="1" sqref="K22">
      <formula1>0</formula1>
      <formula2>1</formula2>
    </dataValidation>
    <dataValidation type="decimal" allowBlank="1" showInputMessage="1" showErrorMessage="1" sqref="L22">
      <formula1>0</formula1>
      <formula2>1</formula2>
    </dataValidation>
    <dataValidation type="decimal" allowBlank="1" showInputMessage="1" showErrorMessage="1" sqref="M22">
      <formula1>0</formula1>
      <formula2>1</formula2>
    </dataValidation>
    <dataValidation type="decimal" allowBlank="1" showInputMessage="1" showErrorMessage="1" sqref="D23">
      <formula1>0</formula1>
      <formula2>1</formula2>
    </dataValidation>
    <dataValidation type="decimal" allowBlank="1" showInputMessage="1" showErrorMessage="1" sqref="E23">
      <formula1>0</formula1>
      <formula2>1</formula2>
    </dataValidation>
    <dataValidation type="decimal" allowBlank="1" showInputMessage="1" showErrorMessage="1" sqref="F23">
      <formula1>0</formula1>
      <formula2>1</formula2>
    </dataValidation>
    <dataValidation type="decimal" allowBlank="1" showInputMessage="1" showErrorMessage="1" sqref="G23">
      <formula1>0</formula1>
      <formula2>1</formula2>
    </dataValidation>
    <dataValidation type="decimal" allowBlank="1" showInputMessage="1" showErrorMessage="1" sqref="H23">
      <formula1>0</formula1>
      <formula2>1</formula2>
    </dataValidation>
    <dataValidation type="decimal" allowBlank="1" showInputMessage="1" showErrorMessage="1" sqref="I23">
      <formula1>0</formula1>
      <formula2>1</formula2>
    </dataValidation>
    <dataValidation type="decimal" allowBlank="1" showInputMessage="1" showErrorMessage="1" sqref="J23">
      <formula1>0</formula1>
      <formula2>1</formula2>
    </dataValidation>
    <dataValidation type="decimal" allowBlank="1" showInputMessage="1" showErrorMessage="1" sqref="K23">
      <formula1>0</formula1>
      <formula2>1</formula2>
    </dataValidation>
    <dataValidation type="decimal" allowBlank="1" showInputMessage="1" showErrorMessage="1" sqref="L23">
      <formula1>0</formula1>
      <formula2>1</formula2>
    </dataValidation>
    <dataValidation type="decimal" allowBlank="1" showInputMessage="1" showErrorMessage="1" sqref="M23">
      <formula1>0</formula1>
      <formula2>1</formula2>
    </dataValidation>
    <dataValidation type="decimal" operator="greaterThanOrEqual" allowBlank="1" showInputMessage="1" showErrorMessage="1" sqref="D24">
      <formula1>0</formula1>
    </dataValidation>
    <dataValidation type="decimal" operator="greaterThanOrEqual" allowBlank="1" showInputMessage="1" showErrorMessage="1" sqref="E24">
      <formula1>0</formula1>
    </dataValidation>
    <dataValidation type="decimal" operator="greaterThanOrEqual" allowBlank="1" showInputMessage="1" showErrorMessage="1" sqref="F24">
      <formula1>0</formula1>
    </dataValidation>
    <dataValidation type="decimal" operator="greaterThanOrEqual" allowBlank="1" showInputMessage="1" showErrorMessage="1" sqref="G24">
      <formula1>0</formula1>
    </dataValidation>
    <dataValidation type="decimal" operator="greaterThanOrEqual" allowBlank="1" showInputMessage="1" showErrorMessage="1" sqref="H24">
      <formula1>0</formula1>
    </dataValidation>
    <dataValidation type="decimal" operator="greaterThanOrEqual" allowBlank="1" showInputMessage="1" showErrorMessage="1" sqref="I24">
      <formula1>0</formula1>
    </dataValidation>
    <dataValidation type="decimal" operator="greaterThanOrEqual" allowBlank="1" showInputMessage="1" showErrorMessage="1" sqref="J24">
      <formula1>0</formula1>
    </dataValidation>
    <dataValidation type="decimal" operator="greaterThanOrEqual" allowBlank="1" showInputMessage="1" showErrorMessage="1" sqref="K24">
      <formula1>0</formula1>
    </dataValidation>
    <dataValidation type="decimal" operator="greaterThanOrEqual" allowBlank="1" showInputMessage="1" showErrorMessage="1" sqref="L24">
      <formula1>0</formula1>
    </dataValidation>
    <dataValidation type="decimal" operator="greaterThanOrEqual" allowBlank="1" showInputMessage="1" showErrorMessage="1" sqref="M24">
      <formula1>0</formula1>
    </dataValidation>
    <dataValidation type="decimal" operator="greaterThanOrEqual" allowBlank="1" showInputMessage="1" showErrorMessage="1" sqref="D25">
      <formula1>0</formula1>
    </dataValidation>
    <dataValidation type="decimal" operator="greaterThanOrEqual" allowBlank="1" showInputMessage="1" showErrorMessage="1" sqref="E25">
      <formula1>0</formula1>
    </dataValidation>
    <dataValidation type="decimal" operator="greaterThanOrEqual" allowBlank="1" showInputMessage="1" showErrorMessage="1" sqref="F25">
      <formula1>0</formula1>
    </dataValidation>
    <dataValidation type="decimal" operator="greaterThanOrEqual" allowBlank="1" showInputMessage="1" showErrorMessage="1" sqref="G25">
      <formula1>0</formula1>
    </dataValidation>
    <dataValidation type="decimal" operator="greaterThanOrEqual" allowBlank="1" showInputMessage="1" showErrorMessage="1" sqref="H25">
      <formula1>0</formula1>
    </dataValidation>
    <dataValidation type="decimal" operator="greaterThanOrEqual" allowBlank="1" showInputMessage="1" showErrorMessage="1" sqref="I25">
      <formula1>0</formula1>
    </dataValidation>
    <dataValidation type="decimal" operator="greaterThanOrEqual" allowBlank="1" showInputMessage="1" showErrorMessage="1" sqref="J25">
      <formula1>0</formula1>
    </dataValidation>
    <dataValidation type="decimal" operator="greaterThanOrEqual" allowBlank="1" showInputMessage="1" showErrorMessage="1" sqref="K25">
      <formula1>0</formula1>
    </dataValidation>
    <dataValidation type="decimal" operator="greaterThanOrEqual" allowBlank="1" showInputMessage="1" showErrorMessage="1" sqref="L25">
      <formula1>0</formula1>
    </dataValidation>
    <dataValidation type="decimal" operator="greaterThanOrEqual" allowBlank="1" showInputMessage="1" showErrorMessage="1" sqref="M25">
      <formula1>0</formula1>
    </dataValidation>
    <dataValidation type="whole" allowBlank="1" showInputMessage="1" showErrorMessage="1" sqref="D26">
      <formula1>0</formula1>
      <formula2>1</formula2>
    </dataValidation>
    <dataValidation type="whole" allowBlank="1" showInputMessage="1" showErrorMessage="1" sqref="E26">
      <formula1>0</formula1>
      <formula2>1</formula2>
    </dataValidation>
    <dataValidation type="whole" allowBlank="1" showInputMessage="1" showErrorMessage="1" sqref="F26">
      <formula1>0</formula1>
      <formula2>1</formula2>
    </dataValidation>
    <dataValidation type="whole" allowBlank="1" showInputMessage="1" showErrorMessage="1" sqref="G26">
      <formula1>0</formula1>
      <formula2>1</formula2>
    </dataValidation>
    <dataValidation type="whole" allowBlank="1" showInputMessage="1" showErrorMessage="1" sqref="H26">
      <formula1>0</formula1>
      <formula2>1</formula2>
    </dataValidation>
    <dataValidation type="whole" allowBlank="1" showInputMessage="1" showErrorMessage="1" sqref="I26">
      <formula1>0</formula1>
      <formula2>1</formula2>
    </dataValidation>
    <dataValidation type="whole" allowBlank="1" showInputMessage="1" showErrorMessage="1" sqref="J26">
      <formula1>0</formula1>
      <formula2>1</formula2>
    </dataValidation>
    <dataValidation type="whole" allowBlank="1" showInputMessage="1" showErrorMessage="1" sqref="K26">
      <formula1>0</formula1>
      <formula2>1</formula2>
    </dataValidation>
    <dataValidation type="whole" allowBlank="1" showInputMessage="1" showErrorMessage="1" sqref="L26">
      <formula1>0</formula1>
      <formula2>1</formula2>
    </dataValidation>
    <dataValidation type="whole" allowBlank="1" showInputMessage="1" showErrorMessage="1" sqref="M26">
      <formula1>0</formula1>
      <formula2>1</formula2>
    </dataValidation>
    <dataValidation type="decimal" allowBlank="1" showInputMessage="1" showErrorMessage="1" sqref="D27">
      <formula1>0</formula1>
      <formula2>1</formula2>
    </dataValidation>
    <dataValidation type="decimal" allowBlank="1" showInputMessage="1" showErrorMessage="1" sqref="E27">
      <formula1>0</formula1>
      <formula2>1</formula2>
    </dataValidation>
    <dataValidation type="decimal" allowBlank="1" showInputMessage="1" showErrorMessage="1" sqref="F27">
      <formula1>0</formula1>
      <formula2>1</formula2>
    </dataValidation>
    <dataValidation type="decimal" allowBlank="1" showInputMessage="1" showErrorMessage="1" sqref="G27">
      <formula1>0</formula1>
      <formula2>1</formula2>
    </dataValidation>
    <dataValidation type="decimal" allowBlank="1" showInputMessage="1" showErrorMessage="1" sqref="H27">
      <formula1>0</formula1>
      <formula2>1</formula2>
    </dataValidation>
    <dataValidation type="decimal" allowBlank="1" showInputMessage="1" showErrorMessage="1" sqref="I27">
      <formula1>0</formula1>
      <formula2>1</formula2>
    </dataValidation>
    <dataValidation type="decimal" allowBlank="1" showInputMessage="1" showErrorMessage="1" sqref="J27">
      <formula1>0</formula1>
      <formula2>1</formula2>
    </dataValidation>
    <dataValidation type="decimal" allowBlank="1" showInputMessage="1" showErrorMessage="1" sqref="K27">
      <formula1>0</formula1>
      <formula2>1</formula2>
    </dataValidation>
    <dataValidation type="decimal" allowBlank="1" showInputMessage="1" showErrorMessage="1" sqref="L27">
      <formula1>0</formula1>
      <formula2>1</formula2>
    </dataValidation>
    <dataValidation type="decimal" allowBlank="1" showInputMessage="1" showErrorMessage="1" sqref="M27">
      <formula1>0</formula1>
      <formula2>1</formula2>
    </dataValidation>
    <dataValidation type="whole" operator="greaterThanOrEqual" allowBlank="1" showInputMessage="1" showErrorMessage="1" sqref="D28">
      <formula1>1</formula1>
    </dataValidation>
    <dataValidation type="whole" operator="greaterThanOrEqual" allowBlank="1" showInputMessage="1" showErrorMessage="1" sqref="E28">
      <formula1>1</formula1>
    </dataValidation>
    <dataValidation type="whole" operator="greaterThanOrEqual" allowBlank="1" showInputMessage="1" showErrorMessage="1" sqref="F28">
      <formula1>1</formula1>
    </dataValidation>
    <dataValidation type="whole" operator="greaterThanOrEqual" allowBlank="1" showInputMessage="1" showErrorMessage="1" sqref="G28">
      <formula1>1</formula1>
    </dataValidation>
    <dataValidation type="whole" operator="greaterThanOrEqual" allowBlank="1" showInputMessage="1" showErrorMessage="1" sqref="H28">
      <formula1>1</formula1>
    </dataValidation>
    <dataValidation type="whole" operator="greaterThanOrEqual" allowBlank="1" showInputMessage="1" showErrorMessage="1" sqref="I28">
      <formula1>1</formula1>
    </dataValidation>
    <dataValidation type="whole" operator="greaterThanOrEqual" allowBlank="1" showInputMessage="1" showErrorMessage="1" sqref="J28">
      <formula1>1</formula1>
    </dataValidation>
    <dataValidation type="whole" operator="greaterThanOrEqual" allowBlank="1" showInputMessage="1" showErrorMessage="1" sqref="K28">
      <formula1>1</formula1>
    </dataValidation>
    <dataValidation type="whole" operator="greaterThanOrEqual" allowBlank="1" showInputMessage="1" showErrorMessage="1" sqref="L28">
      <formula1>1</formula1>
    </dataValidation>
    <dataValidation type="whole" operator="greaterThanOrEqual" allowBlank="1" showInputMessage="1" showErrorMessage="1" sqref="M28">
      <formula1>1</formula1>
    </dataValidation>
    <dataValidation type="decimal" operator="greaterThanOrEqual" allowBlank="1" showInputMessage="1" showErrorMessage="1" sqref="D29">
      <formula1>0</formula1>
    </dataValidation>
    <dataValidation type="decimal" operator="greaterThanOrEqual" allowBlank="1" showInputMessage="1" showErrorMessage="1" sqref="E29">
      <formula1>0</formula1>
    </dataValidation>
    <dataValidation type="decimal" operator="greaterThanOrEqual" allowBlank="1" showInputMessage="1" showErrorMessage="1" sqref="F29">
      <formula1>0</formula1>
    </dataValidation>
    <dataValidation type="decimal" operator="greaterThanOrEqual" allowBlank="1" showInputMessage="1" showErrorMessage="1" sqref="G29">
      <formula1>0</formula1>
    </dataValidation>
    <dataValidation type="decimal" operator="greaterThanOrEqual" allowBlank="1" showInputMessage="1" showErrorMessage="1" sqref="H29">
      <formula1>0</formula1>
    </dataValidation>
    <dataValidation type="decimal" operator="greaterThanOrEqual" allowBlank="1" showInputMessage="1" showErrorMessage="1" sqref="I29">
      <formula1>0</formula1>
    </dataValidation>
    <dataValidation type="decimal" operator="greaterThanOrEqual" allowBlank="1" showInputMessage="1" showErrorMessage="1" sqref="J29">
      <formula1>0</formula1>
    </dataValidation>
    <dataValidation type="decimal" operator="greaterThanOrEqual" allowBlank="1" showInputMessage="1" showErrorMessage="1" sqref="K29">
      <formula1>0</formula1>
    </dataValidation>
    <dataValidation type="decimal" operator="greaterThanOrEqual" allowBlank="1" showInputMessage="1" showErrorMessage="1" sqref="L29">
      <formula1>0</formula1>
    </dataValidation>
    <dataValidation type="decimal" operator="greaterThanOrEqual" allowBlank="1" showInputMessage="1" showErrorMessage="1" sqref="M29">
      <formula1>0</formula1>
    </dataValidation>
    <dataValidation type="decimal" operator="greaterThanOrEqual" allowBlank="1" showInputMessage="1" showErrorMessage="1" sqref="D30">
      <formula1>0</formula1>
    </dataValidation>
    <dataValidation type="decimal" operator="greaterThanOrEqual" allowBlank="1" showInputMessage="1" showErrorMessage="1" sqref="E30">
      <formula1>0</formula1>
    </dataValidation>
    <dataValidation type="decimal" operator="greaterThanOrEqual" allowBlank="1" showInputMessage="1" showErrorMessage="1" sqref="F30">
      <formula1>0</formula1>
    </dataValidation>
    <dataValidation type="decimal" operator="greaterThanOrEqual" allowBlank="1" showInputMessage="1" showErrorMessage="1" sqref="G30">
      <formula1>0</formula1>
    </dataValidation>
    <dataValidation type="decimal" operator="greaterThanOrEqual" allowBlank="1" showInputMessage="1" showErrorMessage="1" sqref="H30">
      <formula1>0</formula1>
    </dataValidation>
    <dataValidation type="decimal" operator="greaterThanOrEqual" allowBlank="1" showInputMessage="1" showErrorMessage="1" sqref="I30">
      <formula1>0</formula1>
    </dataValidation>
    <dataValidation type="decimal" operator="greaterThanOrEqual" allowBlank="1" showInputMessage="1" showErrorMessage="1" sqref="J30">
      <formula1>0</formula1>
    </dataValidation>
    <dataValidation type="decimal" operator="greaterThanOrEqual" allowBlank="1" showInputMessage="1" showErrorMessage="1" sqref="K30">
      <formula1>0</formula1>
    </dataValidation>
    <dataValidation type="decimal" operator="greaterThanOrEqual" allowBlank="1" showInputMessage="1" showErrorMessage="1" sqref="L30">
      <formula1>0</formula1>
    </dataValidation>
    <dataValidation type="decimal" operator="greaterThanOrEqual" allowBlank="1" showInputMessage="1" showErrorMessage="1" sqref="M30">
      <formula1>0</formula1>
    </dataValidation>
    <dataValidation type="whole" operator="greaterThanOrEqual" allowBlank="1" showInputMessage="1" showErrorMessage="1" sqref="D31">
      <formula1>0</formula1>
    </dataValidation>
    <dataValidation type="whole" operator="greaterThanOrEqual" allowBlank="1" showInputMessage="1" showErrorMessage="1" sqref="E31">
      <formula1>0</formula1>
    </dataValidation>
    <dataValidation type="whole" operator="greaterThanOrEqual" allowBlank="1" showInputMessage="1" showErrorMessage="1" sqref="F31">
      <formula1>0</formula1>
    </dataValidation>
    <dataValidation type="whole" operator="greaterThanOrEqual" allowBlank="1" showInputMessage="1" showErrorMessage="1" sqref="G31">
      <formula1>0</formula1>
    </dataValidation>
    <dataValidation type="whole" operator="greaterThanOrEqual" allowBlank="1" showInputMessage="1" showErrorMessage="1" sqref="H31">
      <formula1>0</formula1>
    </dataValidation>
    <dataValidation type="whole" operator="greaterThanOrEqual" allowBlank="1" showInputMessage="1" showErrorMessage="1" sqref="I31">
      <formula1>0</formula1>
    </dataValidation>
    <dataValidation type="whole" operator="greaterThanOrEqual" allowBlank="1" showInputMessage="1" showErrorMessage="1" sqref="J31">
      <formula1>0</formula1>
    </dataValidation>
    <dataValidation type="whole" operator="greaterThanOrEqual" allowBlank="1" showInputMessage="1" showErrorMessage="1" sqref="K31">
      <formula1>0</formula1>
    </dataValidation>
    <dataValidation type="whole" operator="greaterThanOrEqual" allowBlank="1" showInputMessage="1" showErrorMessage="1" sqref="L31">
      <formula1>0</formula1>
    </dataValidation>
    <dataValidation type="whole" operator="greaterThanOrEqual" allowBlank="1" showInputMessage="1" showErrorMessage="1" sqref="M31">
      <formula1>0</formula1>
    </dataValidation>
    <dataValidation type="decimal" allowBlank="1" showInputMessage="1" showErrorMessage="1" sqref="D32">
      <formula1>0</formula1>
      <formula2>1</formula2>
    </dataValidation>
    <dataValidation type="decimal" allowBlank="1" showInputMessage="1" showErrorMessage="1" sqref="E32">
      <formula1>0</formula1>
      <formula2>1</formula2>
    </dataValidation>
    <dataValidation type="decimal" allowBlank="1" showInputMessage="1" showErrorMessage="1" sqref="F32">
      <formula1>0</formula1>
      <formula2>1</formula2>
    </dataValidation>
    <dataValidation type="decimal" allowBlank="1" showInputMessage="1" showErrorMessage="1" sqref="G32">
      <formula1>0</formula1>
      <formula2>1</formula2>
    </dataValidation>
    <dataValidation type="decimal" allowBlank="1" showInputMessage="1" showErrorMessage="1" sqref="H32">
      <formula1>0</formula1>
      <formula2>1</formula2>
    </dataValidation>
    <dataValidation type="decimal" allowBlank="1" showInputMessage="1" showErrorMessage="1" sqref="I32">
      <formula1>0</formula1>
      <formula2>1</formula2>
    </dataValidation>
    <dataValidation type="decimal" allowBlank="1" showInputMessage="1" showErrorMessage="1" sqref="J32">
      <formula1>0</formula1>
      <formula2>1</formula2>
    </dataValidation>
    <dataValidation type="decimal" allowBlank="1" showInputMessage="1" showErrorMessage="1" sqref="K32">
      <formula1>0</formula1>
      <formula2>1</formula2>
    </dataValidation>
    <dataValidation type="decimal" allowBlank="1" showInputMessage="1" showErrorMessage="1" sqref="L32">
      <formula1>0</formula1>
      <formula2>1</formula2>
    </dataValidation>
    <dataValidation type="decimal" allowBlank="1" showInputMessage="1" showErrorMessage="1" sqref="M32">
      <formula1>0</formula1>
      <formula2>1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4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/>
  <cols>
    <col min="1" max="1" width="12.7109375" customWidth="1"/>
    <col min="2" max="2" width="55.7109375" customWidth="1"/>
    <col min="3" max="10" width="25.7109375" customWidth="1"/>
    <col min="11" max="11" width="32.7109375" customWidth="1"/>
  </cols>
  <sheetData>
    <row r="1" spans="1:11">
      <c r="A1" s="1" t="s">
        <v>149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150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4" spans="1:11">
      <c r="A4" s="4" t="s">
        <v>151</v>
      </c>
      <c r="B4" s="4" t="s">
        <v>152</v>
      </c>
      <c r="C4" s="4" t="s">
        <v>153</v>
      </c>
      <c r="D4" s="4" t="s">
        <v>154</v>
      </c>
      <c r="E4" s="4" t="s">
        <v>155</v>
      </c>
      <c r="F4" s="4" t="s">
        <v>156</v>
      </c>
      <c r="G4" s="4" t="s">
        <v>157</v>
      </c>
      <c r="H4" s="4" t="s">
        <v>158</v>
      </c>
      <c r="I4" s="4" t="s">
        <v>159</v>
      </c>
      <c r="J4" s="4" t="s">
        <v>160</v>
      </c>
      <c r="K4" s="4" t="s">
        <v>161</v>
      </c>
    </row>
    <row r="5" spans="1:11" ht="44" customHeight="1">
      <c r="A5" s="2" t="s">
        <v>40</v>
      </c>
      <c r="B5" s="2" t="s">
        <v>190</v>
      </c>
      <c r="C5" s="7">
        <f>SUM(C1!Z45:Z80)</f>
        <v>1.5999999999999999</v>
      </c>
      <c r="D5" s="7">
        <f>C5-Parameters!$D$19</f>
        <v>-2.4000000000000004</v>
      </c>
      <c r="E5" s="7">
        <f>SUM(C1!M5:M40)</f>
        <v>68400.0</v>
      </c>
      <c r="F5" s="7">
        <f>SUM(C1!P5:P40)</f>
        <v>-86400.0</v>
      </c>
      <c r="G5" s="7">
        <f>SUM(C1!R5:R40)</f>
        <v>-122400.0</v>
      </c>
      <c r="H5" s="7">
        <f>SUM(C1!U5:U40)</f>
        <v>-124300.0</v>
      </c>
      <c r="I5" s="7">
        <f>C1!T40</f>
        <v>1900.0</v>
      </c>
      <c r="J5" s="7">
        <f>C5</f>
        <v>1.5999999999999999</v>
      </c>
      <c r="K5" s="2" t="str">
        <f>IF(AND(Parameters!$D$5=0,Parameters!$D$26=1),"INVALID RIGHTS COMBINATION","OK: assumptions only")</f>
        <v>OK: assumptions only</v>
      </c>
    </row>
    <row r="6" spans="1:11" ht="44" customHeight="1">
      <c r="A6" s="2" t="s">
        <v>41</v>
      </c>
      <c r="B6" s="2" t="s">
        <v>192</v>
      </c>
      <c r="C6" s="7">
        <f>SUM(C2!Z45:Z80)</f>
        <v>1.5999999999999999</v>
      </c>
      <c r="D6" s="7">
        <f>C6-Parameters!$E$19</f>
        <v>0.5999999999999999</v>
      </c>
      <c r="E6" s="7">
        <f>SUM(C2!M5:M40)</f>
        <v>68400.0</v>
      </c>
      <c r="F6" s="7">
        <f>SUM(C2!P5:P40)</f>
        <v>21600.0</v>
      </c>
      <c r="G6" s="7">
        <f>SUM(C2!R5:R40)</f>
        <v>-14400.0</v>
      </c>
      <c r="H6" s="7">
        <f>SUM(C2!U5:U40)</f>
        <v>-16300.0</v>
      </c>
      <c r="I6" s="7">
        <f>C2!T40</f>
        <v>1900.0</v>
      </c>
      <c r="J6" s="7">
        <f>C6</f>
        <v>1.5999999999999999</v>
      </c>
      <c r="K6" s="2" t="str">
        <f>IF(AND(Parameters!$E$5=0,Parameters!$E$26=1),"INVALID RIGHTS COMBINATION","OK: assumptions only")</f>
        <v>OK: assumptions only</v>
      </c>
    </row>
    <row r="7" spans="1:11" ht="44" customHeight="1">
      <c r="A7" s="2" t="s">
        <v>42</v>
      </c>
      <c r="B7" s="2" t="s">
        <v>194</v>
      </c>
      <c r="C7" s="7">
        <f>SUM(C3!Z45:Z80)</f>
        <v>1.4857470117507008</v>
      </c>
      <c r="D7" s="7">
        <f>C7-Parameters!$F$19</f>
        <v>-2.514252988249299</v>
      </c>
      <c r="E7" s="7">
        <f>SUM(C3!M5:M40)</f>
        <v>68400.0</v>
      </c>
      <c r="F7" s="7">
        <f>SUM(C3!P5:P40)</f>
        <v>-90120.1947111322</v>
      </c>
      <c r="G7" s="7">
        <f>SUM(C3!R5:R40)</f>
        <v>-126120.1947111322</v>
      </c>
      <c r="H7" s="7">
        <f>SUM(C3!U5:U40)</f>
        <v>-128020.1947111322</v>
      </c>
      <c r="I7" s="7">
        <f>C3!T40</f>
        <v>1900.0</v>
      </c>
      <c r="J7" s="7">
        <f>C7</f>
        <v>1.4857470117507008</v>
      </c>
      <c r="K7" s="2" t="str">
        <f>IF(AND(Parameters!$F$5=0,Parameters!$F$26=1),"INVALID RIGHTS COMBINATION","OK: assumptions only")</f>
        <v>OK: assumptions only</v>
      </c>
    </row>
    <row r="8" spans="1:11" ht="44" customHeight="1">
      <c r="A8" s="2" t="s">
        <v>43</v>
      </c>
      <c r="B8" s="2" t="s">
        <v>196</v>
      </c>
      <c r="C8" s="7">
        <f>SUM(C4!Z45:Z80)</f>
        <v>5.174677684308811</v>
      </c>
      <c r="D8" s="7">
        <f>C8-Parameters!$G$19</f>
        <v>1.1746776843088114</v>
      </c>
      <c r="E8" s="7">
        <f>SUM(C4!M5:M40)</f>
        <v>226836.862261337</v>
      </c>
      <c r="F8" s="7">
        <f>SUM(C4!P5:P40)</f>
        <v>34834.91515001502</v>
      </c>
      <c r="G8" s="7">
        <f>SUM(C4!R5:R40)</f>
        <v>-1165.084849984983</v>
      </c>
      <c r="H8" s="7">
        <f>SUM(C4!U5:U40)</f>
        <v>-7950.749526131738</v>
      </c>
      <c r="I8" s="7">
        <f>C4!T40</f>
        <v>6785.664676146755</v>
      </c>
      <c r="J8" s="7">
        <f>C8</f>
        <v>5.174677684308811</v>
      </c>
      <c r="K8" s="2" t="str">
        <f>IF(AND(Parameters!$G$5=0,Parameters!$G$26=1),"INVALID RIGHTS COMBINATION","OK: assumptions only")</f>
        <v>OK: assumptions only</v>
      </c>
    </row>
    <row r="9" spans="1:11" ht="44" customHeight="1">
      <c r="A9" s="2" t="s">
        <v>44</v>
      </c>
      <c r="B9" s="2" t="s">
        <v>198</v>
      </c>
      <c r="C9" s="7">
        <f>SUM(C5!Z45:Z80)</f>
        <v>5.8769524938485045</v>
      </c>
      <c r="D9" s="7">
        <f>C9-Parameters!$H$19</f>
        <v>1.8769524938485045</v>
      </c>
      <c r="E9" s="7">
        <f>SUM(C5!M5:M40)</f>
        <v>247345.0758570503</v>
      </c>
      <c r="F9" s="7">
        <f>SUM(C5!P5:P40)</f>
        <v>55343.12874572835</v>
      </c>
      <c r="G9" s="7">
        <f>SUM(C5!R5:R40)</f>
        <v>19343.128745728347</v>
      </c>
      <c r="H9" s="7">
        <f>SUM(C5!U5:U40)</f>
        <v>11787.933577792817</v>
      </c>
      <c r="I9" s="7">
        <f>C5!T40</f>
        <v>7555.195167935526</v>
      </c>
      <c r="J9" s="7">
        <f>C9</f>
        <v>5.8769524938485045</v>
      </c>
      <c r="K9" s="2" t="str">
        <f>IF(AND(Parameters!$H$5=0,Parameters!$H$26=1),"INVALID RIGHTS COMBINATION","OK: assumptions only")</f>
        <v>OK: assumptions only</v>
      </c>
    </row>
    <row r="10" spans="1:11" ht="44" customHeight="1">
      <c r="A10" s="2" t="s">
        <v>45</v>
      </c>
      <c r="B10" s="2" t="s">
        <v>200</v>
      </c>
      <c r="C10" s="7">
        <f>SUM(C6!Z45:Z80)</f>
        <v>-0.5285635817258253</v>
      </c>
      <c r="D10" s="7">
        <f>C10-Parameters!$I$19</f>
        <v>-4.528563581725825</v>
      </c>
      <c r="E10" s="7">
        <f>SUM(C6!M5:M40)</f>
        <v>92123.56779178651</v>
      </c>
      <c r="F10" s="7">
        <f>SUM(C6!P5:P40)</f>
        <v>-151461.4348387782</v>
      </c>
      <c r="G10" s="7">
        <f>SUM(C6!R5:R40)</f>
        <v>-187461.4348387782</v>
      </c>
      <c r="H10" s="7">
        <f>SUM(C6!U5:U40)</f>
        <v>-190646.71715234872</v>
      </c>
      <c r="I10" s="7">
        <f>C6!T40</f>
        <v>3185.2823135705103</v>
      </c>
      <c r="J10" s="7">
        <f>C10</f>
        <v>-0.5285635817258253</v>
      </c>
      <c r="K10" s="2" t="str">
        <f>IF(AND(Parameters!$I$5=0,Parameters!$I$26=1),"INVALID RIGHTS COMBINATION","OK: assumptions only")</f>
        <v>OK: assumptions only</v>
      </c>
    </row>
    <row r="11" spans="1:11" ht="44" customHeight="1">
      <c r="A11" s="2" t="s">
        <v>46</v>
      </c>
      <c r="B11" s="2" t="s">
        <v>202</v>
      </c>
      <c r="C11" s="7">
        <f>SUM(C7!Z45:Z80)</f>
        <v>0.05760290833146533</v>
      </c>
      <c r="D11" s="7">
        <f>C11-Parameters!$J$19</f>
        <v>-3.9423970916685347</v>
      </c>
      <c r="E11" s="7">
        <f>SUM(C7!M5:M40)</f>
        <v>97941.6363254271</v>
      </c>
      <c r="F11" s="7">
        <f>SUM(C7!P5:P40)</f>
        <v>-140115.75235156622</v>
      </c>
      <c r="G11" s="7">
        <f>SUM(C7!R5:R40)</f>
        <v>-176115.75235156622</v>
      </c>
      <c r="H11" s="7">
        <f>SUM(C7!U5:U40)</f>
        <v>-179631.36716243016</v>
      </c>
      <c r="I11" s="7">
        <f>C7!T40</f>
        <v>3515.6148108639454</v>
      </c>
      <c r="J11" s="7">
        <f>C11</f>
        <v>0.05760290833146533</v>
      </c>
      <c r="K11" s="2" t="str">
        <f>IF(AND(Parameters!$J$5=0,Parameters!$J$26=1),"INVALID RIGHTS COMBINATION","OK: assumptions only")</f>
        <v>OK: assumptions only</v>
      </c>
    </row>
    <row r="12" spans="1:11" ht="44" customHeight="1">
      <c r="A12" s="2" t="s">
        <v>47</v>
      </c>
      <c r="B12" s="2" t="s">
        <v>204</v>
      </c>
      <c r="C12" s="7">
        <f>SUM(C8!Z45:Z80)</f>
        <v>1.3435643598459006</v>
      </c>
      <c r="D12" s="7">
        <f>C12-Parameters!$K$19</f>
        <v>-2.6564356401540996</v>
      </c>
      <c r="E12" s="7">
        <f>SUM(C8!M5:M40)</f>
        <v>152116.98303471543</v>
      </c>
      <c r="F12" s="7">
        <f>SUM(C8!P5:P40)</f>
        <v>-101466.92213633744</v>
      </c>
      <c r="G12" s="7">
        <f>SUM(C8!R5:R40)</f>
        <v>-137466.92213633744</v>
      </c>
      <c r="H12" s="7">
        <f>SUM(C8!U5:U40)</f>
        <v>-143178.86680554328</v>
      </c>
      <c r="I12" s="7">
        <f>C8!T40</f>
        <v>5711.944669205827</v>
      </c>
      <c r="J12" s="7">
        <f>C12</f>
        <v>1.3435643598459006</v>
      </c>
      <c r="K12" s="2" t="str">
        <f>IF(AND(Parameters!$K$5=0,Parameters!$K$26=1),"INVALID RIGHTS COMBINATION","OK: assumptions only")</f>
        <v>OK: assumptions only</v>
      </c>
    </row>
    <row r="13" spans="1:11" ht="44" customHeight="1">
      <c r="A13" s="2" t="s">
        <v>48</v>
      </c>
      <c r="B13" s="2" t="s">
        <v>206</v>
      </c>
      <c r="C13" s="7">
        <f>SUM(C9!Z45:Z80)</f>
        <v>5.087820242989352</v>
      </c>
      <c r="D13" s="7">
        <f>C13-Parameters!$L$19</f>
        <v>1.087820242989352</v>
      </c>
      <c r="E13" s="7">
        <f>SUM(C9!M5:M40)</f>
        <v>272103.81352057325</v>
      </c>
      <c r="F13" s="7">
        <f>SUM(C9!P5:P40)</f>
        <v>-1477.8967314559054</v>
      </c>
      <c r="G13" s="7">
        <f>SUM(C9!R5:R40)</f>
        <v>-37477.896731455905</v>
      </c>
      <c r="H13" s="7">
        <f>SUM(C9!U5:U40)</f>
        <v>-48243.16611193236</v>
      </c>
      <c r="I13" s="7">
        <f>C9!T40</f>
        <v>10765.26938047646</v>
      </c>
      <c r="J13" s="7">
        <f>C13</f>
        <v>5.087820242989352</v>
      </c>
      <c r="K13" s="2" t="str">
        <f>IF(AND(Parameters!$L$5=0,Parameters!$L$26=1),"INVALID RIGHTS COMBINATION","OK: assumptions only")</f>
        <v>OK: assumptions only</v>
      </c>
    </row>
    <row r="14" spans="1:11" ht="44" customHeight="1">
      <c r="A14" s="2" t="s">
        <v>49</v>
      </c>
      <c r="B14" s="2" t="s">
        <v>208</v>
      </c>
      <c r="C14" s="7">
        <f>SUM(C10!Z45:Z80)</f>
        <v>4.249081644716554</v>
      </c>
      <c r="D14" s="7">
        <f>C14-Parameters!$M$19</f>
        <v>0.24908164471655425</v>
      </c>
      <c r="E14" s="7">
        <f>SUM(C10!M5:M40)</f>
        <v>147333.84811161621</v>
      </c>
      <c r="F14" s="7">
        <f>SUM(C10!P5:P40)</f>
        <v>-12804.873529423854</v>
      </c>
      <c r="G14" s="7">
        <f>SUM(C10!R5:R40)</f>
        <v>-48804.87352942386</v>
      </c>
      <c r="H14" s="7">
        <f>SUM(C10!U5:U40)</f>
        <v>-53905.61911978967</v>
      </c>
      <c r="I14" s="7">
        <f>C10!T40</f>
        <v>5100.745590365817</v>
      </c>
      <c r="J14" s="7">
        <f>C14</f>
        <v>4.249081644716554</v>
      </c>
      <c r="K14" s="2" t="str">
        <f>IF(AND(Parameters!$M$5=0,Parameters!$M$26=1),"INVALID RIGHTS COMBINATION","OK: assumptions only")</f>
        <v>OK: assumptions only</v>
      </c>
    </row>
  </sheetData>
  <mergeCells count="2">
    <mergeCell ref="A1:K1"/>
    <mergeCell ref="A2:K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Z80"/>
  <sheetViews>
    <sheetView showGridLines="0" zoomScale="85" zoomScaleNormal="85" workbookViewId="0">
      <pane xSplit="4" ySplit="4" topLeftCell="E5" activePane="bottomRight" state="frozen"/>
      <selection pane="topRight" activeCell="E1" sqref="E1"/>
      <selection pane="bottomLeft" activeCell="A5" sqref="A5"/>
      <selection pane="bottomRight"/>
    </sheetView>
  </sheetViews>
  <sheetFormatPr defaultRowHeight="15"/>
  <cols>
    <col min="1" max="1" width="10.7109375" customWidth="1"/>
    <col min="2" max="9" width="19.7109375" customWidth="1"/>
    <col min="10" max="26" width="22.7109375" customWidth="1"/>
  </cols>
  <sheetData>
    <row r="1" spans="1:26">
      <c r="A1" s="1" t="s">
        <v>162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3" t="s">
        <v>163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4" spans="1:26" ht="45" customHeight="1">
      <c r="A4" s="4" t="s">
        <v>164</v>
      </c>
      <c r="B4" s="4" t="s">
        <v>165</v>
      </c>
      <c r="C4" s="4" t="s">
        <v>166</v>
      </c>
      <c r="D4" s="4" t="s">
        <v>167</v>
      </c>
      <c r="E4" s="4" t="s">
        <v>168</v>
      </c>
      <c r="F4" s="4" t="s">
        <v>169</v>
      </c>
      <c r="G4" s="4" t="s">
        <v>170</v>
      </c>
      <c r="H4" s="4" t="s">
        <v>171</v>
      </c>
      <c r="I4" s="4" t="s">
        <v>172</v>
      </c>
      <c r="J4" s="4" t="s">
        <v>173</v>
      </c>
      <c r="K4" s="4" t="s">
        <v>174</v>
      </c>
      <c r="L4" s="4" t="s">
        <v>175</v>
      </c>
      <c r="M4" s="4" t="s">
        <v>176</v>
      </c>
      <c r="N4" s="4" t="s">
        <v>177</v>
      </c>
      <c r="O4" s="4" t="s">
        <v>99</v>
      </c>
      <c r="P4" s="4" t="s">
        <v>178</v>
      </c>
      <c r="Q4" s="4" t="s">
        <v>179</v>
      </c>
      <c r="R4" s="4" t="s">
        <v>180</v>
      </c>
      <c r="S4" s="4" t="s">
        <v>181</v>
      </c>
      <c r="T4" s="4" t="s">
        <v>182</v>
      </c>
      <c r="U4" s="4" t="s">
        <v>183</v>
      </c>
      <c r="V4" s="4" t="s">
        <v>184</v>
      </c>
      <c r="W4" s="4" t="s">
        <v>185</v>
      </c>
      <c r="X4" s="4" t="s">
        <v>186</v>
      </c>
      <c r="Y4" s="4" t="s">
        <v>187</v>
      </c>
      <c r="Z4" s="4" t="s">
        <v>188</v>
      </c>
    </row>
    <row r="5" spans="1:26">
      <c r="A5" s="7">
        <v>1</v>
      </c>
      <c r="B5" s="7">
        <f>Parameters!$D$20</f>
        <v>1000</v>
      </c>
      <c r="C5" s="7">
        <f>B5</f>
        <v>1000</v>
      </c>
      <c r="D5" s="7">
        <f>0</f>
        <v>0.0</v>
      </c>
      <c r="E5" s="7">
        <f>Parameters!$D$6*C5</f>
        <v>100.0</v>
      </c>
      <c r="F5" s="7">
        <f>IF(Parameters!$D$5=1,E5,0)</f>
        <v>0.0</v>
      </c>
      <c r="G5" s="7">
        <f>F5</f>
        <v>0.0</v>
      </c>
      <c r="H5" s="7">
        <f>IF(AND(Parameters!$D$5=1,Parameters!$D$26=1),SUMPRODUCT(--($A$5:A5&lt;A5),--(MOD(A5-$A$5:A5,Parameters!$D$28)=0),$F$5:F5,POWER(Parameters!$D$27,IF(A5-$A$5:A5=0,1,A5-$A$5:A5))),0)</f>
        <v>0.0</v>
      </c>
      <c r="I5" s="7">
        <f>B5*Parameters!$D$22</f>
        <v>0.0</v>
      </c>
      <c r="J5" s="7">
        <f>E5*Parameters!$D$14*(1-Parameters!$D$15)</f>
        <v>1900.0</v>
      </c>
      <c r="K5" s="7">
        <f>H5*Parameters!$D$29</f>
        <v>0.0</v>
      </c>
      <c r="L5" s="7">
        <f>I5*Parameters!$D$24</f>
        <v>0.0</v>
      </c>
      <c r="M5" s="7">
        <f>J5+K5+L5</f>
        <v>1900.0</v>
      </c>
      <c r="N5" s="7">
        <f>C5*Parameters!$D$17+D5*Parameters!$D$18+E5*Parameters!$D$16+I5*Parameters!$D$25+G5*Parameters!$D$30</f>
        <v>300.0</v>
      </c>
      <c r="O5" s="7">
        <f>B5*Parameters!$D$19</f>
        <v>4000</v>
      </c>
      <c r="P5" s="7">
        <f>M5-N5-O5</f>
        <v>-2400.0</v>
      </c>
      <c r="Q5" s="7">
        <f>Parameters!$D$21</f>
        <v>1000</v>
      </c>
      <c r="R5" s="7">
        <f>P5-Q5</f>
        <v>-3400.0</v>
      </c>
      <c r="S5" s="7">
        <f>IF(A5&lt;1+Parameters!$D$31,0,INDEX($M$5:$M$40,A5-Parameters!$D$31))</f>
        <v>0.0</v>
      </c>
      <c r="T5" s="7">
        <f>M5-S5</f>
        <v>1900.0</v>
      </c>
      <c r="U5" s="7">
        <f>S5-N5-O5-Q5</f>
        <v>-5300.0</v>
      </c>
      <c r="V5" s="7">
        <f>U5</f>
        <v>-5300.0</v>
      </c>
      <c r="W5" s="7">
        <f>(1-Parameters!$D$7)*(C5-E5)+(1-Parameters!$D$8)*(D5+E5)</f>
        <v>1000.0</v>
      </c>
      <c r="X5" s="7">
        <f>Parameters!$D$7*(C5-E5)+Parameters!$D$8*Parameters!$D$9*(D5+E5)</f>
        <v>0.0</v>
      </c>
      <c r="Y5" s="7">
        <f>Parameters!$D$8*(1-Parameters!$D$9)*(D5+E5)</f>
        <v>0.0</v>
      </c>
      <c r="Z5" s="7">
        <f>POWER(1/(1+Parameters!$D$32),A5-1)*(M5-N5)</f>
        <v>1600.0</v>
      </c>
    </row>
    <row r="6" spans="1:26">
      <c r="A6" s="7">
        <v>2</v>
      </c>
      <c r="B6" s="7">
        <f>Parameters!$D$20</f>
        <v>1000</v>
      </c>
      <c r="C6" s="7">
        <f>X5+B6</f>
        <v>1000.0</v>
      </c>
      <c r="D6" s="7">
        <f>Y5</f>
        <v>0.0</v>
      </c>
      <c r="E6" s="7">
        <f>Parameters!$D$6*C6</f>
        <v>100.0</v>
      </c>
      <c r="F6" s="7">
        <f>IF(Parameters!$D$5=1,E6,0)</f>
        <v>0.0</v>
      </c>
      <c r="G6" s="7">
        <f>Parameters!$D$27*G5+F6</f>
        <v>0.0</v>
      </c>
      <c r="H6" s="7">
        <f>IF(AND(Parameters!$D$5=1,Parameters!$D$26=1),SUMPRODUCT(--($A$5:A6&lt;A6),--(MOD(A6-$A$5:A6,Parameters!$D$28)=0),$F$5:F6,POWER(Parameters!$D$27,IF(A6-$A$5:A6=0,1,A6-$A$5:A6))),0)</f>
        <v>0.0</v>
      </c>
      <c r="I6" s="7">
        <f>Parameters!$D$23*I5+B6*Parameters!$D$22</f>
        <v>0.0</v>
      </c>
      <c r="J6" s="7">
        <f>E6*Parameters!$D$14*(1-Parameters!$D$15)</f>
        <v>1900.0</v>
      </c>
      <c r="K6" s="7">
        <f>H6*Parameters!$D$29</f>
        <v>0.0</v>
      </c>
      <c r="L6" s="7">
        <f>I6*Parameters!$D$24</f>
        <v>0.0</v>
      </c>
      <c r="M6" s="7">
        <f>J6+K6+L6</f>
        <v>1900.0</v>
      </c>
      <c r="N6" s="7">
        <f>C6*Parameters!$D$17+D6*Parameters!$D$18+E6*Parameters!$D$16+I6*Parameters!$D$25+G6*Parameters!$D$30</f>
        <v>300.0</v>
      </c>
      <c r="O6" s="7">
        <f>B6*Parameters!$D$19</f>
        <v>4000</v>
      </c>
      <c r="P6" s="7">
        <f>M6-N6-O6</f>
        <v>-2400.0</v>
      </c>
      <c r="Q6" s="7">
        <f>Parameters!$D$21</f>
        <v>1000</v>
      </c>
      <c r="R6" s="7">
        <f>P6-Q6</f>
        <v>-3400.0</v>
      </c>
      <c r="S6" s="7">
        <f>IF(A6&lt;1+Parameters!$D$31,0,INDEX($M$5:$M$40,A6-Parameters!$D$31))</f>
        <v>1900.0</v>
      </c>
      <c r="T6" s="7">
        <f>T5+M6-S6</f>
        <v>1900.0</v>
      </c>
      <c r="U6" s="7">
        <f>S6-N6-O6-Q6</f>
        <v>-3400.0</v>
      </c>
      <c r="V6" s="7">
        <f>V5+U6</f>
        <v>-8700.0</v>
      </c>
      <c r="W6" s="7">
        <f>(1-Parameters!$D$7)*(C6-E6)+(1-Parameters!$D$8)*(D6+E6)</f>
        <v>1000.0</v>
      </c>
      <c r="X6" s="7">
        <f>Parameters!$D$7*(C6-E6)+Parameters!$D$8*Parameters!$D$9*(D6+E6)</f>
        <v>0.0</v>
      </c>
      <c r="Y6" s="7">
        <f>Parameters!$D$8*(1-Parameters!$D$9)*(D6+E6)</f>
        <v>0.0</v>
      </c>
      <c r="Z6" s="7">
        <f>POWER(1/(1+Parameters!$D$32),A6-1)*(M6-N6)</f>
        <v>1584.1584158415842</v>
      </c>
    </row>
    <row r="7" spans="1:26">
      <c r="A7" s="7">
        <v>3</v>
      </c>
      <c r="B7" s="7">
        <f>Parameters!$D$20</f>
        <v>1000</v>
      </c>
      <c r="C7" s="7">
        <f>X6+B7</f>
        <v>1000.0</v>
      </c>
      <c r="D7" s="7">
        <f>Y6</f>
        <v>0.0</v>
      </c>
      <c r="E7" s="7">
        <f>Parameters!$D$6*C7</f>
        <v>100.0</v>
      </c>
      <c r="F7" s="7">
        <f>IF(Parameters!$D$5=1,E7,0)</f>
        <v>0.0</v>
      </c>
      <c r="G7" s="7">
        <f>Parameters!$D$27*G6+F7</f>
        <v>0.0</v>
      </c>
      <c r="H7" s="7">
        <f>IF(AND(Parameters!$D$5=1,Parameters!$D$26=1),SUMPRODUCT(--($A$5:A7&lt;A7),--(MOD(A7-$A$5:A7,Parameters!$D$28)=0),$F$5:F7,POWER(Parameters!$D$27,IF(A7-$A$5:A7=0,1,A7-$A$5:A7))),0)</f>
        <v>0.0</v>
      </c>
      <c r="I7" s="7">
        <f>Parameters!$D$23*I6+B7*Parameters!$D$22</f>
        <v>0.0</v>
      </c>
      <c r="J7" s="7">
        <f>E7*Parameters!$D$14*(1-Parameters!$D$15)</f>
        <v>1900.0</v>
      </c>
      <c r="K7" s="7">
        <f>H7*Parameters!$D$29</f>
        <v>0.0</v>
      </c>
      <c r="L7" s="7">
        <f>I7*Parameters!$D$24</f>
        <v>0.0</v>
      </c>
      <c r="M7" s="7">
        <f>J7+K7+L7</f>
        <v>1900.0</v>
      </c>
      <c r="N7" s="7">
        <f>C7*Parameters!$D$17+D7*Parameters!$D$18+E7*Parameters!$D$16+I7*Parameters!$D$25+G7*Parameters!$D$30</f>
        <v>300.0</v>
      </c>
      <c r="O7" s="7">
        <f>B7*Parameters!$D$19</f>
        <v>4000</v>
      </c>
      <c r="P7" s="7">
        <f>M7-N7-O7</f>
        <v>-2400.0</v>
      </c>
      <c r="Q7" s="7">
        <f>Parameters!$D$21</f>
        <v>1000</v>
      </c>
      <c r="R7" s="7">
        <f>P7-Q7</f>
        <v>-3400.0</v>
      </c>
      <c r="S7" s="7">
        <f>IF(A7&lt;1+Parameters!$D$31,0,INDEX($M$5:$M$40,A7-Parameters!$D$31))</f>
        <v>1900.0</v>
      </c>
      <c r="T7" s="7">
        <f>T6+M7-S7</f>
        <v>1900.0</v>
      </c>
      <c r="U7" s="7">
        <f>S7-N7-O7-Q7</f>
        <v>-3400.0</v>
      </c>
      <c r="V7" s="7">
        <f>V6+U7</f>
        <v>-12100.0</v>
      </c>
      <c r="W7" s="7">
        <f>(1-Parameters!$D$7)*(C7-E7)+(1-Parameters!$D$8)*(D7+E7)</f>
        <v>1000.0</v>
      </c>
      <c r="X7" s="7">
        <f>Parameters!$D$7*(C7-E7)+Parameters!$D$8*Parameters!$D$9*(D7+E7)</f>
        <v>0.0</v>
      </c>
      <c r="Y7" s="7">
        <f>Parameters!$D$8*(1-Parameters!$D$9)*(D7+E7)</f>
        <v>0.0</v>
      </c>
      <c r="Z7" s="7">
        <f>POWER(1/(1+Parameters!$D$32),A7-1)*(M7-N7)</f>
        <v>1568.4736790510733</v>
      </c>
    </row>
    <row r="8" spans="1:26">
      <c r="A8" s="7">
        <v>4</v>
      </c>
      <c r="B8" s="7">
        <f>Parameters!$D$20</f>
        <v>1000</v>
      </c>
      <c r="C8" s="7">
        <f>X7+B8</f>
        <v>1000.0</v>
      </c>
      <c r="D8" s="7">
        <f>Y7</f>
        <v>0.0</v>
      </c>
      <c r="E8" s="7">
        <f>Parameters!$D$6*C8</f>
        <v>100.0</v>
      </c>
      <c r="F8" s="7">
        <f>IF(Parameters!$D$5=1,E8,0)</f>
        <v>0.0</v>
      </c>
      <c r="G8" s="7">
        <f>Parameters!$D$27*G7+F8</f>
        <v>0.0</v>
      </c>
      <c r="H8" s="7">
        <f>IF(AND(Parameters!$D$5=1,Parameters!$D$26=1),SUMPRODUCT(--($A$5:A8&lt;A8),--(MOD(A8-$A$5:A8,Parameters!$D$28)=0),$F$5:F8,POWER(Parameters!$D$27,IF(A8-$A$5:A8=0,1,A8-$A$5:A8))),0)</f>
        <v>0.0</v>
      </c>
      <c r="I8" s="7">
        <f>Parameters!$D$23*I7+B8*Parameters!$D$22</f>
        <v>0.0</v>
      </c>
      <c r="J8" s="7">
        <f>E8*Parameters!$D$14*(1-Parameters!$D$15)</f>
        <v>1900.0</v>
      </c>
      <c r="K8" s="7">
        <f>H8*Parameters!$D$29</f>
        <v>0.0</v>
      </c>
      <c r="L8" s="7">
        <f>I8*Parameters!$D$24</f>
        <v>0.0</v>
      </c>
      <c r="M8" s="7">
        <f>J8+K8+L8</f>
        <v>1900.0</v>
      </c>
      <c r="N8" s="7">
        <f>C8*Parameters!$D$17+D8*Parameters!$D$18+E8*Parameters!$D$16+I8*Parameters!$D$25+G8*Parameters!$D$30</f>
        <v>300.0</v>
      </c>
      <c r="O8" s="7">
        <f>B8*Parameters!$D$19</f>
        <v>4000</v>
      </c>
      <c r="P8" s="7">
        <f>M8-N8-O8</f>
        <v>-2400.0</v>
      </c>
      <c r="Q8" s="7">
        <f>Parameters!$D$21</f>
        <v>1000</v>
      </c>
      <c r="R8" s="7">
        <f>P8-Q8</f>
        <v>-3400.0</v>
      </c>
      <c r="S8" s="7">
        <f>IF(A8&lt;1+Parameters!$D$31,0,INDEX($M$5:$M$40,A8-Parameters!$D$31))</f>
        <v>1900.0</v>
      </c>
      <c r="T8" s="7">
        <f>T7+M8-S8</f>
        <v>1900.0</v>
      </c>
      <c r="U8" s="7">
        <f>S8-N8-O8-Q8</f>
        <v>-3400.0</v>
      </c>
      <c r="V8" s="7">
        <f>V7+U8</f>
        <v>-15500.0</v>
      </c>
      <c r="W8" s="7">
        <f>(1-Parameters!$D$7)*(C8-E8)+(1-Parameters!$D$8)*(D8+E8)</f>
        <v>1000.0</v>
      </c>
      <c r="X8" s="7">
        <f>Parameters!$D$7*(C8-E8)+Parameters!$D$8*Parameters!$D$9*(D8+E8)</f>
        <v>0.0</v>
      </c>
      <c r="Y8" s="7">
        <f>Parameters!$D$8*(1-Parameters!$D$9)*(D8+E8)</f>
        <v>0.0</v>
      </c>
      <c r="Z8" s="7">
        <f>POWER(1/(1+Parameters!$D$32),A8-1)*(M8-N8)</f>
        <v>1552.944236684231</v>
      </c>
    </row>
    <row r="9" spans="1:26">
      <c r="A9" s="7">
        <v>5</v>
      </c>
      <c r="B9" s="7">
        <f>Parameters!$D$20</f>
        <v>1000</v>
      </c>
      <c r="C9" s="7">
        <f>X8+B9</f>
        <v>1000.0</v>
      </c>
      <c r="D9" s="7">
        <f>Y8</f>
        <v>0.0</v>
      </c>
      <c r="E9" s="7">
        <f>Parameters!$D$6*C9</f>
        <v>100.0</v>
      </c>
      <c r="F9" s="7">
        <f>IF(Parameters!$D$5=1,E9,0)</f>
        <v>0.0</v>
      </c>
      <c r="G9" s="7">
        <f>Parameters!$D$27*G8+F9</f>
        <v>0.0</v>
      </c>
      <c r="H9" s="7">
        <f>IF(AND(Parameters!$D$5=1,Parameters!$D$26=1),SUMPRODUCT(--($A$5:A9&lt;A9),--(MOD(A9-$A$5:A9,Parameters!$D$28)=0),$F$5:F9,POWER(Parameters!$D$27,IF(A9-$A$5:A9=0,1,A9-$A$5:A9))),0)</f>
        <v>0.0</v>
      </c>
      <c r="I9" s="7">
        <f>Parameters!$D$23*I8+B9*Parameters!$D$22</f>
        <v>0.0</v>
      </c>
      <c r="J9" s="7">
        <f>E9*Parameters!$D$14*(1-Parameters!$D$15)</f>
        <v>1900.0</v>
      </c>
      <c r="K9" s="7">
        <f>H9*Parameters!$D$29</f>
        <v>0.0</v>
      </c>
      <c r="L9" s="7">
        <f>I9*Parameters!$D$24</f>
        <v>0.0</v>
      </c>
      <c r="M9" s="7">
        <f>J9+K9+L9</f>
        <v>1900.0</v>
      </c>
      <c r="N9" s="7">
        <f>C9*Parameters!$D$17+D9*Parameters!$D$18+E9*Parameters!$D$16+I9*Parameters!$D$25+G9*Parameters!$D$30</f>
        <v>300.0</v>
      </c>
      <c r="O9" s="7">
        <f>B9*Parameters!$D$19</f>
        <v>4000</v>
      </c>
      <c r="P9" s="7">
        <f>M9-N9-O9</f>
        <v>-2400.0</v>
      </c>
      <c r="Q9" s="7">
        <f>Parameters!$D$21</f>
        <v>1000</v>
      </c>
      <c r="R9" s="7">
        <f>P9-Q9</f>
        <v>-3400.0</v>
      </c>
      <c r="S9" s="7">
        <f>IF(A9&lt;1+Parameters!$D$31,0,INDEX($M$5:$M$40,A9-Parameters!$D$31))</f>
        <v>1900.0</v>
      </c>
      <c r="T9" s="7">
        <f>T8+M9-S9</f>
        <v>1900.0</v>
      </c>
      <c r="U9" s="7">
        <f>S9-N9-O9-Q9</f>
        <v>-3400.0</v>
      </c>
      <c r="V9" s="7">
        <f>V8+U9</f>
        <v>-18900.0</v>
      </c>
      <c r="W9" s="7">
        <f>(1-Parameters!$D$7)*(C9-E9)+(1-Parameters!$D$8)*(D9+E9)</f>
        <v>1000.0</v>
      </c>
      <c r="X9" s="7">
        <f>Parameters!$D$7*(C9-E9)+Parameters!$D$8*Parameters!$D$9*(D9+E9)</f>
        <v>0.0</v>
      </c>
      <c r="Y9" s="7">
        <f>Parameters!$D$8*(1-Parameters!$D$9)*(D9+E9)</f>
        <v>0.0</v>
      </c>
      <c r="Z9" s="7">
        <f>POWER(1/(1+Parameters!$D$32),A9-1)*(M9-N9)</f>
        <v>1537.568551172506</v>
      </c>
    </row>
    <row r="10" spans="1:26">
      <c r="A10" s="7">
        <v>6</v>
      </c>
      <c r="B10" s="7">
        <f>Parameters!$D$20</f>
        <v>1000</v>
      </c>
      <c r="C10" s="7">
        <f>X9+B10</f>
        <v>1000.0</v>
      </c>
      <c r="D10" s="7">
        <f>Y9</f>
        <v>0.0</v>
      </c>
      <c r="E10" s="7">
        <f>Parameters!$D$6*C10</f>
        <v>100.0</v>
      </c>
      <c r="F10" s="7">
        <f>IF(Parameters!$D$5=1,E10,0)</f>
        <v>0.0</v>
      </c>
      <c r="G10" s="7">
        <f>Parameters!$D$27*G9+F10</f>
        <v>0.0</v>
      </c>
      <c r="H10" s="7">
        <f>IF(AND(Parameters!$D$5=1,Parameters!$D$26=1),SUMPRODUCT(--($A$5:A10&lt;A10),--(MOD(A10-$A$5:A10,Parameters!$D$28)=0),$F$5:F10,POWER(Parameters!$D$27,IF(A10-$A$5:A10=0,1,A10-$A$5:A10))),0)</f>
        <v>0.0</v>
      </c>
      <c r="I10" s="7">
        <f>Parameters!$D$23*I9+B10*Parameters!$D$22</f>
        <v>0.0</v>
      </c>
      <c r="J10" s="7">
        <f>E10*Parameters!$D$14*(1-Parameters!$D$15)</f>
        <v>1900.0</v>
      </c>
      <c r="K10" s="7">
        <f>H10*Parameters!$D$29</f>
        <v>0.0</v>
      </c>
      <c r="L10" s="7">
        <f>I10*Parameters!$D$24</f>
        <v>0.0</v>
      </c>
      <c r="M10" s="7">
        <f>J10+K10+L10</f>
        <v>1900.0</v>
      </c>
      <c r="N10" s="7">
        <f>C10*Parameters!$D$17+D10*Parameters!$D$18+E10*Parameters!$D$16+I10*Parameters!$D$25+G10*Parameters!$D$30</f>
        <v>300.0</v>
      </c>
      <c r="O10" s="7">
        <f>B10*Parameters!$D$19</f>
        <v>4000</v>
      </c>
      <c r="P10" s="7">
        <f>M10-N10-O10</f>
        <v>-2400.0</v>
      </c>
      <c r="Q10" s="7">
        <f>Parameters!$D$21</f>
        <v>1000</v>
      </c>
      <c r="R10" s="7">
        <f>P10-Q10</f>
        <v>-3400.0</v>
      </c>
      <c r="S10" s="7">
        <f>IF(A10&lt;1+Parameters!$D$31,0,INDEX($M$5:$M$40,A10-Parameters!$D$31))</f>
        <v>1900.0</v>
      </c>
      <c r="T10" s="7">
        <f>T9+M10-S10</f>
        <v>1900.0</v>
      </c>
      <c r="U10" s="7">
        <f>S10-N10-O10-Q10</f>
        <v>-3400.0</v>
      </c>
      <c r="V10" s="7">
        <f>V9+U10</f>
        <v>-22300.0</v>
      </c>
      <c r="W10" s="7">
        <f>(1-Parameters!$D$7)*(C10-E10)+(1-Parameters!$D$8)*(D10+E10)</f>
        <v>1000.0</v>
      </c>
      <c r="X10" s="7">
        <f>Parameters!$D$7*(C10-E10)+Parameters!$D$8*Parameters!$D$9*(D10+E10)</f>
        <v>0.0</v>
      </c>
      <c r="Y10" s="7">
        <f>Parameters!$D$8*(1-Parameters!$D$9)*(D10+E10)</f>
        <v>0.0</v>
      </c>
      <c r="Z10" s="7">
        <f>POWER(1/(1+Parameters!$D$32),A10-1)*(M10-N10)</f>
        <v>1522.345100170798</v>
      </c>
    </row>
    <row r="11" spans="1:26">
      <c r="A11" s="7">
        <v>7</v>
      </c>
      <c r="B11" s="7">
        <f>Parameters!$D$20</f>
        <v>1000</v>
      </c>
      <c r="C11" s="7">
        <f>X10+B11</f>
        <v>1000.0</v>
      </c>
      <c r="D11" s="7">
        <f>Y10</f>
        <v>0.0</v>
      </c>
      <c r="E11" s="7">
        <f>Parameters!$D$6*C11</f>
        <v>100.0</v>
      </c>
      <c r="F11" s="7">
        <f>IF(Parameters!$D$5=1,E11,0)</f>
        <v>0.0</v>
      </c>
      <c r="G11" s="7">
        <f>Parameters!$D$27*G10+F11</f>
        <v>0.0</v>
      </c>
      <c r="H11" s="7">
        <f>IF(AND(Parameters!$D$5=1,Parameters!$D$26=1),SUMPRODUCT(--($A$5:A11&lt;A11),--(MOD(A11-$A$5:A11,Parameters!$D$28)=0),$F$5:F11,POWER(Parameters!$D$27,IF(A11-$A$5:A11=0,1,A11-$A$5:A11))),0)</f>
        <v>0.0</v>
      </c>
      <c r="I11" s="7">
        <f>Parameters!$D$23*I10+B11*Parameters!$D$22</f>
        <v>0.0</v>
      </c>
      <c r="J11" s="7">
        <f>E11*Parameters!$D$14*(1-Parameters!$D$15)</f>
        <v>1900.0</v>
      </c>
      <c r="K11" s="7">
        <f>H11*Parameters!$D$29</f>
        <v>0.0</v>
      </c>
      <c r="L11" s="7">
        <f>I11*Parameters!$D$24</f>
        <v>0.0</v>
      </c>
      <c r="M11" s="7">
        <f>J11+K11+L11</f>
        <v>1900.0</v>
      </c>
      <c r="N11" s="7">
        <f>C11*Parameters!$D$17+D11*Parameters!$D$18+E11*Parameters!$D$16+I11*Parameters!$D$25+G11*Parameters!$D$30</f>
        <v>300.0</v>
      </c>
      <c r="O11" s="7">
        <f>B11*Parameters!$D$19</f>
        <v>4000</v>
      </c>
      <c r="P11" s="7">
        <f>M11-N11-O11</f>
        <v>-2400.0</v>
      </c>
      <c r="Q11" s="7">
        <f>Parameters!$D$21</f>
        <v>1000</v>
      </c>
      <c r="R11" s="7">
        <f>P11-Q11</f>
        <v>-3400.0</v>
      </c>
      <c r="S11" s="7">
        <f>IF(A11&lt;1+Parameters!$D$31,0,INDEX($M$5:$M$40,A11-Parameters!$D$31))</f>
        <v>1900.0</v>
      </c>
      <c r="T11" s="7">
        <f>T10+M11-S11</f>
        <v>1900.0</v>
      </c>
      <c r="U11" s="7">
        <f>S11-N11-O11-Q11</f>
        <v>-3400.0</v>
      </c>
      <c r="V11" s="7">
        <f>V10+U11</f>
        <v>-25700.0</v>
      </c>
      <c r="W11" s="7">
        <f>(1-Parameters!$D$7)*(C11-E11)+(1-Parameters!$D$8)*(D11+E11)</f>
        <v>1000.0</v>
      </c>
      <c r="X11" s="7">
        <f>Parameters!$D$7*(C11-E11)+Parameters!$D$8*Parameters!$D$9*(D11+E11)</f>
        <v>0.0</v>
      </c>
      <c r="Y11" s="7">
        <f>Parameters!$D$8*(1-Parameters!$D$9)*(D11+E11)</f>
        <v>0.0</v>
      </c>
      <c r="Z11" s="7">
        <f>POWER(1/(1+Parameters!$D$32),A11-1)*(M11-N11)</f>
        <v>1507.2723764067307</v>
      </c>
    </row>
    <row r="12" spans="1:26">
      <c r="A12" s="7">
        <v>8</v>
      </c>
      <c r="B12" s="7">
        <f>Parameters!$D$20</f>
        <v>1000</v>
      </c>
      <c r="C12" s="7">
        <f>X11+B12</f>
        <v>1000.0</v>
      </c>
      <c r="D12" s="7">
        <f>Y11</f>
        <v>0.0</v>
      </c>
      <c r="E12" s="7">
        <f>Parameters!$D$6*C12</f>
        <v>100.0</v>
      </c>
      <c r="F12" s="7">
        <f>IF(Parameters!$D$5=1,E12,0)</f>
        <v>0.0</v>
      </c>
      <c r="G12" s="7">
        <f>Parameters!$D$27*G11+F12</f>
        <v>0.0</v>
      </c>
      <c r="H12" s="7">
        <f>IF(AND(Parameters!$D$5=1,Parameters!$D$26=1),SUMPRODUCT(--($A$5:A12&lt;A12),--(MOD(A12-$A$5:A12,Parameters!$D$28)=0),$F$5:F12,POWER(Parameters!$D$27,IF(A12-$A$5:A12=0,1,A12-$A$5:A12))),0)</f>
        <v>0.0</v>
      </c>
      <c r="I12" s="7">
        <f>Parameters!$D$23*I11+B12*Parameters!$D$22</f>
        <v>0.0</v>
      </c>
      <c r="J12" s="7">
        <f>E12*Parameters!$D$14*(1-Parameters!$D$15)</f>
        <v>1900.0</v>
      </c>
      <c r="K12" s="7">
        <f>H12*Parameters!$D$29</f>
        <v>0.0</v>
      </c>
      <c r="L12" s="7">
        <f>I12*Parameters!$D$24</f>
        <v>0.0</v>
      </c>
      <c r="M12" s="7">
        <f>J12+K12+L12</f>
        <v>1900.0</v>
      </c>
      <c r="N12" s="7">
        <f>C12*Parameters!$D$17+D12*Parameters!$D$18+E12*Parameters!$D$16+I12*Parameters!$D$25+G12*Parameters!$D$30</f>
        <v>300.0</v>
      </c>
      <c r="O12" s="7">
        <f>B12*Parameters!$D$19</f>
        <v>4000</v>
      </c>
      <c r="P12" s="7">
        <f>M12-N12-O12</f>
        <v>-2400.0</v>
      </c>
      <c r="Q12" s="7">
        <f>Parameters!$D$21</f>
        <v>1000</v>
      </c>
      <c r="R12" s="7">
        <f>P12-Q12</f>
        <v>-3400.0</v>
      </c>
      <c r="S12" s="7">
        <f>IF(A12&lt;1+Parameters!$D$31,0,INDEX($M$5:$M$40,A12-Parameters!$D$31))</f>
        <v>1900.0</v>
      </c>
      <c r="T12" s="7">
        <f>T11+M12-S12</f>
        <v>1900.0</v>
      </c>
      <c r="U12" s="7">
        <f>S12-N12-O12-Q12</f>
        <v>-3400.0</v>
      </c>
      <c r="V12" s="7">
        <f>V11+U12</f>
        <v>-29100.0</v>
      </c>
      <c r="W12" s="7">
        <f>(1-Parameters!$D$7)*(C12-E12)+(1-Parameters!$D$8)*(D12+E12)</f>
        <v>1000.0</v>
      </c>
      <c r="X12" s="7">
        <f>Parameters!$D$7*(C12-E12)+Parameters!$D$8*Parameters!$D$9*(D12+E12)</f>
        <v>0.0</v>
      </c>
      <c r="Y12" s="7">
        <f>Parameters!$D$8*(1-Parameters!$D$9)*(D12+E12)</f>
        <v>0.0</v>
      </c>
      <c r="Z12" s="7">
        <f>POWER(1/(1+Parameters!$D$32),A12-1)*(M12-N12)</f>
        <v>1492.3488875314165</v>
      </c>
    </row>
    <row r="13" spans="1:26">
      <c r="A13" s="7">
        <v>9</v>
      </c>
      <c r="B13" s="7">
        <f>Parameters!$D$20</f>
        <v>1000</v>
      </c>
      <c r="C13" s="7">
        <f>X12+B13</f>
        <v>1000.0</v>
      </c>
      <c r="D13" s="7">
        <f>Y12</f>
        <v>0.0</v>
      </c>
      <c r="E13" s="7">
        <f>Parameters!$D$6*C13</f>
        <v>100.0</v>
      </c>
      <c r="F13" s="7">
        <f>IF(Parameters!$D$5=1,E13,0)</f>
        <v>0.0</v>
      </c>
      <c r="G13" s="7">
        <f>Parameters!$D$27*G12+F13</f>
        <v>0.0</v>
      </c>
      <c r="H13" s="7">
        <f>IF(AND(Parameters!$D$5=1,Parameters!$D$26=1),SUMPRODUCT(--($A$5:A13&lt;A13),--(MOD(A13-$A$5:A13,Parameters!$D$28)=0),$F$5:F13,POWER(Parameters!$D$27,IF(A13-$A$5:A13=0,1,A13-$A$5:A13))),0)</f>
        <v>0.0</v>
      </c>
      <c r="I13" s="7">
        <f>Parameters!$D$23*I12+B13*Parameters!$D$22</f>
        <v>0.0</v>
      </c>
      <c r="J13" s="7">
        <f>E13*Parameters!$D$14*(1-Parameters!$D$15)</f>
        <v>1900.0</v>
      </c>
      <c r="K13" s="7">
        <f>H13*Parameters!$D$29</f>
        <v>0.0</v>
      </c>
      <c r="L13" s="7">
        <f>I13*Parameters!$D$24</f>
        <v>0.0</v>
      </c>
      <c r="M13" s="7">
        <f>J13+K13+L13</f>
        <v>1900.0</v>
      </c>
      <c r="N13" s="7">
        <f>C13*Parameters!$D$17+D13*Parameters!$D$18+E13*Parameters!$D$16+I13*Parameters!$D$25+G13*Parameters!$D$30</f>
        <v>300.0</v>
      </c>
      <c r="O13" s="7">
        <f>B13*Parameters!$D$19</f>
        <v>4000</v>
      </c>
      <c r="P13" s="7">
        <f>M13-N13-O13</f>
        <v>-2400.0</v>
      </c>
      <c r="Q13" s="7">
        <f>Parameters!$D$21</f>
        <v>1000</v>
      </c>
      <c r="R13" s="7">
        <f>P13-Q13</f>
        <v>-3400.0</v>
      </c>
      <c r="S13" s="7">
        <f>IF(A13&lt;1+Parameters!$D$31,0,INDEX($M$5:$M$40,A13-Parameters!$D$31))</f>
        <v>1900.0</v>
      </c>
      <c r="T13" s="7">
        <f>T12+M13-S13</f>
        <v>1900.0</v>
      </c>
      <c r="U13" s="7">
        <f>S13-N13-O13-Q13</f>
        <v>-3400.0</v>
      </c>
      <c r="V13" s="7">
        <f>V12+U13</f>
        <v>-32500.0</v>
      </c>
      <c r="W13" s="7">
        <f>(1-Parameters!$D$7)*(C13-E13)+(1-Parameters!$D$8)*(D13+E13)</f>
        <v>1000.0</v>
      </c>
      <c r="X13" s="7">
        <f>Parameters!$D$7*(C13-E13)+Parameters!$D$8*Parameters!$D$9*(D13+E13)</f>
        <v>0.0</v>
      </c>
      <c r="Y13" s="7">
        <f>Parameters!$D$8*(1-Parameters!$D$9)*(D13+E13)</f>
        <v>0.0</v>
      </c>
      <c r="Z13" s="7">
        <f>POWER(1/(1+Parameters!$D$32),A13-1)*(M13-N13)</f>
        <v>1477.5731559716994</v>
      </c>
    </row>
    <row r="14" spans="1:26">
      <c r="A14" s="7">
        <v>10</v>
      </c>
      <c r="B14" s="7">
        <f>Parameters!$D$20</f>
        <v>1000</v>
      </c>
      <c r="C14" s="7">
        <f>X13+B14</f>
        <v>1000.0</v>
      </c>
      <c r="D14" s="7">
        <f>Y13</f>
        <v>0.0</v>
      </c>
      <c r="E14" s="7">
        <f>Parameters!$D$6*C14</f>
        <v>100.0</v>
      </c>
      <c r="F14" s="7">
        <f>IF(Parameters!$D$5=1,E14,0)</f>
        <v>0.0</v>
      </c>
      <c r="G14" s="7">
        <f>Parameters!$D$27*G13+F14</f>
        <v>0.0</v>
      </c>
      <c r="H14" s="7">
        <f>IF(AND(Parameters!$D$5=1,Parameters!$D$26=1),SUMPRODUCT(--($A$5:A14&lt;A14),--(MOD(A14-$A$5:A14,Parameters!$D$28)=0),$F$5:F14,POWER(Parameters!$D$27,IF(A14-$A$5:A14=0,1,A14-$A$5:A14))),0)</f>
        <v>0.0</v>
      </c>
      <c r="I14" s="7">
        <f>Parameters!$D$23*I13+B14*Parameters!$D$22</f>
        <v>0.0</v>
      </c>
      <c r="J14" s="7">
        <f>E14*Parameters!$D$14*(1-Parameters!$D$15)</f>
        <v>1900.0</v>
      </c>
      <c r="K14" s="7">
        <f>H14*Parameters!$D$29</f>
        <v>0.0</v>
      </c>
      <c r="L14" s="7">
        <f>I14*Parameters!$D$24</f>
        <v>0.0</v>
      </c>
      <c r="M14" s="7">
        <f>J14+K14+L14</f>
        <v>1900.0</v>
      </c>
      <c r="N14" s="7">
        <f>C14*Parameters!$D$17+D14*Parameters!$D$18+E14*Parameters!$D$16+I14*Parameters!$D$25+G14*Parameters!$D$30</f>
        <v>300.0</v>
      </c>
      <c r="O14" s="7">
        <f>B14*Parameters!$D$19</f>
        <v>4000</v>
      </c>
      <c r="P14" s="7">
        <f>M14-N14-O14</f>
        <v>-2400.0</v>
      </c>
      <c r="Q14" s="7">
        <f>Parameters!$D$21</f>
        <v>1000</v>
      </c>
      <c r="R14" s="7">
        <f>P14-Q14</f>
        <v>-3400.0</v>
      </c>
      <c r="S14" s="7">
        <f>IF(A14&lt;1+Parameters!$D$31,0,INDEX($M$5:$M$40,A14-Parameters!$D$31))</f>
        <v>1900.0</v>
      </c>
      <c r="T14" s="7">
        <f>T13+M14-S14</f>
        <v>1900.0</v>
      </c>
      <c r="U14" s="7">
        <f>S14-N14-O14-Q14</f>
        <v>-3400.0</v>
      </c>
      <c r="V14" s="7">
        <f>V13+U14</f>
        <v>-35900.0</v>
      </c>
      <c r="W14" s="7">
        <f>(1-Parameters!$D$7)*(C14-E14)+(1-Parameters!$D$8)*(D14+E14)</f>
        <v>1000.0</v>
      </c>
      <c r="X14" s="7">
        <f>Parameters!$D$7*(C14-E14)+Parameters!$D$8*Parameters!$D$9*(D14+E14)</f>
        <v>0.0</v>
      </c>
      <c r="Y14" s="7">
        <f>Parameters!$D$8*(1-Parameters!$D$9)*(D14+E14)</f>
        <v>0.0</v>
      </c>
      <c r="Z14" s="7">
        <f>POWER(1/(1+Parameters!$D$32),A14-1)*(M14-N14)</f>
        <v>1462.9437187838607</v>
      </c>
    </row>
    <row r="15" spans="1:26">
      <c r="A15" s="7">
        <v>11</v>
      </c>
      <c r="B15" s="7">
        <f>Parameters!$D$20</f>
        <v>1000</v>
      </c>
      <c r="C15" s="7">
        <f>X14+B15</f>
        <v>1000.0</v>
      </c>
      <c r="D15" s="7">
        <f>Y14</f>
        <v>0.0</v>
      </c>
      <c r="E15" s="7">
        <f>Parameters!$D$6*C15</f>
        <v>100.0</v>
      </c>
      <c r="F15" s="7">
        <f>IF(Parameters!$D$5=1,E15,0)</f>
        <v>0.0</v>
      </c>
      <c r="G15" s="7">
        <f>Parameters!$D$27*G14+F15</f>
        <v>0.0</v>
      </c>
      <c r="H15" s="7">
        <f>IF(AND(Parameters!$D$5=1,Parameters!$D$26=1),SUMPRODUCT(--($A$5:A15&lt;A15),--(MOD(A15-$A$5:A15,Parameters!$D$28)=0),$F$5:F15,POWER(Parameters!$D$27,IF(A15-$A$5:A15=0,1,A15-$A$5:A15))),0)</f>
        <v>0.0</v>
      </c>
      <c r="I15" s="7">
        <f>Parameters!$D$23*I14+B15*Parameters!$D$22</f>
        <v>0.0</v>
      </c>
      <c r="J15" s="7">
        <f>E15*Parameters!$D$14*(1-Parameters!$D$15)</f>
        <v>1900.0</v>
      </c>
      <c r="K15" s="7">
        <f>H15*Parameters!$D$29</f>
        <v>0.0</v>
      </c>
      <c r="L15" s="7">
        <f>I15*Parameters!$D$24</f>
        <v>0.0</v>
      </c>
      <c r="M15" s="7">
        <f>J15+K15+L15</f>
        <v>1900.0</v>
      </c>
      <c r="N15" s="7">
        <f>C15*Parameters!$D$17+D15*Parameters!$D$18+E15*Parameters!$D$16+I15*Parameters!$D$25+G15*Parameters!$D$30</f>
        <v>300.0</v>
      </c>
      <c r="O15" s="7">
        <f>B15*Parameters!$D$19</f>
        <v>4000</v>
      </c>
      <c r="P15" s="7">
        <f>M15-N15-O15</f>
        <v>-2400.0</v>
      </c>
      <c r="Q15" s="7">
        <f>Parameters!$D$21</f>
        <v>1000</v>
      </c>
      <c r="R15" s="7">
        <f>P15-Q15</f>
        <v>-3400.0</v>
      </c>
      <c r="S15" s="7">
        <f>IF(A15&lt;1+Parameters!$D$31,0,INDEX($M$5:$M$40,A15-Parameters!$D$31))</f>
        <v>1900.0</v>
      </c>
      <c r="T15" s="7">
        <f>T14+M15-S15</f>
        <v>1900.0</v>
      </c>
      <c r="U15" s="7">
        <f>S15-N15-O15-Q15</f>
        <v>-3400.0</v>
      </c>
      <c r="V15" s="7">
        <f>V14+U15</f>
        <v>-39300.0</v>
      </c>
      <c r="W15" s="7">
        <f>(1-Parameters!$D$7)*(C15-E15)+(1-Parameters!$D$8)*(D15+E15)</f>
        <v>1000.0</v>
      </c>
      <c r="X15" s="7">
        <f>Parameters!$D$7*(C15-E15)+Parameters!$D$8*Parameters!$D$9*(D15+E15)</f>
        <v>0.0</v>
      </c>
      <c r="Y15" s="7">
        <f>Parameters!$D$8*(1-Parameters!$D$9)*(D15+E15)</f>
        <v>0.0</v>
      </c>
      <c r="Z15" s="7">
        <f>POWER(1/(1+Parameters!$D$32),A15-1)*(M15-N15)</f>
        <v>1448.4591275087732</v>
      </c>
    </row>
    <row r="16" spans="1:26">
      <c r="A16" s="7">
        <v>12</v>
      </c>
      <c r="B16" s="7">
        <f>Parameters!$D$20</f>
        <v>1000</v>
      </c>
      <c r="C16" s="7">
        <f>X15+B16</f>
        <v>1000.0</v>
      </c>
      <c r="D16" s="7">
        <f>Y15</f>
        <v>0.0</v>
      </c>
      <c r="E16" s="7">
        <f>Parameters!$D$6*C16</f>
        <v>100.0</v>
      </c>
      <c r="F16" s="7">
        <f>IF(Parameters!$D$5=1,E16,0)</f>
        <v>0.0</v>
      </c>
      <c r="G16" s="7">
        <f>Parameters!$D$27*G15+F16</f>
        <v>0.0</v>
      </c>
      <c r="H16" s="7">
        <f>IF(AND(Parameters!$D$5=1,Parameters!$D$26=1),SUMPRODUCT(--($A$5:A16&lt;A16),--(MOD(A16-$A$5:A16,Parameters!$D$28)=0),$F$5:F16,POWER(Parameters!$D$27,IF(A16-$A$5:A16=0,1,A16-$A$5:A16))),0)</f>
        <v>0.0</v>
      </c>
      <c r="I16" s="7">
        <f>Parameters!$D$23*I15+B16*Parameters!$D$22</f>
        <v>0.0</v>
      </c>
      <c r="J16" s="7">
        <f>E16*Parameters!$D$14*(1-Parameters!$D$15)</f>
        <v>1900.0</v>
      </c>
      <c r="K16" s="7">
        <f>H16*Parameters!$D$29</f>
        <v>0.0</v>
      </c>
      <c r="L16" s="7">
        <f>I16*Parameters!$D$24</f>
        <v>0.0</v>
      </c>
      <c r="M16" s="7">
        <f>J16+K16+L16</f>
        <v>1900.0</v>
      </c>
      <c r="N16" s="7">
        <f>C16*Parameters!$D$17+D16*Parameters!$D$18+E16*Parameters!$D$16+I16*Parameters!$D$25+G16*Parameters!$D$30</f>
        <v>300.0</v>
      </c>
      <c r="O16" s="7">
        <f>B16*Parameters!$D$19</f>
        <v>4000</v>
      </c>
      <c r="P16" s="7">
        <f>M16-N16-O16</f>
        <v>-2400.0</v>
      </c>
      <c r="Q16" s="7">
        <f>Parameters!$D$21</f>
        <v>1000</v>
      </c>
      <c r="R16" s="7">
        <f>P16-Q16</f>
        <v>-3400.0</v>
      </c>
      <c r="S16" s="7">
        <f>IF(A16&lt;1+Parameters!$D$31,0,INDEX($M$5:$M$40,A16-Parameters!$D$31))</f>
        <v>1900.0</v>
      </c>
      <c r="T16" s="7">
        <f>T15+M16-S16</f>
        <v>1900.0</v>
      </c>
      <c r="U16" s="7">
        <f>S16-N16-O16-Q16</f>
        <v>-3400.0</v>
      </c>
      <c r="V16" s="7">
        <f>V15+U16</f>
        <v>-42700.0</v>
      </c>
      <c r="W16" s="7">
        <f>(1-Parameters!$D$7)*(C16-E16)+(1-Parameters!$D$8)*(D16+E16)</f>
        <v>1000.0</v>
      </c>
      <c r="X16" s="7">
        <f>Parameters!$D$7*(C16-E16)+Parameters!$D$8*Parameters!$D$9*(D16+E16)</f>
        <v>0.0</v>
      </c>
      <c r="Y16" s="7">
        <f>Parameters!$D$8*(1-Parameters!$D$9)*(D16+E16)</f>
        <v>0.0</v>
      </c>
      <c r="Z16" s="7">
        <f>POWER(1/(1+Parameters!$D$32),A16-1)*(M16-N16)</f>
        <v>1434.1179480284882</v>
      </c>
    </row>
    <row r="17" spans="1:26">
      <c r="A17" s="7">
        <v>13</v>
      </c>
      <c r="B17" s="7">
        <f>Parameters!$D$20</f>
        <v>1000</v>
      </c>
      <c r="C17" s="7">
        <f>X16+B17</f>
        <v>1000.0</v>
      </c>
      <c r="D17" s="7">
        <f>Y16</f>
        <v>0.0</v>
      </c>
      <c r="E17" s="7">
        <f>Parameters!$D$6*C17</f>
        <v>100.0</v>
      </c>
      <c r="F17" s="7">
        <f>IF(Parameters!$D$5=1,E17,0)</f>
        <v>0.0</v>
      </c>
      <c r="G17" s="7">
        <f>Parameters!$D$27*G16+F17</f>
        <v>0.0</v>
      </c>
      <c r="H17" s="7">
        <f>IF(AND(Parameters!$D$5=1,Parameters!$D$26=1),SUMPRODUCT(--($A$5:A17&lt;A17),--(MOD(A17-$A$5:A17,Parameters!$D$28)=0),$F$5:F17,POWER(Parameters!$D$27,IF(A17-$A$5:A17=0,1,A17-$A$5:A17))),0)</f>
        <v>0.0</v>
      </c>
      <c r="I17" s="7">
        <f>Parameters!$D$23*I16+B17*Parameters!$D$22</f>
        <v>0.0</v>
      </c>
      <c r="J17" s="7">
        <f>E17*Parameters!$D$14*(1-Parameters!$D$15)</f>
        <v>1900.0</v>
      </c>
      <c r="K17" s="7">
        <f>H17*Parameters!$D$29</f>
        <v>0.0</v>
      </c>
      <c r="L17" s="7">
        <f>I17*Parameters!$D$24</f>
        <v>0.0</v>
      </c>
      <c r="M17" s="7">
        <f>J17+K17+L17</f>
        <v>1900.0</v>
      </c>
      <c r="N17" s="7">
        <f>C17*Parameters!$D$17+D17*Parameters!$D$18+E17*Parameters!$D$16+I17*Parameters!$D$25+G17*Parameters!$D$30</f>
        <v>300.0</v>
      </c>
      <c r="O17" s="7">
        <f>B17*Parameters!$D$19</f>
        <v>4000</v>
      </c>
      <c r="P17" s="7">
        <f>M17-N17-O17</f>
        <v>-2400.0</v>
      </c>
      <c r="Q17" s="7">
        <f>Parameters!$D$21</f>
        <v>1000</v>
      </c>
      <c r="R17" s="7">
        <f>P17-Q17</f>
        <v>-3400.0</v>
      </c>
      <c r="S17" s="7">
        <f>IF(A17&lt;1+Parameters!$D$31,0,INDEX($M$5:$M$40,A17-Parameters!$D$31))</f>
        <v>1900.0</v>
      </c>
      <c r="T17" s="7">
        <f>T16+M17-S17</f>
        <v>1900.0</v>
      </c>
      <c r="U17" s="7">
        <f>S17-N17-O17-Q17</f>
        <v>-3400.0</v>
      </c>
      <c r="V17" s="7">
        <f>V16+U17</f>
        <v>-46100.0</v>
      </c>
      <c r="W17" s="7">
        <f>(1-Parameters!$D$7)*(C17-E17)+(1-Parameters!$D$8)*(D17+E17)</f>
        <v>1000.0</v>
      </c>
      <c r="X17" s="7">
        <f>Parameters!$D$7*(C17-E17)+Parameters!$D$8*Parameters!$D$9*(D17+E17)</f>
        <v>0.0</v>
      </c>
      <c r="Y17" s="7">
        <f>Parameters!$D$8*(1-Parameters!$D$9)*(D17+E17)</f>
        <v>0.0</v>
      </c>
      <c r="Z17" s="7">
        <f>POWER(1/(1+Parameters!$D$32),A17-1)*(M17-N17)</f>
        <v>1419.9187604242456</v>
      </c>
    </row>
    <row r="18" spans="1:26">
      <c r="A18" s="7">
        <v>14</v>
      </c>
      <c r="B18" s="7">
        <f>Parameters!$D$20</f>
        <v>1000</v>
      </c>
      <c r="C18" s="7">
        <f>X17+B18</f>
        <v>1000.0</v>
      </c>
      <c r="D18" s="7">
        <f>Y17</f>
        <v>0.0</v>
      </c>
      <c r="E18" s="7">
        <f>Parameters!$D$6*C18</f>
        <v>100.0</v>
      </c>
      <c r="F18" s="7">
        <f>IF(Parameters!$D$5=1,E18,0)</f>
        <v>0.0</v>
      </c>
      <c r="G18" s="7">
        <f>Parameters!$D$27*G17+F18</f>
        <v>0.0</v>
      </c>
      <c r="H18" s="7">
        <f>IF(AND(Parameters!$D$5=1,Parameters!$D$26=1),SUMPRODUCT(--($A$5:A18&lt;A18),--(MOD(A18-$A$5:A18,Parameters!$D$28)=0),$F$5:F18,POWER(Parameters!$D$27,IF(A18-$A$5:A18=0,1,A18-$A$5:A18))),0)</f>
        <v>0.0</v>
      </c>
      <c r="I18" s="7">
        <f>Parameters!$D$23*I17+B18*Parameters!$D$22</f>
        <v>0.0</v>
      </c>
      <c r="J18" s="7">
        <f>E18*Parameters!$D$14*(1-Parameters!$D$15)</f>
        <v>1900.0</v>
      </c>
      <c r="K18" s="7">
        <f>H18*Parameters!$D$29</f>
        <v>0.0</v>
      </c>
      <c r="L18" s="7">
        <f>I18*Parameters!$D$24</f>
        <v>0.0</v>
      </c>
      <c r="M18" s="7">
        <f>J18+K18+L18</f>
        <v>1900.0</v>
      </c>
      <c r="N18" s="7">
        <f>C18*Parameters!$D$17+D18*Parameters!$D$18+E18*Parameters!$D$16+I18*Parameters!$D$25+G18*Parameters!$D$30</f>
        <v>300.0</v>
      </c>
      <c r="O18" s="7">
        <f>B18*Parameters!$D$19</f>
        <v>4000</v>
      </c>
      <c r="P18" s="7">
        <f>M18-N18-O18</f>
        <v>-2400.0</v>
      </c>
      <c r="Q18" s="7">
        <f>Parameters!$D$21</f>
        <v>1000</v>
      </c>
      <c r="R18" s="7">
        <f>P18-Q18</f>
        <v>-3400.0</v>
      </c>
      <c r="S18" s="7">
        <f>IF(A18&lt;1+Parameters!$D$31,0,INDEX($M$5:$M$40,A18-Parameters!$D$31))</f>
        <v>1900.0</v>
      </c>
      <c r="T18" s="7">
        <f>T17+M18-S18</f>
        <v>1900.0</v>
      </c>
      <c r="U18" s="7">
        <f>S18-N18-O18-Q18</f>
        <v>-3400.0</v>
      </c>
      <c r="V18" s="7">
        <f>V17+U18</f>
        <v>-49500.0</v>
      </c>
      <c r="W18" s="7">
        <f>(1-Parameters!$D$7)*(C18-E18)+(1-Parameters!$D$8)*(D18+E18)</f>
        <v>1000.0</v>
      </c>
      <c r="X18" s="7">
        <f>Parameters!$D$7*(C18-E18)+Parameters!$D$8*Parameters!$D$9*(D18+E18)</f>
        <v>0.0</v>
      </c>
      <c r="Y18" s="7">
        <f>Parameters!$D$8*(1-Parameters!$D$9)*(D18+E18)</f>
        <v>0.0</v>
      </c>
      <c r="Z18" s="7">
        <f>POWER(1/(1+Parameters!$D$32),A18-1)*(M18-N18)</f>
        <v>1405.860158835887</v>
      </c>
    </row>
    <row r="19" spans="1:26">
      <c r="A19" s="7">
        <v>15</v>
      </c>
      <c r="B19" s="7">
        <f>Parameters!$D$20</f>
        <v>1000</v>
      </c>
      <c r="C19" s="7">
        <f>X18+B19</f>
        <v>1000.0</v>
      </c>
      <c r="D19" s="7">
        <f>Y18</f>
        <v>0.0</v>
      </c>
      <c r="E19" s="7">
        <f>Parameters!$D$6*C19</f>
        <v>100.0</v>
      </c>
      <c r="F19" s="7">
        <f>IF(Parameters!$D$5=1,E19,0)</f>
        <v>0.0</v>
      </c>
      <c r="G19" s="7">
        <f>Parameters!$D$27*G18+F19</f>
        <v>0.0</v>
      </c>
      <c r="H19" s="7">
        <f>IF(AND(Parameters!$D$5=1,Parameters!$D$26=1),SUMPRODUCT(--($A$5:A19&lt;A19),--(MOD(A19-$A$5:A19,Parameters!$D$28)=0),$F$5:F19,POWER(Parameters!$D$27,IF(A19-$A$5:A19=0,1,A19-$A$5:A19))),0)</f>
        <v>0.0</v>
      </c>
      <c r="I19" s="7">
        <f>Parameters!$D$23*I18+B19*Parameters!$D$22</f>
        <v>0.0</v>
      </c>
      <c r="J19" s="7">
        <f>E19*Parameters!$D$14*(1-Parameters!$D$15)</f>
        <v>1900.0</v>
      </c>
      <c r="K19" s="7">
        <f>H19*Parameters!$D$29</f>
        <v>0.0</v>
      </c>
      <c r="L19" s="7">
        <f>I19*Parameters!$D$24</f>
        <v>0.0</v>
      </c>
      <c r="M19" s="7">
        <f>J19+K19+L19</f>
        <v>1900.0</v>
      </c>
      <c r="N19" s="7">
        <f>C19*Parameters!$D$17+D19*Parameters!$D$18+E19*Parameters!$D$16+I19*Parameters!$D$25+G19*Parameters!$D$30</f>
        <v>300.0</v>
      </c>
      <c r="O19" s="7">
        <f>B19*Parameters!$D$19</f>
        <v>4000</v>
      </c>
      <c r="P19" s="7">
        <f>M19-N19-O19</f>
        <v>-2400.0</v>
      </c>
      <c r="Q19" s="7">
        <f>Parameters!$D$21</f>
        <v>1000</v>
      </c>
      <c r="R19" s="7">
        <f>P19-Q19</f>
        <v>-3400.0</v>
      </c>
      <c r="S19" s="7">
        <f>IF(A19&lt;1+Parameters!$D$31,0,INDEX($M$5:$M$40,A19-Parameters!$D$31))</f>
        <v>1900.0</v>
      </c>
      <c r="T19" s="7">
        <f>T18+M19-S19</f>
        <v>1900.0</v>
      </c>
      <c r="U19" s="7">
        <f>S19-N19-O19-Q19</f>
        <v>-3400.0</v>
      </c>
      <c r="V19" s="7">
        <f>V18+U19</f>
        <v>-52900.0</v>
      </c>
      <c r="W19" s="7">
        <f>(1-Parameters!$D$7)*(C19-E19)+(1-Parameters!$D$8)*(D19+E19)</f>
        <v>1000.0</v>
      </c>
      <c r="X19" s="7">
        <f>Parameters!$D$7*(C19-E19)+Parameters!$D$8*Parameters!$D$9*(D19+E19)</f>
        <v>0.0</v>
      </c>
      <c r="Y19" s="7">
        <f>Parameters!$D$8*(1-Parameters!$D$9)*(D19+E19)</f>
        <v>0.0</v>
      </c>
      <c r="Z19" s="7">
        <f>POWER(1/(1+Parameters!$D$32),A19-1)*(M19-N19)</f>
        <v>1391.9407513226602</v>
      </c>
    </row>
    <row r="20" spans="1:26">
      <c r="A20" s="7">
        <v>16</v>
      </c>
      <c r="B20" s="7">
        <f>Parameters!$D$20</f>
        <v>1000</v>
      </c>
      <c r="C20" s="7">
        <f>X19+B20</f>
        <v>1000.0</v>
      </c>
      <c r="D20" s="7">
        <f>Y19</f>
        <v>0.0</v>
      </c>
      <c r="E20" s="7">
        <f>Parameters!$D$6*C20</f>
        <v>100.0</v>
      </c>
      <c r="F20" s="7">
        <f>IF(Parameters!$D$5=1,E20,0)</f>
        <v>0.0</v>
      </c>
      <c r="G20" s="7">
        <f>Parameters!$D$27*G19+F20</f>
        <v>0.0</v>
      </c>
      <c r="H20" s="7">
        <f>IF(AND(Parameters!$D$5=1,Parameters!$D$26=1),SUMPRODUCT(--($A$5:A20&lt;A20),--(MOD(A20-$A$5:A20,Parameters!$D$28)=0),$F$5:F20,POWER(Parameters!$D$27,IF(A20-$A$5:A20=0,1,A20-$A$5:A20))),0)</f>
        <v>0.0</v>
      </c>
      <c r="I20" s="7">
        <f>Parameters!$D$23*I19+B20*Parameters!$D$22</f>
        <v>0.0</v>
      </c>
      <c r="J20" s="7">
        <f>E20*Parameters!$D$14*(1-Parameters!$D$15)</f>
        <v>1900.0</v>
      </c>
      <c r="K20" s="7">
        <f>H20*Parameters!$D$29</f>
        <v>0.0</v>
      </c>
      <c r="L20" s="7">
        <f>I20*Parameters!$D$24</f>
        <v>0.0</v>
      </c>
      <c r="M20" s="7">
        <f>J20+K20+L20</f>
        <v>1900.0</v>
      </c>
      <c r="N20" s="7">
        <f>C20*Parameters!$D$17+D20*Parameters!$D$18+E20*Parameters!$D$16+I20*Parameters!$D$25+G20*Parameters!$D$30</f>
        <v>300.0</v>
      </c>
      <c r="O20" s="7">
        <f>B20*Parameters!$D$19</f>
        <v>4000</v>
      </c>
      <c r="P20" s="7">
        <f>M20-N20-O20</f>
        <v>-2400.0</v>
      </c>
      <c r="Q20" s="7">
        <f>Parameters!$D$21</f>
        <v>1000</v>
      </c>
      <c r="R20" s="7">
        <f>P20-Q20</f>
        <v>-3400.0</v>
      </c>
      <c r="S20" s="7">
        <f>IF(A20&lt;1+Parameters!$D$31,0,INDEX($M$5:$M$40,A20-Parameters!$D$31))</f>
        <v>1900.0</v>
      </c>
      <c r="T20" s="7">
        <f>T19+M20-S20</f>
        <v>1900.0</v>
      </c>
      <c r="U20" s="7">
        <f>S20-N20-O20-Q20</f>
        <v>-3400.0</v>
      </c>
      <c r="V20" s="7">
        <f>V19+U20</f>
        <v>-56300.0</v>
      </c>
      <c r="W20" s="7">
        <f>(1-Parameters!$D$7)*(C20-E20)+(1-Parameters!$D$8)*(D20+E20)</f>
        <v>1000.0</v>
      </c>
      <c r="X20" s="7">
        <f>Parameters!$D$7*(C20-E20)+Parameters!$D$8*Parameters!$D$9*(D20+E20)</f>
        <v>0.0</v>
      </c>
      <c r="Y20" s="7">
        <f>Parameters!$D$8*(1-Parameters!$D$9)*(D20+E20)</f>
        <v>0.0</v>
      </c>
      <c r="Z20" s="7">
        <f>POWER(1/(1+Parameters!$D$32),A20-1)*(M20-N20)</f>
        <v>1378.1591597254062</v>
      </c>
    </row>
    <row r="21" spans="1:26">
      <c r="A21" s="7">
        <v>17</v>
      </c>
      <c r="B21" s="7">
        <f>Parameters!$D$20</f>
        <v>1000</v>
      </c>
      <c r="C21" s="7">
        <f>X20+B21</f>
        <v>1000.0</v>
      </c>
      <c r="D21" s="7">
        <f>Y20</f>
        <v>0.0</v>
      </c>
      <c r="E21" s="7">
        <f>Parameters!$D$6*C21</f>
        <v>100.0</v>
      </c>
      <c r="F21" s="7">
        <f>IF(Parameters!$D$5=1,E21,0)</f>
        <v>0.0</v>
      </c>
      <c r="G21" s="7">
        <f>Parameters!$D$27*G20+F21</f>
        <v>0.0</v>
      </c>
      <c r="H21" s="7">
        <f>IF(AND(Parameters!$D$5=1,Parameters!$D$26=1),SUMPRODUCT(--($A$5:A21&lt;A21),--(MOD(A21-$A$5:A21,Parameters!$D$28)=0),$F$5:F21,POWER(Parameters!$D$27,IF(A21-$A$5:A21=0,1,A21-$A$5:A21))),0)</f>
        <v>0.0</v>
      </c>
      <c r="I21" s="7">
        <f>Parameters!$D$23*I20+B21*Parameters!$D$22</f>
        <v>0.0</v>
      </c>
      <c r="J21" s="7">
        <f>E21*Parameters!$D$14*(1-Parameters!$D$15)</f>
        <v>1900.0</v>
      </c>
      <c r="K21" s="7">
        <f>H21*Parameters!$D$29</f>
        <v>0.0</v>
      </c>
      <c r="L21" s="7">
        <f>I21*Parameters!$D$24</f>
        <v>0.0</v>
      </c>
      <c r="M21" s="7">
        <f>J21+K21+L21</f>
        <v>1900.0</v>
      </c>
      <c r="N21" s="7">
        <f>C21*Parameters!$D$17+D21*Parameters!$D$18+E21*Parameters!$D$16+I21*Parameters!$D$25+G21*Parameters!$D$30</f>
        <v>300.0</v>
      </c>
      <c r="O21" s="7">
        <f>B21*Parameters!$D$19</f>
        <v>4000</v>
      </c>
      <c r="P21" s="7">
        <f>M21-N21-O21</f>
        <v>-2400.0</v>
      </c>
      <c r="Q21" s="7">
        <f>Parameters!$D$21</f>
        <v>1000</v>
      </c>
      <c r="R21" s="7">
        <f>P21-Q21</f>
        <v>-3400.0</v>
      </c>
      <c r="S21" s="7">
        <f>IF(A21&lt;1+Parameters!$D$31,0,INDEX($M$5:$M$40,A21-Parameters!$D$31))</f>
        <v>1900.0</v>
      </c>
      <c r="T21" s="7">
        <f>T20+M21-S21</f>
        <v>1900.0</v>
      </c>
      <c r="U21" s="7">
        <f>S21-N21-O21-Q21</f>
        <v>-3400.0</v>
      </c>
      <c r="V21" s="7">
        <f>V20+U21</f>
        <v>-59700.0</v>
      </c>
      <c r="W21" s="7">
        <f>(1-Parameters!$D$7)*(C21-E21)+(1-Parameters!$D$8)*(D21+E21)</f>
        <v>1000.0</v>
      </c>
      <c r="X21" s="7">
        <f>Parameters!$D$7*(C21-E21)+Parameters!$D$8*Parameters!$D$9*(D21+E21)</f>
        <v>0.0</v>
      </c>
      <c r="Y21" s="7">
        <f>Parameters!$D$8*(1-Parameters!$D$9)*(D21+E21)</f>
        <v>0.0</v>
      </c>
      <c r="Z21" s="7">
        <f>POWER(1/(1+Parameters!$D$32),A21-1)*(M21-N21)</f>
        <v>1364.514019530105</v>
      </c>
    </row>
    <row r="22" spans="1:26">
      <c r="A22" s="7">
        <v>18</v>
      </c>
      <c r="B22" s="7">
        <f>Parameters!$D$20</f>
        <v>1000</v>
      </c>
      <c r="C22" s="7">
        <f>X21+B22</f>
        <v>1000.0</v>
      </c>
      <c r="D22" s="7">
        <f>Y21</f>
        <v>0.0</v>
      </c>
      <c r="E22" s="7">
        <f>Parameters!$D$6*C22</f>
        <v>100.0</v>
      </c>
      <c r="F22" s="7">
        <f>IF(Parameters!$D$5=1,E22,0)</f>
        <v>0.0</v>
      </c>
      <c r="G22" s="7">
        <f>Parameters!$D$27*G21+F22</f>
        <v>0.0</v>
      </c>
      <c r="H22" s="7">
        <f>IF(AND(Parameters!$D$5=1,Parameters!$D$26=1),SUMPRODUCT(--($A$5:A22&lt;A22),--(MOD(A22-$A$5:A22,Parameters!$D$28)=0),$F$5:F22,POWER(Parameters!$D$27,IF(A22-$A$5:A22=0,1,A22-$A$5:A22))),0)</f>
        <v>0.0</v>
      </c>
      <c r="I22" s="7">
        <f>Parameters!$D$23*I21+B22*Parameters!$D$22</f>
        <v>0.0</v>
      </c>
      <c r="J22" s="7">
        <f>E22*Parameters!$D$14*(1-Parameters!$D$15)</f>
        <v>1900.0</v>
      </c>
      <c r="K22" s="7">
        <f>H22*Parameters!$D$29</f>
        <v>0.0</v>
      </c>
      <c r="L22" s="7">
        <f>I22*Parameters!$D$24</f>
        <v>0.0</v>
      </c>
      <c r="M22" s="7">
        <f>J22+K22+L22</f>
        <v>1900.0</v>
      </c>
      <c r="N22" s="7">
        <f>C22*Parameters!$D$17+D22*Parameters!$D$18+E22*Parameters!$D$16+I22*Parameters!$D$25+G22*Parameters!$D$30</f>
        <v>300.0</v>
      </c>
      <c r="O22" s="7">
        <f>B22*Parameters!$D$19</f>
        <v>4000</v>
      </c>
      <c r="P22" s="7">
        <f>M22-N22-O22</f>
        <v>-2400.0</v>
      </c>
      <c r="Q22" s="7">
        <f>Parameters!$D$21</f>
        <v>1000</v>
      </c>
      <c r="R22" s="7">
        <f>P22-Q22</f>
        <v>-3400.0</v>
      </c>
      <c r="S22" s="7">
        <f>IF(A22&lt;1+Parameters!$D$31,0,INDEX($M$5:$M$40,A22-Parameters!$D$31))</f>
        <v>1900.0</v>
      </c>
      <c r="T22" s="7">
        <f>T21+M22-S22</f>
        <v>1900.0</v>
      </c>
      <c r="U22" s="7">
        <f>S22-N22-O22-Q22</f>
        <v>-3400.0</v>
      </c>
      <c r="V22" s="7">
        <f>V21+U22</f>
        <v>-63100.0</v>
      </c>
      <c r="W22" s="7">
        <f>(1-Parameters!$D$7)*(C22-E22)+(1-Parameters!$D$8)*(D22+E22)</f>
        <v>1000.0</v>
      </c>
      <c r="X22" s="7">
        <f>Parameters!$D$7*(C22-E22)+Parameters!$D$8*Parameters!$D$9*(D22+E22)</f>
        <v>0.0</v>
      </c>
      <c r="Y22" s="7">
        <f>Parameters!$D$8*(1-Parameters!$D$9)*(D22+E22)</f>
        <v>0.0</v>
      </c>
      <c r="Z22" s="7">
        <f>POWER(1/(1+Parameters!$D$32),A22-1)*(M22-N22)</f>
        <v>1351.0039797327772</v>
      </c>
    </row>
    <row r="23" spans="1:26">
      <c r="A23" s="7">
        <v>19</v>
      </c>
      <c r="B23" s="7">
        <f>Parameters!$D$20</f>
        <v>1000</v>
      </c>
      <c r="C23" s="7">
        <f>X22+B23</f>
        <v>1000.0</v>
      </c>
      <c r="D23" s="7">
        <f>Y22</f>
        <v>0.0</v>
      </c>
      <c r="E23" s="7">
        <f>Parameters!$D$6*C23</f>
        <v>100.0</v>
      </c>
      <c r="F23" s="7">
        <f>IF(Parameters!$D$5=1,E23,0)</f>
        <v>0.0</v>
      </c>
      <c r="G23" s="7">
        <f>Parameters!$D$27*G22+F23</f>
        <v>0.0</v>
      </c>
      <c r="H23" s="7">
        <f>IF(AND(Parameters!$D$5=1,Parameters!$D$26=1),SUMPRODUCT(--($A$5:A23&lt;A23),--(MOD(A23-$A$5:A23,Parameters!$D$28)=0),$F$5:F23,POWER(Parameters!$D$27,IF(A23-$A$5:A23=0,1,A23-$A$5:A23))),0)</f>
        <v>0.0</v>
      </c>
      <c r="I23" s="7">
        <f>Parameters!$D$23*I22+B23*Parameters!$D$22</f>
        <v>0.0</v>
      </c>
      <c r="J23" s="7">
        <f>E23*Parameters!$D$14*(1-Parameters!$D$15)</f>
        <v>1900.0</v>
      </c>
      <c r="K23" s="7">
        <f>H23*Parameters!$D$29</f>
        <v>0.0</v>
      </c>
      <c r="L23" s="7">
        <f>I23*Parameters!$D$24</f>
        <v>0.0</v>
      </c>
      <c r="M23" s="7">
        <f>J23+K23+L23</f>
        <v>1900.0</v>
      </c>
      <c r="N23" s="7">
        <f>C23*Parameters!$D$17+D23*Parameters!$D$18+E23*Parameters!$D$16+I23*Parameters!$D$25+G23*Parameters!$D$30</f>
        <v>300.0</v>
      </c>
      <c r="O23" s="7">
        <f>B23*Parameters!$D$19</f>
        <v>4000</v>
      </c>
      <c r="P23" s="7">
        <f>M23-N23-O23</f>
        <v>-2400.0</v>
      </c>
      <c r="Q23" s="7">
        <f>Parameters!$D$21</f>
        <v>1000</v>
      </c>
      <c r="R23" s="7">
        <f>P23-Q23</f>
        <v>-3400.0</v>
      </c>
      <c r="S23" s="7">
        <f>IF(A23&lt;1+Parameters!$D$31,0,INDEX($M$5:$M$40,A23-Parameters!$D$31))</f>
        <v>1900.0</v>
      </c>
      <c r="T23" s="7">
        <f>T22+M23-S23</f>
        <v>1900.0</v>
      </c>
      <c r="U23" s="7">
        <f>S23-N23-O23-Q23</f>
        <v>-3400.0</v>
      </c>
      <c r="V23" s="7">
        <f>V22+U23</f>
        <v>-66500.0</v>
      </c>
      <c r="W23" s="7">
        <f>(1-Parameters!$D$7)*(C23-E23)+(1-Parameters!$D$8)*(D23+E23)</f>
        <v>1000.0</v>
      </c>
      <c r="X23" s="7">
        <f>Parameters!$D$7*(C23-E23)+Parameters!$D$8*Parameters!$D$9*(D23+E23)</f>
        <v>0.0</v>
      </c>
      <c r="Y23" s="7">
        <f>Parameters!$D$8*(1-Parameters!$D$9)*(D23+E23)</f>
        <v>0.0</v>
      </c>
      <c r="Z23" s="7">
        <f>POWER(1/(1+Parameters!$D$32),A23-1)*(M23-N23)</f>
        <v>1337.6277027057201</v>
      </c>
    </row>
    <row r="24" spans="1:26">
      <c r="A24" s="7">
        <v>20</v>
      </c>
      <c r="B24" s="7">
        <f>Parameters!$D$20</f>
        <v>1000</v>
      </c>
      <c r="C24" s="7">
        <f>X23+B24</f>
        <v>1000.0</v>
      </c>
      <c r="D24" s="7">
        <f>Y23</f>
        <v>0.0</v>
      </c>
      <c r="E24" s="7">
        <f>Parameters!$D$6*C24</f>
        <v>100.0</v>
      </c>
      <c r="F24" s="7">
        <f>IF(Parameters!$D$5=1,E24,0)</f>
        <v>0.0</v>
      </c>
      <c r="G24" s="7">
        <f>Parameters!$D$27*G23+F24</f>
        <v>0.0</v>
      </c>
      <c r="H24" s="7">
        <f>IF(AND(Parameters!$D$5=1,Parameters!$D$26=1),SUMPRODUCT(--($A$5:A24&lt;A24),--(MOD(A24-$A$5:A24,Parameters!$D$28)=0),$F$5:F24,POWER(Parameters!$D$27,IF(A24-$A$5:A24=0,1,A24-$A$5:A24))),0)</f>
        <v>0.0</v>
      </c>
      <c r="I24" s="7">
        <f>Parameters!$D$23*I23+B24*Parameters!$D$22</f>
        <v>0.0</v>
      </c>
      <c r="J24" s="7">
        <f>E24*Parameters!$D$14*(1-Parameters!$D$15)</f>
        <v>1900.0</v>
      </c>
      <c r="K24" s="7">
        <f>H24*Parameters!$D$29</f>
        <v>0.0</v>
      </c>
      <c r="L24" s="7">
        <f>I24*Parameters!$D$24</f>
        <v>0.0</v>
      </c>
      <c r="M24" s="7">
        <f>J24+K24+L24</f>
        <v>1900.0</v>
      </c>
      <c r="N24" s="7">
        <f>C24*Parameters!$D$17+D24*Parameters!$D$18+E24*Parameters!$D$16+I24*Parameters!$D$25+G24*Parameters!$D$30</f>
        <v>300.0</v>
      </c>
      <c r="O24" s="7">
        <f>B24*Parameters!$D$19</f>
        <v>4000</v>
      </c>
      <c r="P24" s="7">
        <f>M24-N24-O24</f>
        <v>-2400.0</v>
      </c>
      <c r="Q24" s="7">
        <f>Parameters!$D$21</f>
        <v>1000</v>
      </c>
      <c r="R24" s="7">
        <f>P24-Q24</f>
        <v>-3400.0</v>
      </c>
      <c r="S24" s="7">
        <f>IF(A24&lt;1+Parameters!$D$31,0,INDEX($M$5:$M$40,A24-Parameters!$D$31))</f>
        <v>1900.0</v>
      </c>
      <c r="T24" s="7">
        <f>T23+M24-S24</f>
        <v>1900.0</v>
      </c>
      <c r="U24" s="7">
        <f>S24-N24-O24-Q24</f>
        <v>-3400.0</v>
      </c>
      <c r="V24" s="7">
        <f>V23+U24</f>
        <v>-69900.0</v>
      </c>
      <c r="W24" s="7">
        <f>(1-Parameters!$D$7)*(C24-E24)+(1-Parameters!$D$8)*(D24+E24)</f>
        <v>1000.0</v>
      </c>
      <c r="X24" s="7">
        <f>Parameters!$D$7*(C24-E24)+Parameters!$D$8*Parameters!$D$9*(D24+E24)</f>
        <v>0.0</v>
      </c>
      <c r="Y24" s="7">
        <f>Parameters!$D$8*(1-Parameters!$D$9)*(D24+E24)</f>
        <v>0.0</v>
      </c>
      <c r="Z24" s="7">
        <f>POWER(1/(1+Parameters!$D$32),A24-1)*(M24-N24)</f>
        <v>1324.3838640650692</v>
      </c>
    </row>
    <row r="25" spans="1:26">
      <c r="A25" s="7">
        <v>21</v>
      </c>
      <c r="B25" s="7">
        <f>Parameters!$D$20</f>
        <v>1000</v>
      </c>
      <c r="C25" s="7">
        <f>X24+B25</f>
        <v>1000.0</v>
      </c>
      <c r="D25" s="7">
        <f>Y24</f>
        <v>0.0</v>
      </c>
      <c r="E25" s="7">
        <f>Parameters!$D$6*C25</f>
        <v>100.0</v>
      </c>
      <c r="F25" s="7">
        <f>IF(Parameters!$D$5=1,E25,0)</f>
        <v>0.0</v>
      </c>
      <c r="G25" s="7">
        <f>Parameters!$D$27*G24+F25</f>
        <v>0.0</v>
      </c>
      <c r="H25" s="7">
        <f>IF(AND(Parameters!$D$5=1,Parameters!$D$26=1),SUMPRODUCT(--($A$5:A25&lt;A25),--(MOD(A25-$A$5:A25,Parameters!$D$28)=0),$F$5:F25,POWER(Parameters!$D$27,IF(A25-$A$5:A25=0,1,A25-$A$5:A25))),0)</f>
        <v>0.0</v>
      </c>
      <c r="I25" s="7">
        <f>Parameters!$D$23*I24+B25*Parameters!$D$22</f>
        <v>0.0</v>
      </c>
      <c r="J25" s="7">
        <f>E25*Parameters!$D$14*(1-Parameters!$D$15)</f>
        <v>1900.0</v>
      </c>
      <c r="K25" s="7">
        <f>H25*Parameters!$D$29</f>
        <v>0.0</v>
      </c>
      <c r="L25" s="7">
        <f>I25*Parameters!$D$24</f>
        <v>0.0</v>
      </c>
      <c r="M25" s="7">
        <f>J25+K25+L25</f>
        <v>1900.0</v>
      </c>
      <c r="N25" s="7">
        <f>C25*Parameters!$D$17+D25*Parameters!$D$18+E25*Parameters!$D$16+I25*Parameters!$D$25+G25*Parameters!$D$30</f>
        <v>300.0</v>
      </c>
      <c r="O25" s="7">
        <f>B25*Parameters!$D$19</f>
        <v>4000</v>
      </c>
      <c r="P25" s="7">
        <f>M25-N25-O25</f>
        <v>-2400.0</v>
      </c>
      <c r="Q25" s="7">
        <f>Parameters!$D$21</f>
        <v>1000</v>
      </c>
      <c r="R25" s="7">
        <f>P25-Q25</f>
        <v>-3400.0</v>
      </c>
      <c r="S25" s="7">
        <f>IF(A25&lt;1+Parameters!$D$31,0,INDEX($M$5:$M$40,A25-Parameters!$D$31))</f>
        <v>1900.0</v>
      </c>
      <c r="T25" s="7">
        <f>T24+M25-S25</f>
        <v>1900.0</v>
      </c>
      <c r="U25" s="7">
        <f>S25-N25-O25-Q25</f>
        <v>-3400.0</v>
      </c>
      <c r="V25" s="7">
        <f>V24+U25</f>
        <v>-73300.0</v>
      </c>
      <c r="W25" s="7">
        <f>(1-Parameters!$D$7)*(C25-E25)+(1-Parameters!$D$8)*(D25+E25)</f>
        <v>1000.0</v>
      </c>
      <c r="X25" s="7">
        <f>Parameters!$D$7*(C25-E25)+Parameters!$D$8*Parameters!$D$9*(D25+E25)</f>
        <v>0.0</v>
      </c>
      <c r="Y25" s="7">
        <f>Parameters!$D$8*(1-Parameters!$D$9)*(D25+E25)</f>
        <v>0.0</v>
      </c>
      <c r="Z25" s="7">
        <f>POWER(1/(1+Parameters!$D$32),A25-1)*(M25-N25)</f>
        <v>1311.2711525396726</v>
      </c>
    </row>
    <row r="26" spans="1:26">
      <c r="A26" s="7">
        <v>22</v>
      </c>
      <c r="B26" s="7">
        <f>Parameters!$D$20</f>
        <v>1000</v>
      </c>
      <c r="C26" s="7">
        <f>X25+B26</f>
        <v>1000.0</v>
      </c>
      <c r="D26" s="7">
        <f>Y25</f>
        <v>0.0</v>
      </c>
      <c r="E26" s="7">
        <f>Parameters!$D$6*C26</f>
        <v>100.0</v>
      </c>
      <c r="F26" s="7">
        <f>IF(Parameters!$D$5=1,E26,0)</f>
        <v>0.0</v>
      </c>
      <c r="G26" s="7">
        <f>Parameters!$D$27*G25+F26</f>
        <v>0.0</v>
      </c>
      <c r="H26" s="7">
        <f>IF(AND(Parameters!$D$5=1,Parameters!$D$26=1),SUMPRODUCT(--($A$5:A26&lt;A26),--(MOD(A26-$A$5:A26,Parameters!$D$28)=0),$F$5:F26,POWER(Parameters!$D$27,IF(A26-$A$5:A26=0,1,A26-$A$5:A26))),0)</f>
        <v>0.0</v>
      </c>
      <c r="I26" s="7">
        <f>Parameters!$D$23*I25+B26*Parameters!$D$22</f>
        <v>0.0</v>
      </c>
      <c r="J26" s="7">
        <f>E26*Parameters!$D$14*(1-Parameters!$D$15)</f>
        <v>1900.0</v>
      </c>
      <c r="K26" s="7">
        <f>H26*Parameters!$D$29</f>
        <v>0.0</v>
      </c>
      <c r="L26" s="7">
        <f>I26*Parameters!$D$24</f>
        <v>0.0</v>
      </c>
      <c r="M26" s="7">
        <f>J26+K26+L26</f>
        <v>1900.0</v>
      </c>
      <c r="N26" s="7">
        <f>C26*Parameters!$D$17+D26*Parameters!$D$18+E26*Parameters!$D$16+I26*Parameters!$D$25+G26*Parameters!$D$30</f>
        <v>300.0</v>
      </c>
      <c r="O26" s="7">
        <f>B26*Parameters!$D$19</f>
        <v>4000</v>
      </c>
      <c r="P26" s="7">
        <f>M26-N26-O26</f>
        <v>-2400.0</v>
      </c>
      <c r="Q26" s="7">
        <f>Parameters!$D$21</f>
        <v>1000</v>
      </c>
      <c r="R26" s="7">
        <f>P26-Q26</f>
        <v>-3400.0</v>
      </c>
      <c r="S26" s="7">
        <f>IF(A26&lt;1+Parameters!$D$31,0,INDEX($M$5:$M$40,A26-Parameters!$D$31))</f>
        <v>1900.0</v>
      </c>
      <c r="T26" s="7">
        <f>T25+M26-S26</f>
        <v>1900.0</v>
      </c>
      <c r="U26" s="7">
        <f>S26-N26-O26-Q26</f>
        <v>-3400.0</v>
      </c>
      <c r="V26" s="7">
        <f>V25+U26</f>
        <v>-76700.0</v>
      </c>
      <c r="W26" s="7">
        <f>(1-Parameters!$D$7)*(C26-E26)+(1-Parameters!$D$8)*(D26+E26)</f>
        <v>1000.0</v>
      </c>
      <c r="X26" s="7">
        <f>Parameters!$D$7*(C26-E26)+Parameters!$D$8*Parameters!$D$9*(D26+E26)</f>
        <v>0.0</v>
      </c>
      <c r="Y26" s="7">
        <f>Parameters!$D$8*(1-Parameters!$D$9)*(D26+E26)</f>
        <v>0.0</v>
      </c>
      <c r="Z26" s="7">
        <f>POWER(1/(1+Parameters!$D$32),A26-1)*(M26-N26)</f>
        <v>1298.28826984126</v>
      </c>
    </row>
    <row r="27" spans="1:26">
      <c r="A27" s="7">
        <v>23</v>
      </c>
      <c r="B27" s="7">
        <f>Parameters!$D$20</f>
        <v>1000</v>
      </c>
      <c r="C27" s="7">
        <f>X26+B27</f>
        <v>1000.0</v>
      </c>
      <c r="D27" s="7">
        <f>Y26</f>
        <v>0.0</v>
      </c>
      <c r="E27" s="7">
        <f>Parameters!$D$6*C27</f>
        <v>100.0</v>
      </c>
      <c r="F27" s="7">
        <f>IF(Parameters!$D$5=1,E27,0)</f>
        <v>0.0</v>
      </c>
      <c r="G27" s="7">
        <f>Parameters!$D$27*G26+F27</f>
        <v>0.0</v>
      </c>
      <c r="H27" s="7">
        <f>IF(AND(Parameters!$D$5=1,Parameters!$D$26=1),SUMPRODUCT(--($A$5:A27&lt;A27),--(MOD(A27-$A$5:A27,Parameters!$D$28)=0),$F$5:F27,POWER(Parameters!$D$27,IF(A27-$A$5:A27=0,1,A27-$A$5:A27))),0)</f>
        <v>0.0</v>
      </c>
      <c r="I27" s="7">
        <f>Parameters!$D$23*I26+B27*Parameters!$D$22</f>
        <v>0.0</v>
      </c>
      <c r="J27" s="7">
        <f>E27*Parameters!$D$14*(1-Parameters!$D$15)</f>
        <v>1900.0</v>
      </c>
      <c r="K27" s="7">
        <f>H27*Parameters!$D$29</f>
        <v>0.0</v>
      </c>
      <c r="L27" s="7">
        <f>I27*Parameters!$D$24</f>
        <v>0.0</v>
      </c>
      <c r="M27" s="7">
        <f>J27+K27+L27</f>
        <v>1900.0</v>
      </c>
      <c r="N27" s="7">
        <f>C27*Parameters!$D$17+D27*Parameters!$D$18+E27*Parameters!$D$16+I27*Parameters!$D$25+G27*Parameters!$D$30</f>
        <v>300.0</v>
      </c>
      <c r="O27" s="7">
        <f>B27*Parameters!$D$19</f>
        <v>4000</v>
      </c>
      <c r="P27" s="7">
        <f>M27-N27-O27</f>
        <v>-2400.0</v>
      </c>
      <c r="Q27" s="7">
        <f>Parameters!$D$21</f>
        <v>1000</v>
      </c>
      <c r="R27" s="7">
        <f>P27-Q27</f>
        <v>-3400.0</v>
      </c>
      <c r="S27" s="7">
        <f>IF(A27&lt;1+Parameters!$D$31,0,INDEX($M$5:$M$40,A27-Parameters!$D$31))</f>
        <v>1900.0</v>
      </c>
      <c r="T27" s="7">
        <f>T26+M27-S27</f>
        <v>1900.0</v>
      </c>
      <c r="U27" s="7">
        <f>S27-N27-O27-Q27</f>
        <v>-3400.0</v>
      </c>
      <c r="V27" s="7">
        <f>V26+U27</f>
        <v>-80100.0</v>
      </c>
      <c r="W27" s="7">
        <f>(1-Parameters!$D$7)*(C27-E27)+(1-Parameters!$D$8)*(D27+E27)</f>
        <v>1000.0</v>
      </c>
      <c r="X27" s="7">
        <f>Parameters!$D$7*(C27-E27)+Parameters!$D$8*Parameters!$D$9*(D27+E27)</f>
        <v>0.0</v>
      </c>
      <c r="Y27" s="7">
        <f>Parameters!$D$8*(1-Parameters!$D$9)*(D27+E27)</f>
        <v>0.0</v>
      </c>
      <c r="Z27" s="7">
        <f>POWER(1/(1+Parameters!$D$32),A27-1)*(M27-N27)</f>
        <v>1285.433930535901</v>
      </c>
    </row>
    <row r="28" spans="1:26">
      <c r="A28" s="7">
        <v>24</v>
      </c>
      <c r="B28" s="7">
        <f>Parameters!$D$20</f>
        <v>1000</v>
      </c>
      <c r="C28" s="7">
        <f>X27+B28</f>
        <v>1000.0</v>
      </c>
      <c r="D28" s="7">
        <f>Y27</f>
        <v>0.0</v>
      </c>
      <c r="E28" s="7">
        <f>Parameters!$D$6*C28</f>
        <v>100.0</v>
      </c>
      <c r="F28" s="7">
        <f>IF(Parameters!$D$5=1,E28,0)</f>
        <v>0.0</v>
      </c>
      <c r="G28" s="7">
        <f>Parameters!$D$27*G27+F28</f>
        <v>0.0</v>
      </c>
      <c r="H28" s="7">
        <f>IF(AND(Parameters!$D$5=1,Parameters!$D$26=1),SUMPRODUCT(--($A$5:A28&lt;A28),--(MOD(A28-$A$5:A28,Parameters!$D$28)=0),$F$5:F28,POWER(Parameters!$D$27,IF(A28-$A$5:A28=0,1,A28-$A$5:A28))),0)</f>
        <v>0.0</v>
      </c>
      <c r="I28" s="7">
        <f>Parameters!$D$23*I27+B28*Parameters!$D$22</f>
        <v>0.0</v>
      </c>
      <c r="J28" s="7">
        <f>E28*Parameters!$D$14*(1-Parameters!$D$15)</f>
        <v>1900.0</v>
      </c>
      <c r="K28" s="7">
        <f>H28*Parameters!$D$29</f>
        <v>0.0</v>
      </c>
      <c r="L28" s="7">
        <f>I28*Parameters!$D$24</f>
        <v>0.0</v>
      </c>
      <c r="M28" s="7">
        <f>J28+K28+L28</f>
        <v>1900.0</v>
      </c>
      <c r="N28" s="7">
        <f>C28*Parameters!$D$17+D28*Parameters!$D$18+E28*Parameters!$D$16+I28*Parameters!$D$25+G28*Parameters!$D$30</f>
        <v>300.0</v>
      </c>
      <c r="O28" s="7">
        <f>B28*Parameters!$D$19</f>
        <v>4000</v>
      </c>
      <c r="P28" s="7">
        <f>M28-N28-O28</f>
        <v>-2400.0</v>
      </c>
      <c r="Q28" s="7">
        <f>Parameters!$D$21</f>
        <v>1000</v>
      </c>
      <c r="R28" s="7">
        <f>P28-Q28</f>
        <v>-3400.0</v>
      </c>
      <c r="S28" s="7">
        <f>IF(A28&lt;1+Parameters!$D$31,0,INDEX($M$5:$M$40,A28-Parameters!$D$31))</f>
        <v>1900.0</v>
      </c>
      <c r="T28" s="7">
        <f>T27+M28-S28</f>
        <v>1900.0</v>
      </c>
      <c r="U28" s="7">
        <f>S28-N28-O28-Q28</f>
        <v>-3400.0</v>
      </c>
      <c r="V28" s="7">
        <f>V27+U28</f>
        <v>-83500.0</v>
      </c>
      <c r="W28" s="7">
        <f>(1-Parameters!$D$7)*(C28-E28)+(1-Parameters!$D$8)*(D28+E28)</f>
        <v>1000.0</v>
      </c>
      <c r="X28" s="7">
        <f>Parameters!$D$7*(C28-E28)+Parameters!$D$8*Parameters!$D$9*(D28+E28)</f>
        <v>0.0</v>
      </c>
      <c r="Y28" s="7">
        <f>Parameters!$D$8*(1-Parameters!$D$9)*(D28+E28)</f>
        <v>0.0</v>
      </c>
      <c r="Z28" s="7">
        <f>POWER(1/(1+Parameters!$D$32),A28-1)*(M28-N28)</f>
        <v>1272.7068619167337</v>
      </c>
    </row>
    <row r="29" spans="1:26">
      <c r="A29" s="7">
        <v>25</v>
      </c>
      <c r="B29" s="7">
        <f>Parameters!$D$20</f>
        <v>1000</v>
      </c>
      <c r="C29" s="7">
        <f>X28+B29</f>
        <v>1000.0</v>
      </c>
      <c r="D29" s="7">
        <f>Y28</f>
        <v>0.0</v>
      </c>
      <c r="E29" s="7">
        <f>Parameters!$D$6*C29</f>
        <v>100.0</v>
      </c>
      <c r="F29" s="7">
        <f>IF(Parameters!$D$5=1,E29,0)</f>
        <v>0.0</v>
      </c>
      <c r="G29" s="7">
        <f>Parameters!$D$27*G28+F29</f>
        <v>0.0</v>
      </c>
      <c r="H29" s="7">
        <f>IF(AND(Parameters!$D$5=1,Parameters!$D$26=1),SUMPRODUCT(--($A$5:A29&lt;A29),--(MOD(A29-$A$5:A29,Parameters!$D$28)=0),$F$5:F29,POWER(Parameters!$D$27,IF(A29-$A$5:A29=0,1,A29-$A$5:A29))),0)</f>
        <v>0.0</v>
      </c>
      <c r="I29" s="7">
        <f>Parameters!$D$23*I28+B29*Parameters!$D$22</f>
        <v>0.0</v>
      </c>
      <c r="J29" s="7">
        <f>E29*Parameters!$D$14*(1-Parameters!$D$15)</f>
        <v>1900.0</v>
      </c>
      <c r="K29" s="7">
        <f>H29*Parameters!$D$29</f>
        <v>0.0</v>
      </c>
      <c r="L29" s="7">
        <f>I29*Parameters!$D$24</f>
        <v>0.0</v>
      </c>
      <c r="M29" s="7">
        <f>J29+K29+L29</f>
        <v>1900.0</v>
      </c>
      <c r="N29" s="7">
        <f>C29*Parameters!$D$17+D29*Parameters!$D$18+E29*Parameters!$D$16+I29*Parameters!$D$25+G29*Parameters!$D$30</f>
        <v>300.0</v>
      </c>
      <c r="O29" s="7">
        <f>B29*Parameters!$D$19</f>
        <v>4000</v>
      </c>
      <c r="P29" s="7">
        <f>M29-N29-O29</f>
        <v>-2400.0</v>
      </c>
      <c r="Q29" s="7">
        <f>Parameters!$D$21</f>
        <v>1000</v>
      </c>
      <c r="R29" s="7">
        <f>P29-Q29</f>
        <v>-3400.0</v>
      </c>
      <c r="S29" s="7">
        <f>IF(A29&lt;1+Parameters!$D$31,0,INDEX($M$5:$M$40,A29-Parameters!$D$31))</f>
        <v>1900.0</v>
      </c>
      <c r="T29" s="7">
        <f>T28+M29-S29</f>
        <v>1900.0</v>
      </c>
      <c r="U29" s="7">
        <f>S29-N29-O29-Q29</f>
        <v>-3400.0</v>
      </c>
      <c r="V29" s="7">
        <f>V28+U29</f>
        <v>-86900.0</v>
      </c>
      <c r="W29" s="7">
        <f>(1-Parameters!$D$7)*(C29-E29)+(1-Parameters!$D$8)*(D29+E29)</f>
        <v>1000.0</v>
      </c>
      <c r="X29" s="7">
        <f>Parameters!$D$7*(C29-E29)+Parameters!$D$8*Parameters!$D$9*(D29+E29)</f>
        <v>0.0</v>
      </c>
      <c r="Y29" s="7">
        <f>Parameters!$D$8*(1-Parameters!$D$9)*(D29+E29)</f>
        <v>0.0</v>
      </c>
      <c r="Z29" s="7">
        <f>POWER(1/(1+Parameters!$D$32),A29-1)*(M29-N29)</f>
        <v>1260.1058038779543</v>
      </c>
    </row>
    <row r="30" spans="1:26">
      <c r="A30" s="7">
        <v>26</v>
      </c>
      <c r="B30" s="7">
        <f>Parameters!$D$20</f>
        <v>1000</v>
      </c>
      <c r="C30" s="7">
        <f>X29+B30</f>
        <v>1000.0</v>
      </c>
      <c r="D30" s="7">
        <f>Y29</f>
        <v>0.0</v>
      </c>
      <c r="E30" s="7">
        <f>Parameters!$D$6*C30</f>
        <v>100.0</v>
      </c>
      <c r="F30" s="7">
        <f>IF(Parameters!$D$5=1,E30,0)</f>
        <v>0.0</v>
      </c>
      <c r="G30" s="7">
        <f>Parameters!$D$27*G29+F30</f>
        <v>0.0</v>
      </c>
      <c r="H30" s="7">
        <f>IF(AND(Parameters!$D$5=1,Parameters!$D$26=1),SUMPRODUCT(--($A$5:A30&lt;A30),--(MOD(A30-$A$5:A30,Parameters!$D$28)=0),$F$5:F30,POWER(Parameters!$D$27,IF(A30-$A$5:A30=0,1,A30-$A$5:A30))),0)</f>
        <v>0.0</v>
      </c>
      <c r="I30" s="7">
        <f>Parameters!$D$23*I29+B30*Parameters!$D$22</f>
        <v>0.0</v>
      </c>
      <c r="J30" s="7">
        <f>E30*Parameters!$D$14*(1-Parameters!$D$15)</f>
        <v>1900.0</v>
      </c>
      <c r="K30" s="7">
        <f>H30*Parameters!$D$29</f>
        <v>0.0</v>
      </c>
      <c r="L30" s="7">
        <f>I30*Parameters!$D$24</f>
        <v>0.0</v>
      </c>
      <c r="M30" s="7">
        <f>J30+K30+L30</f>
        <v>1900.0</v>
      </c>
      <c r="N30" s="7">
        <f>C30*Parameters!$D$17+D30*Parameters!$D$18+E30*Parameters!$D$16+I30*Parameters!$D$25+G30*Parameters!$D$30</f>
        <v>300.0</v>
      </c>
      <c r="O30" s="7">
        <f>B30*Parameters!$D$19</f>
        <v>4000</v>
      </c>
      <c r="P30" s="7">
        <f>M30-N30-O30</f>
        <v>-2400.0</v>
      </c>
      <c r="Q30" s="7">
        <f>Parameters!$D$21</f>
        <v>1000</v>
      </c>
      <c r="R30" s="7">
        <f>P30-Q30</f>
        <v>-3400.0</v>
      </c>
      <c r="S30" s="7">
        <f>IF(A30&lt;1+Parameters!$D$31,0,INDEX($M$5:$M$40,A30-Parameters!$D$31))</f>
        <v>1900.0</v>
      </c>
      <c r="T30" s="7">
        <f>T29+M30-S30</f>
        <v>1900.0</v>
      </c>
      <c r="U30" s="7">
        <f>S30-N30-O30-Q30</f>
        <v>-3400.0</v>
      </c>
      <c r="V30" s="7">
        <f>V29+U30</f>
        <v>-90300.0</v>
      </c>
      <c r="W30" s="7">
        <f>(1-Parameters!$D$7)*(C30-E30)+(1-Parameters!$D$8)*(D30+E30)</f>
        <v>1000.0</v>
      </c>
      <c r="X30" s="7">
        <f>Parameters!$D$7*(C30-E30)+Parameters!$D$8*Parameters!$D$9*(D30+E30)</f>
        <v>0.0</v>
      </c>
      <c r="Y30" s="7">
        <f>Parameters!$D$8*(1-Parameters!$D$9)*(D30+E30)</f>
        <v>0.0</v>
      </c>
      <c r="Z30" s="7">
        <f>POWER(1/(1+Parameters!$D$32),A30-1)*(M30-N30)</f>
        <v>1247.6295087900535</v>
      </c>
    </row>
    <row r="31" spans="1:26">
      <c r="A31" s="7">
        <v>27</v>
      </c>
      <c r="B31" s="7">
        <f>Parameters!$D$20</f>
        <v>1000</v>
      </c>
      <c r="C31" s="7">
        <f>X30+B31</f>
        <v>1000.0</v>
      </c>
      <c r="D31" s="7">
        <f>Y30</f>
        <v>0.0</v>
      </c>
      <c r="E31" s="7">
        <f>Parameters!$D$6*C31</f>
        <v>100.0</v>
      </c>
      <c r="F31" s="7">
        <f>IF(Parameters!$D$5=1,E31,0)</f>
        <v>0.0</v>
      </c>
      <c r="G31" s="7">
        <f>Parameters!$D$27*G30+F31</f>
        <v>0.0</v>
      </c>
      <c r="H31" s="7">
        <f>IF(AND(Parameters!$D$5=1,Parameters!$D$26=1),SUMPRODUCT(--($A$5:A31&lt;A31),--(MOD(A31-$A$5:A31,Parameters!$D$28)=0),$F$5:F31,POWER(Parameters!$D$27,IF(A31-$A$5:A31=0,1,A31-$A$5:A31))),0)</f>
        <v>0.0</v>
      </c>
      <c r="I31" s="7">
        <f>Parameters!$D$23*I30+B31*Parameters!$D$22</f>
        <v>0.0</v>
      </c>
      <c r="J31" s="7">
        <f>E31*Parameters!$D$14*(1-Parameters!$D$15)</f>
        <v>1900.0</v>
      </c>
      <c r="K31" s="7">
        <f>H31*Parameters!$D$29</f>
        <v>0.0</v>
      </c>
      <c r="L31" s="7">
        <f>I31*Parameters!$D$24</f>
        <v>0.0</v>
      </c>
      <c r="M31" s="7">
        <f>J31+K31+L31</f>
        <v>1900.0</v>
      </c>
      <c r="N31" s="7">
        <f>C31*Parameters!$D$17+D31*Parameters!$D$18+E31*Parameters!$D$16+I31*Parameters!$D$25+G31*Parameters!$D$30</f>
        <v>300.0</v>
      </c>
      <c r="O31" s="7">
        <f>B31*Parameters!$D$19</f>
        <v>4000</v>
      </c>
      <c r="P31" s="7">
        <f>M31-N31-O31</f>
        <v>-2400.0</v>
      </c>
      <c r="Q31" s="7">
        <f>Parameters!$D$21</f>
        <v>1000</v>
      </c>
      <c r="R31" s="7">
        <f>P31-Q31</f>
        <v>-3400.0</v>
      </c>
      <c r="S31" s="7">
        <f>IF(A31&lt;1+Parameters!$D$31,0,INDEX($M$5:$M$40,A31-Parameters!$D$31))</f>
        <v>1900.0</v>
      </c>
      <c r="T31" s="7">
        <f>T30+M31-S31</f>
        <v>1900.0</v>
      </c>
      <c r="U31" s="7">
        <f>S31-N31-O31-Q31</f>
        <v>-3400.0</v>
      </c>
      <c r="V31" s="7">
        <f>V30+U31</f>
        <v>-93700.0</v>
      </c>
      <c r="W31" s="7">
        <f>(1-Parameters!$D$7)*(C31-E31)+(1-Parameters!$D$8)*(D31+E31)</f>
        <v>1000.0</v>
      </c>
      <c r="X31" s="7">
        <f>Parameters!$D$7*(C31-E31)+Parameters!$D$8*Parameters!$D$9*(D31+E31)</f>
        <v>0.0</v>
      </c>
      <c r="Y31" s="7">
        <f>Parameters!$D$8*(1-Parameters!$D$9)*(D31+E31)</f>
        <v>0.0</v>
      </c>
      <c r="Z31" s="7">
        <f>POWER(1/(1+Parameters!$D$32),A31-1)*(M31-N31)</f>
        <v>1235.2767413762906</v>
      </c>
    </row>
    <row r="32" spans="1:26">
      <c r="A32" s="7">
        <v>28</v>
      </c>
      <c r="B32" s="7">
        <f>Parameters!$D$20</f>
        <v>1000</v>
      </c>
      <c r="C32" s="7">
        <f>X31+B32</f>
        <v>1000.0</v>
      </c>
      <c r="D32" s="7">
        <f>Y31</f>
        <v>0.0</v>
      </c>
      <c r="E32" s="7">
        <f>Parameters!$D$6*C32</f>
        <v>100.0</v>
      </c>
      <c r="F32" s="7">
        <f>IF(Parameters!$D$5=1,E32,0)</f>
        <v>0.0</v>
      </c>
      <c r="G32" s="7">
        <f>Parameters!$D$27*G31+F32</f>
        <v>0.0</v>
      </c>
      <c r="H32" s="7">
        <f>IF(AND(Parameters!$D$5=1,Parameters!$D$26=1),SUMPRODUCT(--($A$5:A32&lt;A32),--(MOD(A32-$A$5:A32,Parameters!$D$28)=0),$F$5:F32,POWER(Parameters!$D$27,IF(A32-$A$5:A32=0,1,A32-$A$5:A32))),0)</f>
        <v>0.0</v>
      </c>
      <c r="I32" s="7">
        <f>Parameters!$D$23*I31+B32*Parameters!$D$22</f>
        <v>0.0</v>
      </c>
      <c r="J32" s="7">
        <f>E32*Parameters!$D$14*(1-Parameters!$D$15)</f>
        <v>1900.0</v>
      </c>
      <c r="K32" s="7">
        <f>H32*Parameters!$D$29</f>
        <v>0.0</v>
      </c>
      <c r="L32" s="7">
        <f>I32*Parameters!$D$24</f>
        <v>0.0</v>
      </c>
      <c r="M32" s="7">
        <f>J32+K32+L32</f>
        <v>1900.0</v>
      </c>
      <c r="N32" s="7">
        <f>C32*Parameters!$D$17+D32*Parameters!$D$18+E32*Parameters!$D$16+I32*Parameters!$D$25+G32*Parameters!$D$30</f>
        <v>300.0</v>
      </c>
      <c r="O32" s="7">
        <f>B32*Parameters!$D$19</f>
        <v>4000</v>
      </c>
      <c r="P32" s="7">
        <f>M32-N32-O32</f>
        <v>-2400.0</v>
      </c>
      <c r="Q32" s="7">
        <f>Parameters!$D$21</f>
        <v>1000</v>
      </c>
      <c r="R32" s="7">
        <f>P32-Q32</f>
        <v>-3400.0</v>
      </c>
      <c r="S32" s="7">
        <f>IF(A32&lt;1+Parameters!$D$31,0,INDEX($M$5:$M$40,A32-Parameters!$D$31))</f>
        <v>1900.0</v>
      </c>
      <c r="T32" s="7">
        <f>T31+M32-S32</f>
        <v>1900.0</v>
      </c>
      <c r="U32" s="7">
        <f>S32-N32-O32-Q32</f>
        <v>-3400.0</v>
      </c>
      <c r="V32" s="7">
        <f>V31+U32</f>
        <v>-97100.0</v>
      </c>
      <c r="W32" s="7">
        <f>(1-Parameters!$D$7)*(C32-E32)+(1-Parameters!$D$8)*(D32+E32)</f>
        <v>1000.0</v>
      </c>
      <c r="X32" s="7">
        <f>Parameters!$D$7*(C32-E32)+Parameters!$D$8*Parameters!$D$9*(D32+E32)</f>
        <v>0.0</v>
      </c>
      <c r="Y32" s="7">
        <f>Parameters!$D$8*(1-Parameters!$D$9)*(D32+E32)</f>
        <v>0.0</v>
      </c>
      <c r="Z32" s="7">
        <f>POWER(1/(1+Parameters!$D$32),A32-1)*(M32-N32)</f>
        <v>1223.0462785903867</v>
      </c>
    </row>
    <row r="33" spans="1:26">
      <c r="A33" s="7">
        <v>29</v>
      </c>
      <c r="B33" s="7">
        <f>Parameters!$D$20</f>
        <v>1000</v>
      </c>
      <c r="C33" s="7">
        <f>X32+B33</f>
        <v>1000.0</v>
      </c>
      <c r="D33" s="7">
        <f>Y32</f>
        <v>0.0</v>
      </c>
      <c r="E33" s="7">
        <f>Parameters!$D$6*C33</f>
        <v>100.0</v>
      </c>
      <c r="F33" s="7">
        <f>IF(Parameters!$D$5=1,E33,0)</f>
        <v>0.0</v>
      </c>
      <c r="G33" s="7">
        <f>Parameters!$D$27*G32+F33</f>
        <v>0.0</v>
      </c>
      <c r="H33" s="7">
        <f>IF(AND(Parameters!$D$5=1,Parameters!$D$26=1),SUMPRODUCT(--($A$5:A33&lt;A33),--(MOD(A33-$A$5:A33,Parameters!$D$28)=0),$F$5:F33,POWER(Parameters!$D$27,IF(A33-$A$5:A33=0,1,A33-$A$5:A33))),0)</f>
        <v>0.0</v>
      </c>
      <c r="I33" s="7">
        <f>Parameters!$D$23*I32+B33*Parameters!$D$22</f>
        <v>0.0</v>
      </c>
      <c r="J33" s="7">
        <f>E33*Parameters!$D$14*(1-Parameters!$D$15)</f>
        <v>1900.0</v>
      </c>
      <c r="K33" s="7">
        <f>H33*Parameters!$D$29</f>
        <v>0.0</v>
      </c>
      <c r="L33" s="7">
        <f>I33*Parameters!$D$24</f>
        <v>0.0</v>
      </c>
      <c r="M33" s="7">
        <f>J33+K33+L33</f>
        <v>1900.0</v>
      </c>
      <c r="N33" s="7">
        <f>C33*Parameters!$D$17+D33*Parameters!$D$18+E33*Parameters!$D$16+I33*Parameters!$D$25+G33*Parameters!$D$30</f>
        <v>300.0</v>
      </c>
      <c r="O33" s="7">
        <f>B33*Parameters!$D$19</f>
        <v>4000</v>
      </c>
      <c r="P33" s="7">
        <f>M33-N33-O33</f>
        <v>-2400.0</v>
      </c>
      <c r="Q33" s="7">
        <f>Parameters!$D$21</f>
        <v>1000</v>
      </c>
      <c r="R33" s="7">
        <f>P33-Q33</f>
        <v>-3400.0</v>
      </c>
      <c r="S33" s="7">
        <f>IF(A33&lt;1+Parameters!$D$31,0,INDEX($M$5:$M$40,A33-Parameters!$D$31))</f>
        <v>1900.0</v>
      </c>
      <c r="T33" s="7">
        <f>T32+M33-S33</f>
        <v>1900.0</v>
      </c>
      <c r="U33" s="7">
        <f>S33-N33-O33-Q33</f>
        <v>-3400.0</v>
      </c>
      <c r="V33" s="7">
        <f>V32+U33</f>
        <v>-100500.0</v>
      </c>
      <c r="W33" s="7">
        <f>(1-Parameters!$D$7)*(C33-E33)+(1-Parameters!$D$8)*(D33+E33)</f>
        <v>1000.0</v>
      </c>
      <c r="X33" s="7">
        <f>Parameters!$D$7*(C33-E33)+Parameters!$D$8*Parameters!$D$9*(D33+E33)</f>
        <v>0.0</v>
      </c>
      <c r="Y33" s="7">
        <f>Parameters!$D$8*(1-Parameters!$D$9)*(D33+E33)</f>
        <v>0.0</v>
      </c>
      <c r="Z33" s="7">
        <f>POWER(1/(1+Parameters!$D$32),A33-1)*(M33-N33)</f>
        <v>1210.9369094954325</v>
      </c>
    </row>
    <row r="34" spans="1:26">
      <c r="A34" s="7">
        <v>30</v>
      </c>
      <c r="B34" s="7">
        <f>Parameters!$D$20</f>
        <v>1000</v>
      </c>
      <c r="C34" s="7">
        <f>X33+B34</f>
        <v>1000.0</v>
      </c>
      <c r="D34" s="7">
        <f>Y33</f>
        <v>0.0</v>
      </c>
      <c r="E34" s="7">
        <f>Parameters!$D$6*C34</f>
        <v>100.0</v>
      </c>
      <c r="F34" s="7">
        <f>IF(Parameters!$D$5=1,E34,0)</f>
        <v>0.0</v>
      </c>
      <c r="G34" s="7">
        <f>Parameters!$D$27*G33+F34</f>
        <v>0.0</v>
      </c>
      <c r="H34" s="7">
        <f>IF(AND(Parameters!$D$5=1,Parameters!$D$26=1),SUMPRODUCT(--($A$5:A34&lt;A34),--(MOD(A34-$A$5:A34,Parameters!$D$28)=0),$F$5:F34,POWER(Parameters!$D$27,IF(A34-$A$5:A34=0,1,A34-$A$5:A34))),0)</f>
        <v>0.0</v>
      </c>
      <c r="I34" s="7">
        <f>Parameters!$D$23*I33+B34*Parameters!$D$22</f>
        <v>0.0</v>
      </c>
      <c r="J34" s="7">
        <f>E34*Parameters!$D$14*(1-Parameters!$D$15)</f>
        <v>1900.0</v>
      </c>
      <c r="K34" s="7">
        <f>H34*Parameters!$D$29</f>
        <v>0.0</v>
      </c>
      <c r="L34" s="7">
        <f>I34*Parameters!$D$24</f>
        <v>0.0</v>
      </c>
      <c r="M34" s="7">
        <f>J34+K34+L34</f>
        <v>1900.0</v>
      </c>
      <c r="N34" s="7">
        <f>C34*Parameters!$D$17+D34*Parameters!$D$18+E34*Parameters!$D$16+I34*Parameters!$D$25+G34*Parameters!$D$30</f>
        <v>300.0</v>
      </c>
      <c r="O34" s="7">
        <f>B34*Parameters!$D$19</f>
        <v>4000</v>
      </c>
      <c r="P34" s="7">
        <f>M34-N34-O34</f>
        <v>-2400.0</v>
      </c>
      <c r="Q34" s="7">
        <f>Parameters!$D$21</f>
        <v>1000</v>
      </c>
      <c r="R34" s="7">
        <f>P34-Q34</f>
        <v>-3400.0</v>
      </c>
      <c r="S34" s="7">
        <f>IF(A34&lt;1+Parameters!$D$31,0,INDEX($M$5:$M$40,A34-Parameters!$D$31))</f>
        <v>1900.0</v>
      </c>
      <c r="T34" s="7">
        <f>T33+M34-S34</f>
        <v>1900.0</v>
      </c>
      <c r="U34" s="7">
        <f>S34-N34-O34-Q34</f>
        <v>-3400.0</v>
      </c>
      <c r="V34" s="7">
        <f>V33+U34</f>
        <v>-103900.0</v>
      </c>
      <c r="W34" s="7">
        <f>(1-Parameters!$D$7)*(C34-E34)+(1-Parameters!$D$8)*(D34+E34)</f>
        <v>1000.0</v>
      </c>
      <c r="X34" s="7">
        <f>Parameters!$D$7*(C34-E34)+Parameters!$D$8*Parameters!$D$9*(D34+E34)</f>
        <v>0.0</v>
      </c>
      <c r="Y34" s="7">
        <f>Parameters!$D$8*(1-Parameters!$D$9)*(D34+E34)</f>
        <v>0.0</v>
      </c>
      <c r="Z34" s="7">
        <f>POWER(1/(1+Parameters!$D$32),A34-1)*(M34-N34)</f>
        <v>1198.9474351439926</v>
      </c>
    </row>
    <row r="35" spans="1:26">
      <c r="A35" s="7">
        <v>31</v>
      </c>
      <c r="B35" s="7">
        <f>Parameters!$D$20</f>
        <v>1000</v>
      </c>
      <c r="C35" s="7">
        <f>X34+B35</f>
        <v>1000.0</v>
      </c>
      <c r="D35" s="7">
        <f>Y34</f>
        <v>0.0</v>
      </c>
      <c r="E35" s="7">
        <f>Parameters!$D$6*C35</f>
        <v>100.0</v>
      </c>
      <c r="F35" s="7">
        <f>IF(Parameters!$D$5=1,E35,0)</f>
        <v>0.0</v>
      </c>
      <c r="G35" s="7">
        <f>Parameters!$D$27*G34+F35</f>
        <v>0.0</v>
      </c>
      <c r="H35" s="7">
        <f>IF(AND(Parameters!$D$5=1,Parameters!$D$26=1),SUMPRODUCT(--($A$5:A35&lt;A35),--(MOD(A35-$A$5:A35,Parameters!$D$28)=0),$F$5:F35,POWER(Parameters!$D$27,IF(A35-$A$5:A35=0,1,A35-$A$5:A35))),0)</f>
        <v>0.0</v>
      </c>
      <c r="I35" s="7">
        <f>Parameters!$D$23*I34+B35*Parameters!$D$22</f>
        <v>0.0</v>
      </c>
      <c r="J35" s="7">
        <f>E35*Parameters!$D$14*(1-Parameters!$D$15)</f>
        <v>1900.0</v>
      </c>
      <c r="K35" s="7">
        <f>H35*Parameters!$D$29</f>
        <v>0.0</v>
      </c>
      <c r="L35" s="7">
        <f>I35*Parameters!$D$24</f>
        <v>0.0</v>
      </c>
      <c r="M35" s="7">
        <f>J35+K35+L35</f>
        <v>1900.0</v>
      </c>
      <c r="N35" s="7">
        <f>C35*Parameters!$D$17+D35*Parameters!$D$18+E35*Parameters!$D$16+I35*Parameters!$D$25+G35*Parameters!$D$30</f>
        <v>300.0</v>
      </c>
      <c r="O35" s="7">
        <f>B35*Parameters!$D$19</f>
        <v>4000</v>
      </c>
      <c r="P35" s="7">
        <f>M35-N35-O35</f>
        <v>-2400.0</v>
      </c>
      <c r="Q35" s="7">
        <f>Parameters!$D$21</f>
        <v>1000</v>
      </c>
      <c r="R35" s="7">
        <f>P35-Q35</f>
        <v>-3400.0</v>
      </c>
      <c r="S35" s="7">
        <f>IF(A35&lt;1+Parameters!$D$31,0,INDEX($M$5:$M$40,A35-Parameters!$D$31))</f>
        <v>1900.0</v>
      </c>
      <c r="T35" s="7">
        <f>T34+M35-S35</f>
        <v>1900.0</v>
      </c>
      <c r="U35" s="7">
        <f>S35-N35-O35-Q35</f>
        <v>-3400.0</v>
      </c>
      <c r="V35" s="7">
        <f>V34+U35</f>
        <v>-107300.0</v>
      </c>
      <c r="W35" s="7">
        <f>(1-Parameters!$D$7)*(C35-E35)+(1-Parameters!$D$8)*(D35+E35)</f>
        <v>1000.0</v>
      </c>
      <c r="X35" s="7">
        <f>Parameters!$D$7*(C35-E35)+Parameters!$D$8*Parameters!$D$9*(D35+E35)</f>
        <v>0.0</v>
      </c>
      <c r="Y35" s="7">
        <f>Parameters!$D$8*(1-Parameters!$D$9)*(D35+E35)</f>
        <v>0.0</v>
      </c>
      <c r="Z35" s="7">
        <f>POWER(1/(1+Parameters!$D$32),A35-1)*(M35-N35)</f>
        <v>1187.0766684593984</v>
      </c>
    </row>
    <row r="36" spans="1:26">
      <c r="A36" s="7">
        <v>32</v>
      </c>
      <c r="B36" s="7">
        <f>Parameters!$D$20</f>
        <v>1000</v>
      </c>
      <c r="C36" s="7">
        <f>X35+B36</f>
        <v>1000.0</v>
      </c>
      <c r="D36" s="7">
        <f>Y35</f>
        <v>0.0</v>
      </c>
      <c r="E36" s="7">
        <f>Parameters!$D$6*C36</f>
        <v>100.0</v>
      </c>
      <c r="F36" s="7">
        <f>IF(Parameters!$D$5=1,E36,0)</f>
        <v>0.0</v>
      </c>
      <c r="G36" s="7">
        <f>Parameters!$D$27*G35+F36</f>
        <v>0.0</v>
      </c>
      <c r="H36" s="7">
        <f>IF(AND(Parameters!$D$5=1,Parameters!$D$26=1),SUMPRODUCT(--($A$5:A36&lt;A36),--(MOD(A36-$A$5:A36,Parameters!$D$28)=0),$F$5:F36,POWER(Parameters!$D$27,IF(A36-$A$5:A36=0,1,A36-$A$5:A36))),0)</f>
        <v>0.0</v>
      </c>
      <c r="I36" s="7">
        <f>Parameters!$D$23*I35+B36*Parameters!$D$22</f>
        <v>0.0</v>
      </c>
      <c r="J36" s="7">
        <f>E36*Parameters!$D$14*(1-Parameters!$D$15)</f>
        <v>1900.0</v>
      </c>
      <c r="K36" s="7">
        <f>H36*Parameters!$D$29</f>
        <v>0.0</v>
      </c>
      <c r="L36" s="7">
        <f>I36*Parameters!$D$24</f>
        <v>0.0</v>
      </c>
      <c r="M36" s="7">
        <f>J36+K36+L36</f>
        <v>1900.0</v>
      </c>
      <c r="N36" s="7">
        <f>C36*Parameters!$D$17+D36*Parameters!$D$18+E36*Parameters!$D$16+I36*Parameters!$D$25+G36*Parameters!$D$30</f>
        <v>300.0</v>
      </c>
      <c r="O36" s="7">
        <f>B36*Parameters!$D$19</f>
        <v>4000</v>
      </c>
      <c r="P36" s="7">
        <f>M36-N36-O36</f>
        <v>-2400.0</v>
      </c>
      <c r="Q36" s="7">
        <f>Parameters!$D$21</f>
        <v>1000</v>
      </c>
      <c r="R36" s="7">
        <f>P36-Q36</f>
        <v>-3400.0</v>
      </c>
      <c r="S36" s="7">
        <f>IF(A36&lt;1+Parameters!$D$31,0,INDEX($M$5:$M$40,A36-Parameters!$D$31))</f>
        <v>1900.0</v>
      </c>
      <c r="T36" s="7">
        <f>T35+M36-S36</f>
        <v>1900.0</v>
      </c>
      <c r="U36" s="7">
        <f>S36-N36-O36-Q36</f>
        <v>-3400.0</v>
      </c>
      <c r="V36" s="7">
        <f>V35+U36</f>
        <v>-110700.0</v>
      </c>
      <c r="W36" s="7">
        <f>(1-Parameters!$D$7)*(C36-E36)+(1-Parameters!$D$8)*(D36+E36)</f>
        <v>1000.0</v>
      </c>
      <c r="X36" s="7">
        <f>Parameters!$D$7*(C36-E36)+Parameters!$D$8*Parameters!$D$9*(D36+E36)</f>
        <v>0.0</v>
      </c>
      <c r="Y36" s="7">
        <f>Parameters!$D$8*(1-Parameters!$D$9)*(D36+E36)</f>
        <v>0.0</v>
      </c>
      <c r="Z36" s="7">
        <f>POWER(1/(1+Parameters!$D$32),A36-1)*(M36-N36)</f>
        <v>1175.3234341182165</v>
      </c>
    </row>
    <row r="37" spans="1:26">
      <c r="A37" s="7">
        <v>33</v>
      </c>
      <c r="B37" s="7">
        <f>Parameters!$D$20</f>
        <v>1000</v>
      </c>
      <c r="C37" s="7">
        <f>X36+B37</f>
        <v>1000.0</v>
      </c>
      <c r="D37" s="7">
        <f>Y36</f>
        <v>0.0</v>
      </c>
      <c r="E37" s="7">
        <f>Parameters!$D$6*C37</f>
        <v>100.0</v>
      </c>
      <c r="F37" s="7">
        <f>IF(Parameters!$D$5=1,E37,0)</f>
        <v>0.0</v>
      </c>
      <c r="G37" s="7">
        <f>Parameters!$D$27*G36+F37</f>
        <v>0.0</v>
      </c>
      <c r="H37" s="7">
        <f>IF(AND(Parameters!$D$5=1,Parameters!$D$26=1),SUMPRODUCT(--($A$5:A37&lt;A37),--(MOD(A37-$A$5:A37,Parameters!$D$28)=0),$F$5:F37,POWER(Parameters!$D$27,IF(A37-$A$5:A37=0,1,A37-$A$5:A37))),0)</f>
        <v>0.0</v>
      </c>
      <c r="I37" s="7">
        <f>Parameters!$D$23*I36+B37*Parameters!$D$22</f>
        <v>0.0</v>
      </c>
      <c r="J37" s="7">
        <f>E37*Parameters!$D$14*(1-Parameters!$D$15)</f>
        <v>1900.0</v>
      </c>
      <c r="K37" s="7">
        <f>H37*Parameters!$D$29</f>
        <v>0.0</v>
      </c>
      <c r="L37" s="7">
        <f>I37*Parameters!$D$24</f>
        <v>0.0</v>
      </c>
      <c r="M37" s="7">
        <f>J37+K37+L37</f>
        <v>1900.0</v>
      </c>
      <c r="N37" s="7">
        <f>C37*Parameters!$D$17+D37*Parameters!$D$18+E37*Parameters!$D$16+I37*Parameters!$D$25+G37*Parameters!$D$30</f>
        <v>300.0</v>
      </c>
      <c r="O37" s="7">
        <f>B37*Parameters!$D$19</f>
        <v>4000</v>
      </c>
      <c r="P37" s="7">
        <f>M37-N37-O37</f>
        <v>-2400.0</v>
      </c>
      <c r="Q37" s="7">
        <f>Parameters!$D$21</f>
        <v>1000</v>
      </c>
      <c r="R37" s="7">
        <f>P37-Q37</f>
        <v>-3400.0</v>
      </c>
      <c r="S37" s="7">
        <f>IF(A37&lt;1+Parameters!$D$31,0,INDEX($M$5:$M$40,A37-Parameters!$D$31))</f>
        <v>1900.0</v>
      </c>
      <c r="T37" s="7">
        <f>T36+M37-S37</f>
        <v>1900.0</v>
      </c>
      <c r="U37" s="7">
        <f>S37-N37-O37-Q37</f>
        <v>-3400.0</v>
      </c>
      <c r="V37" s="7">
        <f>V36+U37</f>
        <v>-114100.0</v>
      </c>
      <c r="W37" s="7">
        <f>(1-Parameters!$D$7)*(C37-E37)+(1-Parameters!$D$8)*(D37+E37)</f>
        <v>1000.0</v>
      </c>
      <c r="X37" s="7">
        <f>Parameters!$D$7*(C37-E37)+Parameters!$D$8*Parameters!$D$9*(D37+E37)</f>
        <v>0.0</v>
      </c>
      <c r="Y37" s="7">
        <f>Parameters!$D$8*(1-Parameters!$D$9)*(D37+E37)</f>
        <v>0.0</v>
      </c>
      <c r="Z37" s="7">
        <f>POWER(1/(1+Parameters!$D$32),A37-1)*(M37-N37)</f>
        <v>1163.6865684338777</v>
      </c>
    </row>
    <row r="38" spans="1:26">
      <c r="A38" s="7">
        <v>34</v>
      </c>
      <c r="B38" s="7">
        <f>Parameters!$D$20</f>
        <v>1000</v>
      </c>
      <c r="C38" s="7">
        <f>X37+B38</f>
        <v>1000.0</v>
      </c>
      <c r="D38" s="7">
        <f>Y37</f>
        <v>0.0</v>
      </c>
      <c r="E38" s="7">
        <f>Parameters!$D$6*C38</f>
        <v>100.0</v>
      </c>
      <c r="F38" s="7">
        <f>IF(Parameters!$D$5=1,E38,0)</f>
        <v>0.0</v>
      </c>
      <c r="G38" s="7">
        <f>Parameters!$D$27*G37+F38</f>
        <v>0.0</v>
      </c>
      <c r="H38" s="7">
        <f>IF(AND(Parameters!$D$5=1,Parameters!$D$26=1),SUMPRODUCT(--($A$5:A38&lt;A38),--(MOD(A38-$A$5:A38,Parameters!$D$28)=0),$F$5:F38,POWER(Parameters!$D$27,IF(A38-$A$5:A38=0,1,A38-$A$5:A38))),0)</f>
        <v>0.0</v>
      </c>
      <c r="I38" s="7">
        <f>Parameters!$D$23*I37+B38*Parameters!$D$22</f>
        <v>0.0</v>
      </c>
      <c r="J38" s="7">
        <f>E38*Parameters!$D$14*(1-Parameters!$D$15)</f>
        <v>1900.0</v>
      </c>
      <c r="K38" s="7">
        <f>H38*Parameters!$D$29</f>
        <v>0.0</v>
      </c>
      <c r="L38" s="7">
        <f>I38*Parameters!$D$24</f>
        <v>0.0</v>
      </c>
      <c r="M38" s="7">
        <f>J38+K38+L38</f>
        <v>1900.0</v>
      </c>
      <c r="N38" s="7">
        <f>C38*Parameters!$D$17+D38*Parameters!$D$18+E38*Parameters!$D$16+I38*Parameters!$D$25+G38*Parameters!$D$30</f>
        <v>300.0</v>
      </c>
      <c r="O38" s="7">
        <f>B38*Parameters!$D$19</f>
        <v>4000</v>
      </c>
      <c r="P38" s="7">
        <f>M38-N38-O38</f>
        <v>-2400.0</v>
      </c>
      <c r="Q38" s="7">
        <f>Parameters!$D$21</f>
        <v>1000</v>
      </c>
      <c r="R38" s="7">
        <f>P38-Q38</f>
        <v>-3400.0</v>
      </c>
      <c r="S38" s="7">
        <f>IF(A38&lt;1+Parameters!$D$31,0,INDEX($M$5:$M$40,A38-Parameters!$D$31))</f>
        <v>1900.0</v>
      </c>
      <c r="T38" s="7">
        <f>T37+M38-S38</f>
        <v>1900.0</v>
      </c>
      <c r="U38" s="7">
        <f>S38-N38-O38-Q38</f>
        <v>-3400.0</v>
      </c>
      <c r="V38" s="7">
        <f>V37+U38</f>
        <v>-117500.0</v>
      </c>
      <c r="W38" s="7">
        <f>(1-Parameters!$D$7)*(C38-E38)+(1-Parameters!$D$8)*(D38+E38)</f>
        <v>1000.0</v>
      </c>
      <c r="X38" s="7">
        <f>Parameters!$D$7*(C38-E38)+Parameters!$D$8*Parameters!$D$9*(D38+E38)</f>
        <v>0.0</v>
      </c>
      <c r="Y38" s="7">
        <f>Parameters!$D$8*(1-Parameters!$D$9)*(D38+E38)</f>
        <v>0.0</v>
      </c>
      <c r="Z38" s="7">
        <f>POWER(1/(1+Parameters!$D$32),A38-1)*(M38-N38)</f>
        <v>1152.164919241463</v>
      </c>
    </row>
    <row r="39" spans="1:26">
      <c r="A39" s="7">
        <v>35</v>
      </c>
      <c r="B39" s="7">
        <f>Parameters!$D$20</f>
        <v>1000</v>
      </c>
      <c r="C39" s="7">
        <f>X38+B39</f>
        <v>1000.0</v>
      </c>
      <c r="D39" s="7">
        <f>Y38</f>
        <v>0.0</v>
      </c>
      <c r="E39" s="7">
        <f>Parameters!$D$6*C39</f>
        <v>100.0</v>
      </c>
      <c r="F39" s="7">
        <f>IF(Parameters!$D$5=1,E39,0)</f>
        <v>0.0</v>
      </c>
      <c r="G39" s="7">
        <f>Parameters!$D$27*G38+F39</f>
        <v>0.0</v>
      </c>
      <c r="H39" s="7">
        <f>IF(AND(Parameters!$D$5=1,Parameters!$D$26=1),SUMPRODUCT(--($A$5:A39&lt;A39),--(MOD(A39-$A$5:A39,Parameters!$D$28)=0),$F$5:F39,POWER(Parameters!$D$27,IF(A39-$A$5:A39=0,1,A39-$A$5:A39))),0)</f>
        <v>0.0</v>
      </c>
      <c r="I39" s="7">
        <f>Parameters!$D$23*I38+B39*Parameters!$D$22</f>
        <v>0.0</v>
      </c>
      <c r="J39" s="7">
        <f>E39*Parameters!$D$14*(1-Parameters!$D$15)</f>
        <v>1900.0</v>
      </c>
      <c r="K39" s="7">
        <f>H39*Parameters!$D$29</f>
        <v>0.0</v>
      </c>
      <c r="L39" s="7">
        <f>I39*Parameters!$D$24</f>
        <v>0.0</v>
      </c>
      <c r="M39" s="7">
        <f>J39+K39+L39</f>
        <v>1900.0</v>
      </c>
      <c r="N39" s="7">
        <f>C39*Parameters!$D$17+D39*Parameters!$D$18+E39*Parameters!$D$16+I39*Parameters!$D$25+G39*Parameters!$D$30</f>
        <v>300.0</v>
      </c>
      <c r="O39" s="7">
        <f>B39*Parameters!$D$19</f>
        <v>4000</v>
      </c>
      <c r="P39" s="7">
        <f>M39-N39-O39</f>
        <v>-2400.0</v>
      </c>
      <c r="Q39" s="7">
        <f>Parameters!$D$21</f>
        <v>1000</v>
      </c>
      <c r="R39" s="7">
        <f>P39-Q39</f>
        <v>-3400.0</v>
      </c>
      <c r="S39" s="7">
        <f>IF(A39&lt;1+Parameters!$D$31,0,INDEX($M$5:$M$40,A39-Parameters!$D$31))</f>
        <v>1900.0</v>
      </c>
      <c r="T39" s="7">
        <f>T38+M39-S39</f>
        <v>1900.0</v>
      </c>
      <c r="U39" s="7">
        <f>S39-N39-O39-Q39</f>
        <v>-3400.0</v>
      </c>
      <c r="V39" s="7">
        <f>V38+U39</f>
        <v>-120900.0</v>
      </c>
      <c r="W39" s="7">
        <f>(1-Parameters!$D$7)*(C39-E39)+(1-Parameters!$D$8)*(D39+E39)</f>
        <v>1000.0</v>
      </c>
      <c r="X39" s="7">
        <f>Parameters!$D$7*(C39-E39)+Parameters!$D$8*Parameters!$D$9*(D39+E39)</f>
        <v>0.0</v>
      </c>
      <c r="Y39" s="7">
        <f>Parameters!$D$8*(1-Parameters!$D$9)*(D39+E39)</f>
        <v>0.0</v>
      </c>
      <c r="Z39" s="7">
        <f>POWER(1/(1+Parameters!$D$32),A39-1)*(M39-N39)</f>
        <v>1140.7573457836265</v>
      </c>
    </row>
    <row r="40" spans="1:26">
      <c r="A40" s="7">
        <v>36</v>
      </c>
      <c r="B40" s="7">
        <f>Parameters!$D$20</f>
        <v>1000</v>
      </c>
      <c r="C40" s="7">
        <f>X39+B40</f>
        <v>1000.0</v>
      </c>
      <c r="D40" s="7">
        <f>Y39</f>
        <v>0.0</v>
      </c>
      <c r="E40" s="7">
        <f>Parameters!$D$6*C40</f>
        <v>100.0</v>
      </c>
      <c r="F40" s="7">
        <f>IF(Parameters!$D$5=1,E40,0)</f>
        <v>0.0</v>
      </c>
      <c r="G40" s="7">
        <f>Parameters!$D$27*G39+F40</f>
        <v>0.0</v>
      </c>
      <c r="H40" s="7">
        <f>IF(AND(Parameters!$D$5=1,Parameters!$D$26=1),SUMPRODUCT(--($A$5:A40&lt;A40),--(MOD(A40-$A$5:A40,Parameters!$D$28)=0),$F$5:F40,POWER(Parameters!$D$27,IF(A40-$A$5:A40=0,1,A40-$A$5:A40))),0)</f>
        <v>0.0</v>
      </c>
      <c r="I40" s="7">
        <f>Parameters!$D$23*I39+B40*Parameters!$D$22</f>
        <v>0.0</v>
      </c>
      <c r="J40" s="7">
        <f>E40*Parameters!$D$14*(1-Parameters!$D$15)</f>
        <v>1900.0</v>
      </c>
      <c r="K40" s="7">
        <f>H40*Parameters!$D$29</f>
        <v>0.0</v>
      </c>
      <c r="L40" s="7">
        <f>I40*Parameters!$D$24</f>
        <v>0.0</v>
      </c>
      <c r="M40" s="7">
        <f>J40+K40+L40</f>
        <v>1900.0</v>
      </c>
      <c r="N40" s="7">
        <f>C40*Parameters!$D$17+D40*Parameters!$D$18+E40*Parameters!$D$16+I40*Parameters!$D$25+G40*Parameters!$D$30</f>
        <v>300.0</v>
      </c>
      <c r="O40" s="7">
        <f>B40*Parameters!$D$19</f>
        <v>4000</v>
      </c>
      <c r="P40" s="7">
        <f>M40-N40-O40</f>
        <v>-2400.0</v>
      </c>
      <c r="Q40" s="7">
        <f>Parameters!$D$21</f>
        <v>1000</v>
      </c>
      <c r="R40" s="7">
        <f>P40-Q40</f>
        <v>-3400.0</v>
      </c>
      <c r="S40" s="7">
        <f>IF(A40&lt;1+Parameters!$D$31,0,INDEX($M$5:$M$40,A40-Parameters!$D$31))</f>
        <v>1900.0</v>
      </c>
      <c r="T40" s="7">
        <f>T39+M40-S40</f>
        <v>1900.0</v>
      </c>
      <c r="U40" s="7">
        <f>S40-N40-O40-Q40</f>
        <v>-3400.0</v>
      </c>
      <c r="V40" s="7">
        <f>V39+U40</f>
        <v>-124300.0</v>
      </c>
      <c r="W40" s="7">
        <f>(1-Parameters!$D$7)*(C40-E40)+(1-Parameters!$D$8)*(D40+E40)</f>
        <v>1000.0</v>
      </c>
      <c r="X40" s="7">
        <f>Parameters!$D$7*(C40-E40)+Parameters!$D$8*Parameters!$D$9*(D40+E40)</f>
        <v>0.0</v>
      </c>
      <c r="Y40" s="7">
        <f>Parameters!$D$8*(1-Parameters!$D$9)*(D40+E40)</f>
        <v>0.0</v>
      </c>
      <c r="Z40" s="7">
        <f>POWER(1/(1+Parameters!$D$32),A40-1)*(M40-N40)</f>
        <v>1129.46271859765</v>
      </c>
    </row>
    <row r="43" spans="1:26">
      <c r="A43" s="1" t="s">
        <v>189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45" customHeight="1">
      <c r="A44" s="4" t="s">
        <v>164</v>
      </c>
      <c r="B44" s="4" t="s">
        <v>165</v>
      </c>
      <c r="C44" s="4" t="s">
        <v>166</v>
      </c>
      <c r="D44" s="4" t="s">
        <v>167</v>
      </c>
      <c r="E44" s="4" t="s">
        <v>168</v>
      </c>
      <c r="F44" s="4" t="s">
        <v>169</v>
      </c>
      <c r="G44" s="4" t="s">
        <v>170</v>
      </c>
      <c r="H44" s="4" t="s">
        <v>171</v>
      </c>
      <c r="I44" s="4" t="s">
        <v>172</v>
      </c>
      <c r="J44" s="4" t="s">
        <v>173</v>
      </c>
      <c r="K44" s="4" t="s">
        <v>174</v>
      </c>
      <c r="L44" s="4" t="s">
        <v>175</v>
      </c>
      <c r="M44" s="4" t="s">
        <v>176</v>
      </c>
      <c r="N44" s="4" t="s">
        <v>177</v>
      </c>
      <c r="O44" s="4" t="s">
        <v>99</v>
      </c>
      <c r="P44" s="4" t="s">
        <v>178</v>
      </c>
      <c r="Q44" s="4" t="s">
        <v>179</v>
      </c>
      <c r="R44" s="4" t="s">
        <v>180</v>
      </c>
      <c r="S44" s="4" t="s">
        <v>181</v>
      </c>
      <c r="T44" s="4" t="s">
        <v>182</v>
      </c>
      <c r="U44" s="4" t="s">
        <v>183</v>
      </c>
      <c r="V44" s="4" t="s">
        <v>184</v>
      </c>
      <c r="W44" s="4" t="s">
        <v>185</v>
      </c>
      <c r="X44" s="4" t="s">
        <v>186</v>
      </c>
      <c r="Y44" s="4" t="s">
        <v>187</v>
      </c>
      <c r="Z44" s="4" t="s">
        <v>188</v>
      </c>
    </row>
    <row r="45" spans="1:26">
      <c r="A45" s="7">
        <v>1</v>
      </c>
      <c r="B45" s="7">
        <f>1</f>
        <v>1</v>
      </c>
      <c r="C45" s="7">
        <f>B45</f>
        <v>1</v>
      </c>
      <c r="D45" s="7">
        <f>0</f>
        <v>0.0</v>
      </c>
      <c r="E45" s="7">
        <f>Parameters!$D$6*C45</f>
        <v>0.1</v>
      </c>
      <c r="F45" s="7">
        <f>IF(Parameters!$D$5=1,E45,0)</f>
        <v>0.0</v>
      </c>
      <c r="G45" s="7">
        <f>F45</f>
        <v>0.0</v>
      </c>
      <c r="H45" s="7">
        <f>IF(AND(Parameters!$D$5=1,Parameters!$D$26=1),SUMPRODUCT(--($A$45:A45&lt;A45),--(MOD(A45-$A$45:A45,Parameters!$D$28)=0),$F$45:F45,POWER(Parameters!$D$27,IF(A45-$A$45:A45=0,1,A45-$A$45:A45))),0)</f>
        <v>0.0</v>
      </c>
      <c r="I45" s="7">
        <f>B45*Parameters!$D$22</f>
        <v>0.0</v>
      </c>
      <c r="J45" s="7">
        <f>E45*Parameters!$D$14*(1-Parameters!$D$15)</f>
        <v>1.9</v>
      </c>
      <c r="K45" s="7">
        <f>H45*Parameters!$D$29</f>
        <v>0.0</v>
      </c>
      <c r="L45" s="7">
        <f>I45*Parameters!$D$24</f>
        <v>0.0</v>
      </c>
      <c r="M45" s="7">
        <f>J45+K45+L45</f>
        <v>1.9</v>
      </c>
      <c r="N45" s="7">
        <f>C45*Parameters!$D$17+D45*Parameters!$D$18+E45*Parameters!$D$16+I45*Parameters!$D$25+G45*Parameters!$D$30</f>
        <v>0.30000000000000004</v>
      </c>
      <c r="O45" s="7">
        <f>0</f>
        <v>0</v>
      </c>
      <c r="P45" s="7">
        <f>M45-N45-O45</f>
        <v>1.5999999999999999</v>
      </c>
      <c r="Q45" s="7">
        <f>0</f>
        <v>0</v>
      </c>
      <c r="R45" s="7">
        <f>P45-Q45</f>
        <v>1.5999999999999999</v>
      </c>
      <c r="S45" s="7">
        <f>IF(A45&lt;1+Parameters!$D$31,0,INDEX($M$45:$M$80,A45-Parameters!$D$31))</f>
        <v>0.0</v>
      </c>
      <c r="T45" s="7">
        <f>M45-S45</f>
        <v>1.9</v>
      </c>
      <c r="U45" s="7">
        <f>S45-N45-O45-Q45</f>
        <v>-0.30000000000000004</v>
      </c>
      <c r="V45" s="7">
        <f>U45</f>
        <v>-0.30000000000000004</v>
      </c>
      <c r="W45" s="7">
        <f>(1-Parameters!$D$7)*(C45-E45)+(1-Parameters!$D$8)*(D45+E45)</f>
        <v>1.0</v>
      </c>
      <c r="X45" s="7">
        <f>Parameters!$D$7*(C45-E45)+Parameters!$D$8*Parameters!$D$9*(D45+E45)</f>
        <v>0.0</v>
      </c>
      <c r="Y45" s="7">
        <f>Parameters!$D$8*(1-Parameters!$D$9)*(D45+E45)</f>
        <v>0.0</v>
      </c>
      <c r="Z45" s="7">
        <f>POWER(1/(1+Parameters!$D$32),A45-1)*(M45-N45)</f>
        <v>1.5999999999999999</v>
      </c>
    </row>
    <row r="46" spans="1:26">
      <c r="A46" s="7">
        <v>2</v>
      </c>
      <c r="B46" s="7">
        <f>0</f>
        <v>0</v>
      </c>
      <c r="C46" s="7">
        <f>X45+B46</f>
        <v>0.0</v>
      </c>
      <c r="D46" s="7">
        <f>Y45</f>
        <v>0.0</v>
      </c>
      <c r="E46" s="7">
        <f>Parameters!$D$6*C46</f>
        <v>0.0</v>
      </c>
      <c r="F46" s="7">
        <f>IF(Parameters!$D$5=1,E46,0)</f>
        <v>0.0</v>
      </c>
      <c r="G46" s="7">
        <f>Parameters!$D$27*G45+F46</f>
        <v>0.0</v>
      </c>
      <c r="H46" s="7">
        <f>IF(AND(Parameters!$D$5=1,Parameters!$D$26=1),SUMPRODUCT(--($A$45:A46&lt;A46),--(MOD(A46-$A$45:A46,Parameters!$D$28)=0),$F$45:F46,POWER(Parameters!$D$27,IF(A46-$A$45:A46=0,1,A46-$A$45:A46))),0)</f>
        <v>0.0</v>
      </c>
      <c r="I46" s="7">
        <f>Parameters!$D$23*I45+B46*Parameters!$D$22</f>
        <v>0.0</v>
      </c>
      <c r="J46" s="7">
        <f>E46*Parameters!$D$14*(1-Parameters!$D$15)</f>
        <v>0.0</v>
      </c>
      <c r="K46" s="7">
        <f>H46*Parameters!$D$29</f>
        <v>0.0</v>
      </c>
      <c r="L46" s="7">
        <f>I46*Parameters!$D$24</f>
        <v>0.0</v>
      </c>
      <c r="M46" s="7">
        <f>J46+K46+L46</f>
        <v>0.0</v>
      </c>
      <c r="N46" s="7">
        <f>C46*Parameters!$D$17+D46*Parameters!$D$18+E46*Parameters!$D$16+I46*Parameters!$D$25+G46*Parameters!$D$30</f>
        <v>0.0</v>
      </c>
      <c r="O46" s="7">
        <f>0</f>
        <v>0</v>
      </c>
      <c r="P46" s="7">
        <f>M46-N46-O46</f>
        <v>0.0</v>
      </c>
      <c r="Q46" s="7">
        <f>0</f>
        <v>0</v>
      </c>
      <c r="R46" s="7">
        <f>P46-Q46</f>
        <v>0.0</v>
      </c>
      <c r="S46" s="7">
        <f>IF(A46&lt;1+Parameters!$D$31,0,INDEX($M$45:$M$80,A46-Parameters!$D$31))</f>
        <v>1.9</v>
      </c>
      <c r="T46" s="7">
        <f>T45+M46-S46</f>
        <v>0.0</v>
      </c>
      <c r="U46" s="7">
        <f>S46-N46-O46-Q46</f>
        <v>1.9</v>
      </c>
      <c r="V46" s="7">
        <f>V45+U46</f>
        <v>1.5999999999999999</v>
      </c>
      <c r="W46" s="7">
        <f>(1-Parameters!$D$7)*(C46-E46)+(1-Parameters!$D$8)*(D46+E46)</f>
        <v>0.0</v>
      </c>
      <c r="X46" s="7">
        <f>Parameters!$D$7*(C46-E46)+Parameters!$D$8*Parameters!$D$9*(D46+E46)</f>
        <v>0.0</v>
      </c>
      <c r="Y46" s="7">
        <f>Parameters!$D$8*(1-Parameters!$D$9)*(D46+E46)</f>
        <v>0.0</v>
      </c>
      <c r="Z46" s="7">
        <f>POWER(1/(1+Parameters!$D$32),A46-1)*(M46-N46)</f>
        <v>0.0</v>
      </c>
    </row>
    <row r="47" spans="1:26">
      <c r="A47" s="7">
        <v>3</v>
      </c>
      <c r="B47" s="7">
        <f>0</f>
        <v>0</v>
      </c>
      <c r="C47" s="7">
        <f>X46+B47</f>
        <v>0.0</v>
      </c>
      <c r="D47" s="7">
        <f>Y46</f>
        <v>0.0</v>
      </c>
      <c r="E47" s="7">
        <f>Parameters!$D$6*C47</f>
        <v>0.0</v>
      </c>
      <c r="F47" s="7">
        <f>IF(Parameters!$D$5=1,E47,0)</f>
        <v>0.0</v>
      </c>
      <c r="G47" s="7">
        <f>Parameters!$D$27*G46+F47</f>
        <v>0.0</v>
      </c>
      <c r="H47" s="7">
        <f>IF(AND(Parameters!$D$5=1,Parameters!$D$26=1),SUMPRODUCT(--($A$45:A47&lt;A47),--(MOD(A47-$A$45:A47,Parameters!$D$28)=0),$F$45:F47,POWER(Parameters!$D$27,IF(A47-$A$45:A47=0,1,A47-$A$45:A47))),0)</f>
        <v>0.0</v>
      </c>
      <c r="I47" s="7">
        <f>Parameters!$D$23*I46+B47*Parameters!$D$22</f>
        <v>0.0</v>
      </c>
      <c r="J47" s="7">
        <f>E47*Parameters!$D$14*(1-Parameters!$D$15)</f>
        <v>0.0</v>
      </c>
      <c r="K47" s="7">
        <f>H47*Parameters!$D$29</f>
        <v>0.0</v>
      </c>
      <c r="L47" s="7">
        <f>I47*Parameters!$D$24</f>
        <v>0.0</v>
      </c>
      <c r="M47" s="7">
        <f>J47+K47+L47</f>
        <v>0.0</v>
      </c>
      <c r="N47" s="7">
        <f>C47*Parameters!$D$17+D47*Parameters!$D$18+E47*Parameters!$D$16+I47*Parameters!$D$25+G47*Parameters!$D$30</f>
        <v>0.0</v>
      </c>
      <c r="O47" s="7">
        <f>0</f>
        <v>0</v>
      </c>
      <c r="P47" s="7">
        <f>M47-N47-O47</f>
        <v>0.0</v>
      </c>
      <c r="Q47" s="7">
        <f>0</f>
        <v>0</v>
      </c>
      <c r="R47" s="7">
        <f>P47-Q47</f>
        <v>0.0</v>
      </c>
      <c r="S47" s="7">
        <f>IF(A47&lt;1+Parameters!$D$31,0,INDEX($M$45:$M$80,A47-Parameters!$D$31))</f>
        <v>0.0</v>
      </c>
      <c r="T47" s="7">
        <f>T46+M47-S47</f>
        <v>0.0</v>
      </c>
      <c r="U47" s="7">
        <f>S47-N47-O47-Q47</f>
        <v>0.0</v>
      </c>
      <c r="V47" s="7">
        <f>V46+U47</f>
        <v>1.5999999999999999</v>
      </c>
      <c r="W47" s="7">
        <f>(1-Parameters!$D$7)*(C47-E47)+(1-Parameters!$D$8)*(D47+E47)</f>
        <v>0.0</v>
      </c>
      <c r="X47" s="7">
        <f>Parameters!$D$7*(C47-E47)+Parameters!$D$8*Parameters!$D$9*(D47+E47)</f>
        <v>0.0</v>
      </c>
      <c r="Y47" s="7">
        <f>Parameters!$D$8*(1-Parameters!$D$9)*(D47+E47)</f>
        <v>0.0</v>
      </c>
      <c r="Z47" s="7">
        <f>POWER(1/(1+Parameters!$D$32),A47-1)*(M47-N47)</f>
        <v>0.0</v>
      </c>
    </row>
    <row r="48" spans="1:26">
      <c r="A48" s="7">
        <v>4</v>
      </c>
      <c r="B48" s="7">
        <f>0</f>
        <v>0</v>
      </c>
      <c r="C48" s="7">
        <f>X47+B48</f>
        <v>0.0</v>
      </c>
      <c r="D48" s="7">
        <f>Y47</f>
        <v>0.0</v>
      </c>
      <c r="E48" s="7">
        <f>Parameters!$D$6*C48</f>
        <v>0.0</v>
      </c>
      <c r="F48" s="7">
        <f>IF(Parameters!$D$5=1,E48,0)</f>
        <v>0.0</v>
      </c>
      <c r="G48" s="7">
        <f>Parameters!$D$27*G47+F48</f>
        <v>0.0</v>
      </c>
      <c r="H48" s="7">
        <f>IF(AND(Parameters!$D$5=1,Parameters!$D$26=1),SUMPRODUCT(--($A$45:A48&lt;A48),--(MOD(A48-$A$45:A48,Parameters!$D$28)=0),$F$45:F48,POWER(Parameters!$D$27,IF(A48-$A$45:A48=0,1,A48-$A$45:A48))),0)</f>
        <v>0.0</v>
      </c>
      <c r="I48" s="7">
        <f>Parameters!$D$23*I47+B48*Parameters!$D$22</f>
        <v>0.0</v>
      </c>
      <c r="J48" s="7">
        <f>E48*Parameters!$D$14*(1-Parameters!$D$15)</f>
        <v>0.0</v>
      </c>
      <c r="K48" s="7">
        <f>H48*Parameters!$D$29</f>
        <v>0.0</v>
      </c>
      <c r="L48" s="7">
        <f>I48*Parameters!$D$24</f>
        <v>0.0</v>
      </c>
      <c r="M48" s="7">
        <f>J48+K48+L48</f>
        <v>0.0</v>
      </c>
      <c r="N48" s="7">
        <f>C48*Parameters!$D$17+D48*Parameters!$D$18+E48*Parameters!$D$16+I48*Parameters!$D$25+G48*Parameters!$D$30</f>
        <v>0.0</v>
      </c>
      <c r="O48" s="7">
        <f>0</f>
        <v>0</v>
      </c>
      <c r="P48" s="7">
        <f>M48-N48-O48</f>
        <v>0.0</v>
      </c>
      <c r="Q48" s="7">
        <f>0</f>
        <v>0</v>
      </c>
      <c r="R48" s="7">
        <f>P48-Q48</f>
        <v>0.0</v>
      </c>
      <c r="S48" s="7">
        <f>IF(A48&lt;1+Parameters!$D$31,0,INDEX($M$45:$M$80,A48-Parameters!$D$31))</f>
        <v>0.0</v>
      </c>
      <c r="T48" s="7">
        <f>T47+M48-S48</f>
        <v>0.0</v>
      </c>
      <c r="U48" s="7">
        <f>S48-N48-O48-Q48</f>
        <v>0.0</v>
      </c>
      <c r="V48" s="7">
        <f>V47+U48</f>
        <v>1.5999999999999999</v>
      </c>
      <c r="W48" s="7">
        <f>(1-Parameters!$D$7)*(C48-E48)+(1-Parameters!$D$8)*(D48+E48)</f>
        <v>0.0</v>
      </c>
      <c r="X48" s="7">
        <f>Parameters!$D$7*(C48-E48)+Parameters!$D$8*Parameters!$D$9*(D48+E48)</f>
        <v>0.0</v>
      </c>
      <c r="Y48" s="7">
        <f>Parameters!$D$8*(1-Parameters!$D$9)*(D48+E48)</f>
        <v>0.0</v>
      </c>
      <c r="Z48" s="7">
        <f>POWER(1/(1+Parameters!$D$32),A48-1)*(M48-N48)</f>
        <v>0.0</v>
      </c>
    </row>
    <row r="49" spans="1:26">
      <c r="A49" s="7">
        <v>5</v>
      </c>
      <c r="B49" s="7">
        <f>0</f>
        <v>0</v>
      </c>
      <c r="C49" s="7">
        <f>X48+B49</f>
        <v>0.0</v>
      </c>
      <c r="D49" s="7">
        <f>Y48</f>
        <v>0.0</v>
      </c>
      <c r="E49" s="7">
        <f>Parameters!$D$6*C49</f>
        <v>0.0</v>
      </c>
      <c r="F49" s="7">
        <f>IF(Parameters!$D$5=1,E49,0)</f>
        <v>0.0</v>
      </c>
      <c r="G49" s="7">
        <f>Parameters!$D$27*G48+F49</f>
        <v>0.0</v>
      </c>
      <c r="H49" s="7">
        <f>IF(AND(Parameters!$D$5=1,Parameters!$D$26=1),SUMPRODUCT(--($A$45:A49&lt;A49),--(MOD(A49-$A$45:A49,Parameters!$D$28)=0),$F$45:F49,POWER(Parameters!$D$27,IF(A49-$A$45:A49=0,1,A49-$A$45:A49))),0)</f>
        <v>0.0</v>
      </c>
      <c r="I49" s="7">
        <f>Parameters!$D$23*I48+B49*Parameters!$D$22</f>
        <v>0.0</v>
      </c>
      <c r="J49" s="7">
        <f>E49*Parameters!$D$14*(1-Parameters!$D$15)</f>
        <v>0.0</v>
      </c>
      <c r="K49" s="7">
        <f>H49*Parameters!$D$29</f>
        <v>0.0</v>
      </c>
      <c r="L49" s="7">
        <f>I49*Parameters!$D$24</f>
        <v>0.0</v>
      </c>
      <c r="M49" s="7">
        <f>J49+K49+L49</f>
        <v>0.0</v>
      </c>
      <c r="N49" s="7">
        <f>C49*Parameters!$D$17+D49*Parameters!$D$18+E49*Parameters!$D$16+I49*Parameters!$D$25+G49*Parameters!$D$30</f>
        <v>0.0</v>
      </c>
      <c r="O49" s="7">
        <f>0</f>
        <v>0</v>
      </c>
      <c r="P49" s="7">
        <f>M49-N49-O49</f>
        <v>0.0</v>
      </c>
      <c r="Q49" s="7">
        <f>0</f>
        <v>0</v>
      </c>
      <c r="R49" s="7">
        <f>P49-Q49</f>
        <v>0.0</v>
      </c>
      <c r="S49" s="7">
        <f>IF(A49&lt;1+Parameters!$D$31,0,INDEX($M$45:$M$80,A49-Parameters!$D$31))</f>
        <v>0.0</v>
      </c>
      <c r="T49" s="7">
        <f>T48+M49-S49</f>
        <v>0.0</v>
      </c>
      <c r="U49" s="7">
        <f>S49-N49-O49-Q49</f>
        <v>0.0</v>
      </c>
      <c r="V49" s="7">
        <f>V48+U49</f>
        <v>1.5999999999999999</v>
      </c>
      <c r="W49" s="7">
        <f>(1-Parameters!$D$7)*(C49-E49)+(1-Parameters!$D$8)*(D49+E49)</f>
        <v>0.0</v>
      </c>
      <c r="X49" s="7">
        <f>Parameters!$D$7*(C49-E49)+Parameters!$D$8*Parameters!$D$9*(D49+E49)</f>
        <v>0.0</v>
      </c>
      <c r="Y49" s="7">
        <f>Parameters!$D$8*(1-Parameters!$D$9)*(D49+E49)</f>
        <v>0.0</v>
      </c>
      <c r="Z49" s="7">
        <f>POWER(1/(1+Parameters!$D$32),A49-1)*(M49-N49)</f>
        <v>0.0</v>
      </c>
    </row>
    <row r="50" spans="1:26">
      <c r="A50" s="7">
        <v>6</v>
      </c>
      <c r="B50" s="7">
        <f>0</f>
        <v>0</v>
      </c>
      <c r="C50" s="7">
        <f>X49+B50</f>
        <v>0.0</v>
      </c>
      <c r="D50" s="7">
        <f>Y49</f>
        <v>0.0</v>
      </c>
      <c r="E50" s="7">
        <f>Parameters!$D$6*C50</f>
        <v>0.0</v>
      </c>
      <c r="F50" s="7">
        <f>IF(Parameters!$D$5=1,E50,0)</f>
        <v>0.0</v>
      </c>
      <c r="G50" s="7">
        <f>Parameters!$D$27*G49+F50</f>
        <v>0.0</v>
      </c>
      <c r="H50" s="7">
        <f>IF(AND(Parameters!$D$5=1,Parameters!$D$26=1),SUMPRODUCT(--($A$45:A50&lt;A50),--(MOD(A50-$A$45:A50,Parameters!$D$28)=0),$F$45:F50,POWER(Parameters!$D$27,IF(A50-$A$45:A50=0,1,A50-$A$45:A50))),0)</f>
        <v>0.0</v>
      </c>
      <c r="I50" s="7">
        <f>Parameters!$D$23*I49+B50*Parameters!$D$22</f>
        <v>0.0</v>
      </c>
      <c r="J50" s="7">
        <f>E50*Parameters!$D$14*(1-Parameters!$D$15)</f>
        <v>0.0</v>
      </c>
      <c r="K50" s="7">
        <f>H50*Parameters!$D$29</f>
        <v>0.0</v>
      </c>
      <c r="L50" s="7">
        <f>I50*Parameters!$D$24</f>
        <v>0.0</v>
      </c>
      <c r="M50" s="7">
        <f>J50+K50+L50</f>
        <v>0.0</v>
      </c>
      <c r="N50" s="7">
        <f>C50*Parameters!$D$17+D50*Parameters!$D$18+E50*Parameters!$D$16+I50*Parameters!$D$25+G50*Parameters!$D$30</f>
        <v>0.0</v>
      </c>
      <c r="O50" s="7">
        <f>0</f>
        <v>0</v>
      </c>
      <c r="P50" s="7">
        <f>M50-N50-O50</f>
        <v>0.0</v>
      </c>
      <c r="Q50" s="7">
        <f>0</f>
        <v>0</v>
      </c>
      <c r="R50" s="7">
        <f>P50-Q50</f>
        <v>0.0</v>
      </c>
      <c r="S50" s="7">
        <f>IF(A50&lt;1+Parameters!$D$31,0,INDEX($M$45:$M$80,A50-Parameters!$D$31))</f>
        <v>0.0</v>
      </c>
      <c r="T50" s="7">
        <f>T49+M50-S50</f>
        <v>0.0</v>
      </c>
      <c r="U50" s="7">
        <f>S50-N50-O50-Q50</f>
        <v>0.0</v>
      </c>
      <c r="V50" s="7">
        <f>V49+U50</f>
        <v>1.5999999999999999</v>
      </c>
      <c r="W50" s="7">
        <f>(1-Parameters!$D$7)*(C50-E50)+(1-Parameters!$D$8)*(D50+E50)</f>
        <v>0.0</v>
      </c>
      <c r="X50" s="7">
        <f>Parameters!$D$7*(C50-E50)+Parameters!$D$8*Parameters!$D$9*(D50+E50)</f>
        <v>0.0</v>
      </c>
      <c r="Y50" s="7">
        <f>Parameters!$D$8*(1-Parameters!$D$9)*(D50+E50)</f>
        <v>0.0</v>
      </c>
      <c r="Z50" s="7">
        <f>POWER(1/(1+Parameters!$D$32),A50-1)*(M50-N50)</f>
        <v>0.0</v>
      </c>
    </row>
    <row r="51" spans="1:26">
      <c r="A51" s="7">
        <v>7</v>
      </c>
      <c r="B51" s="7">
        <f>0</f>
        <v>0</v>
      </c>
      <c r="C51" s="7">
        <f>X50+B51</f>
        <v>0.0</v>
      </c>
      <c r="D51" s="7">
        <f>Y50</f>
        <v>0.0</v>
      </c>
      <c r="E51" s="7">
        <f>Parameters!$D$6*C51</f>
        <v>0.0</v>
      </c>
      <c r="F51" s="7">
        <f>IF(Parameters!$D$5=1,E51,0)</f>
        <v>0.0</v>
      </c>
      <c r="G51" s="7">
        <f>Parameters!$D$27*G50+F51</f>
        <v>0.0</v>
      </c>
      <c r="H51" s="7">
        <f>IF(AND(Parameters!$D$5=1,Parameters!$D$26=1),SUMPRODUCT(--($A$45:A51&lt;A51),--(MOD(A51-$A$45:A51,Parameters!$D$28)=0),$F$45:F51,POWER(Parameters!$D$27,IF(A51-$A$45:A51=0,1,A51-$A$45:A51))),0)</f>
        <v>0.0</v>
      </c>
      <c r="I51" s="7">
        <f>Parameters!$D$23*I50+B51*Parameters!$D$22</f>
        <v>0.0</v>
      </c>
      <c r="J51" s="7">
        <f>E51*Parameters!$D$14*(1-Parameters!$D$15)</f>
        <v>0.0</v>
      </c>
      <c r="K51" s="7">
        <f>H51*Parameters!$D$29</f>
        <v>0.0</v>
      </c>
      <c r="L51" s="7">
        <f>I51*Parameters!$D$24</f>
        <v>0.0</v>
      </c>
      <c r="M51" s="7">
        <f>J51+K51+L51</f>
        <v>0.0</v>
      </c>
      <c r="N51" s="7">
        <f>C51*Parameters!$D$17+D51*Parameters!$D$18+E51*Parameters!$D$16+I51*Parameters!$D$25+G51*Parameters!$D$30</f>
        <v>0.0</v>
      </c>
      <c r="O51" s="7">
        <f>0</f>
        <v>0</v>
      </c>
      <c r="P51" s="7">
        <f>M51-N51-O51</f>
        <v>0.0</v>
      </c>
      <c r="Q51" s="7">
        <f>0</f>
        <v>0</v>
      </c>
      <c r="R51" s="7">
        <f>P51-Q51</f>
        <v>0.0</v>
      </c>
      <c r="S51" s="7">
        <f>IF(A51&lt;1+Parameters!$D$31,0,INDEX($M$45:$M$80,A51-Parameters!$D$31))</f>
        <v>0.0</v>
      </c>
      <c r="T51" s="7">
        <f>T50+M51-S51</f>
        <v>0.0</v>
      </c>
      <c r="U51" s="7">
        <f>S51-N51-O51-Q51</f>
        <v>0.0</v>
      </c>
      <c r="V51" s="7">
        <f>V50+U51</f>
        <v>1.5999999999999999</v>
      </c>
      <c r="W51" s="7">
        <f>(1-Parameters!$D$7)*(C51-E51)+(1-Parameters!$D$8)*(D51+E51)</f>
        <v>0.0</v>
      </c>
      <c r="X51" s="7">
        <f>Parameters!$D$7*(C51-E51)+Parameters!$D$8*Parameters!$D$9*(D51+E51)</f>
        <v>0.0</v>
      </c>
      <c r="Y51" s="7">
        <f>Parameters!$D$8*(1-Parameters!$D$9)*(D51+E51)</f>
        <v>0.0</v>
      </c>
      <c r="Z51" s="7">
        <f>POWER(1/(1+Parameters!$D$32),A51-1)*(M51-N51)</f>
        <v>0.0</v>
      </c>
    </row>
    <row r="52" spans="1:26">
      <c r="A52" s="7">
        <v>8</v>
      </c>
      <c r="B52" s="7">
        <f>0</f>
        <v>0</v>
      </c>
      <c r="C52" s="7">
        <f>X51+B52</f>
        <v>0.0</v>
      </c>
      <c r="D52" s="7">
        <f>Y51</f>
        <v>0.0</v>
      </c>
      <c r="E52" s="7">
        <f>Parameters!$D$6*C52</f>
        <v>0.0</v>
      </c>
      <c r="F52" s="7">
        <f>IF(Parameters!$D$5=1,E52,0)</f>
        <v>0.0</v>
      </c>
      <c r="G52" s="7">
        <f>Parameters!$D$27*G51+F52</f>
        <v>0.0</v>
      </c>
      <c r="H52" s="7">
        <f>IF(AND(Parameters!$D$5=1,Parameters!$D$26=1),SUMPRODUCT(--($A$45:A52&lt;A52),--(MOD(A52-$A$45:A52,Parameters!$D$28)=0),$F$45:F52,POWER(Parameters!$D$27,IF(A52-$A$45:A52=0,1,A52-$A$45:A52))),0)</f>
        <v>0.0</v>
      </c>
      <c r="I52" s="7">
        <f>Parameters!$D$23*I51+B52*Parameters!$D$22</f>
        <v>0.0</v>
      </c>
      <c r="J52" s="7">
        <f>E52*Parameters!$D$14*(1-Parameters!$D$15)</f>
        <v>0.0</v>
      </c>
      <c r="K52" s="7">
        <f>H52*Parameters!$D$29</f>
        <v>0.0</v>
      </c>
      <c r="L52" s="7">
        <f>I52*Parameters!$D$24</f>
        <v>0.0</v>
      </c>
      <c r="M52" s="7">
        <f>J52+K52+L52</f>
        <v>0.0</v>
      </c>
      <c r="N52" s="7">
        <f>C52*Parameters!$D$17+D52*Parameters!$D$18+E52*Parameters!$D$16+I52*Parameters!$D$25+G52*Parameters!$D$30</f>
        <v>0.0</v>
      </c>
      <c r="O52" s="7">
        <f>0</f>
        <v>0</v>
      </c>
      <c r="P52" s="7">
        <f>M52-N52-O52</f>
        <v>0.0</v>
      </c>
      <c r="Q52" s="7">
        <f>0</f>
        <v>0</v>
      </c>
      <c r="R52" s="7">
        <f>P52-Q52</f>
        <v>0.0</v>
      </c>
      <c r="S52" s="7">
        <f>IF(A52&lt;1+Parameters!$D$31,0,INDEX($M$45:$M$80,A52-Parameters!$D$31))</f>
        <v>0.0</v>
      </c>
      <c r="T52" s="7">
        <f>T51+M52-S52</f>
        <v>0.0</v>
      </c>
      <c r="U52" s="7">
        <f>S52-N52-O52-Q52</f>
        <v>0.0</v>
      </c>
      <c r="V52" s="7">
        <f>V51+U52</f>
        <v>1.5999999999999999</v>
      </c>
      <c r="W52" s="7">
        <f>(1-Parameters!$D$7)*(C52-E52)+(1-Parameters!$D$8)*(D52+E52)</f>
        <v>0.0</v>
      </c>
      <c r="X52" s="7">
        <f>Parameters!$D$7*(C52-E52)+Parameters!$D$8*Parameters!$D$9*(D52+E52)</f>
        <v>0.0</v>
      </c>
      <c r="Y52" s="7">
        <f>Parameters!$D$8*(1-Parameters!$D$9)*(D52+E52)</f>
        <v>0.0</v>
      </c>
      <c r="Z52" s="7">
        <f>POWER(1/(1+Parameters!$D$32),A52-1)*(M52-N52)</f>
        <v>0.0</v>
      </c>
    </row>
    <row r="53" spans="1:26">
      <c r="A53" s="7">
        <v>9</v>
      </c>
      <c r="B53" s="7">
        <f>0</f>
        <v>0</v>
      </c>
      <c r="C53" s="7">
        <f>X52+B53</f>
        <v>0.0</v>
      </c>
      <c r="D53" s="7">
        <f>Y52</f>
        <v>0.0</v>
      </c>
      <c r="E53" s="7">
        <f>Parameters!$D$6*C53</f>
        <v>0.0</v>
      </c>
      <c r="F53" s="7">
        <f>IF(Parameters!$D$5=1,E53,0)</f>
        <v>0.0</v>
      </c>
      <c r="G53" s="7">
        <f>Parameters!$D$27*G52+F53</f>
        <v>0.0</v>
      </c>
      <c r="H53" s="7">
        <f>IF(AND(Parameters!$D$5=1,Parameters!$D$26=1),SUMPRODUCT(--($A$45:A53&lt;A53),--(MOD(A53-$A$45:A53,Parameters!$D$28)=0),$F$45:F53,POWER(Parameters!$D$27,IF(A53-$A$45:A53=0,1,A53-$A$45:A53))),0)</f>
        <v>0.0</v>
      </c>
      <c r="I53" s="7">
        <f>Parameters!$D$23*I52+B53*Parameters!$D$22</f>
        <v>0.0</v>
      </c>
      <c r="J53" s="7">
        <f>E53*Parameters!$D$14*(1-Parameters!$D$15)</f>
        <v>0.0</v>
      </c>
      <c r="K53" s="7">
        <f>H53*Parameters!$D$29</f>
        <v>0.0</v>
      </c>
      <c r="L53" s="7">
        <f>I53*Parameters!$D$24</f>
        <v>0.0</v>
      </c>
      <c r="M53" s="7">
        <f>J53+K53+L53</f>
        <v>0.0</v>
      </c>
      <c r="N53" s="7">
        <f>C53*Parameters!$D$17+D53*Parameters!$D$18+E53*Parameters!$D$16+I53*Parameters!$D$25+G53*Parameters!$D$30</f>
        <v>0.0</v>
      </c>
      <c r="O53" s="7">
        <f>0</f>
        <v>0</v>
      </c>
      <c r="P53" s="7">
        <f>M53-N53-O53</f>
        <v>0.0</v>
      </c>
      <c r="Q53" s="7">
        <f>0</f>
        <v>0</v>
      </c>
      <c r="R53" s="7">
        <f>P53-Q53</f>
        <v>0.0</v>
      </c>
      <c r="S53" s="7">
        <f>IF(A53&lt;1+Parameters!$D$31,0,INDEX($M$45:$M$80,A53-Parameters!$D$31))</f>
        <v>0.0</v>
      </c>
      <c r="T53" s="7">
        <f>T52+M53-S53</f>
        <v>0.0</v>
      </c>
      <c r="U53" s="7">
        <f>S53-N53-O53-Q53</f>
        <v>0.0</v>
      </c>
      <c r="V53" s="7">
        <f>V52+U53</f>
        <v>1.5999999999999999</v>
      </c>
      <c r="W53" s="7">
        <f>(1-Parameters!$D$7)*(C53-E53)+(1-Parameters!$D$8)*(D53+E53)</f>
        <v>0.0</v>
      </c>
      <c r="X53" s="7">
        <f>Parameters!$D$7*(C53-E53)+Parameters!$D$8*Parameters!$D$9*(D53+E53)</f>
        <v>0.0</v>
      </c>
      <c r="Y53" s="7">
        <f>Parameters!$D$8*(1-Parameters!$D$9)*(D53+E53)</f>
        <v>0.0</v>
      </c>
      <c r="Z53" s="7">
        <f>POWER(1/(1+Parameters!$D$32),A53-1)*(M53-N53)</f>
        <v>0.0</v>
      </c>
    </row>
    <row r="54" spans="1:26">
      <c r="A54" s="7">
        <v>10</v>
      </c>
      <c r="B54" s="7">
        <f>0</f>
        <v>0</v>
      </c>
      <c r="C54" s="7">
        <f>X53+B54</f>
        <v>0.0</v>
      </c>
      <c r="D54" s="7">
        <f>Y53</f>
        <v>0.0</v>
      </c>
      <c r="E54" s="7">
        <f>Parameters!$D$6*C54</f>
        <v>0.0</v>
      </c>
      <c r="F54" s="7">
        <f>IF(Parameters!$D$5=1,E54,0)</f>
        <v>0.0</v>
      </c>
      <c r="G54" s="7">
        <f>Parameters!$D$27*G53+F54</f>
        <v>0.0</v>
      </c>
      <c r="H54" s="7">
        <f>IF(AND(Parameters!$D$5=1,Parameters!$D$26=1),SUMPRODUCT(--($A$45:A54&lt;A54),--(MOD(A54-$A$45:A54,Parameters!$D$28)=0),$F$45:F54,POWER(Parameters!$D$27,IF(A54-$A$45:A54=0,1,A54-$A$45:A54))),0)</f>
        <v>0.0</v>
      </c>
      <c r="I54" s="7">
        <f>Parameters!$D$23*I53+B54*Parameters!$D$22</f>
        <v>0.0</v>
      </c>
      <c r="J54" s="7">
        <f>E54*Parameters!$D$14*(1-Parameters!$D$15)</f>
        <v>0.0</v>
      </c>
      <c r="K54" s="7">
        <f>H54*Parameters!$D$29</f>
        <v>0.0</v>
      </c>
      <c r="L54" s="7">
        <f>I54*Parameters!$D$24</f>
        <v>0.0</v>
      </c>
      <c r="M54" s="7">
        <f>J54+K54+L54</f>
        <v>0.0</v>
      </c>
      <c r="N54" s="7">
        <f>C54*Parameters!$D$17+D54*Parameters!$D$18+E54*Parameters!$D$16+I54*Parameters!$D$25+G54*Parameters!$D$30</f>
        <v>0.0</v>
      </c>
      <c r="O54" s="7">
        <f>0</f>
        <v>0</v>
      </c>
      <c r="P54" s="7">
        <f>M54-N54-O54</f>
        <v>0.0</v>
      </c>
      <c r="Q54" s="7">
        <f>0</f>
        <v>0</v>
      </c>
      <c r="R54" s="7">
        <f>P54-Q54</f>
        <v>0.0</v>
      </c>
      <c r="S54" s="7">
        <f>IF(A54&lt;1+Parameters!$D$31,0,INDEX($M$45:$M$80,A54-Parameters!$D$31))</f>
        <v>0.0</v>
      </c>
      <c r="T54" s="7">
        <f>T53+M54-S54</f>
        <v>0.0</v>
      </c>
      <c r="U54" s="7">
        <f>S54-N54-O54-Q54</f>
        <v>0.0</v>
      </c>
      <c r="V54" s="7">
        <f>V53+U54</f>
        <v>1.5999999999999999</v>
      </c>
      <c r="W54" s="7">
        <f>(1-Parameters!$D$7)*(C54-E54)+(1-Parameters!$D$8)*(D54+E54)</f>
        <v>0.0</v>
      </c>
      <c r="X54" s="7">
        <f>Parameters!$D$7*(C54-E54)+Parameters!$D$8*Parameters!$D$9*(D54+E54)</f>
        <v>0.0</v>
      </c>
      <c r="Y54" s="7">
        <f>Parameters!$D$8*(1-Parameters!$D$9)*(D54+E54)</f>
        <v>0.0</v>
      </c>
      <c r="Z54" s="7">
        <f>POWER(1/(1+Parameters!$D$32),A54-1)*(M54-N54)</f>
        <v>0.0</v>
      </c>
    </row>
    <row r="55" spans="1:26">
      <c r="A55" s="7">
        <v>11</v>
      </c>
      <c r="B55" s="7">
        <f>0</f>
        <v>0</v>
      </c>
      <c r="C55" s="7">
        <f>X54+B55</f>
        <v>0.0</v>
      </c>
      <c r="D55" s="7">
        <f>Y54</f>
        <v>0.0</v>
      </c>
      <c r="E55" s="7">
        <f>Parameters!$D$6*C55</f>
        <v>0.0</v>
      </c>
      <c r="F55" s="7">
        <f>IF(Parameters!$D$5=1,E55,0)</f>
        <v>0.0</v>
      </c>
      <c r="G55" s="7">
        <f>Parameters!$D$27*G54+F55</f>
        <v>0.0</v>
      </c>
      <c r="H55" s="7">
        <f>IF(AND(Parameters!$D$5=1,Parameters!$D$26=1),SUMPRODUCT(--($A$45:A55&lt;A55),--(MOD(A55-$A$45:A55,Parameters!$D$28)=0),$F$45:F55,POWER(Parameters!$D$27,IF(A55-$A$45:A55=0,1,A55-$A$45:A55))),0)</f>
        <v>0.0</v>
      </c>
      <c r="I55" s="7">
        <f>Parameters!$D$23*I54+B55*Parameters!$D$22</f>
        <v>0.0</v>
      </c>
      <c r="J55" s="7">
        <f>E55*Parameters!$D$14*(1-Parameters!$D$15)</f>
        <v>0.0</v>
      </c>
      <c r="K55" s="7">
        <f>H55*Parameters!$D$29</f>
        <v>0.0</v>
      </c>
      <c r="L55" s="7">
        <f>I55*Parameters!$D$24</f>
        <v>0.0</v>
      </c>
      <c r="M55" s="7">
        <f>J55+K55+L55</f>
        <v>0.0</v>
      </c>
      <c r="N55" s="7">
        <f>C55*Parameters!$D$17+D55*Parameters!$D$18+E55*Parameters!$D$16+I55*Parameters!$D$25+G55*Parameters!$D$30</f>
        <v>0.0</v>
      </c>
      <c r="O55" s="7">
        <f>0</f>
        <v>0</v>
      </c>
      <c r="P55" s="7">
        <f>M55-N55-O55</f>
        <v>0.0</v>
      </c>
      <c r="Q55" s="7">
        <f>0</f>
        <v>0</v>
      </c>
      <c r="R55" s="7">
        <f>P55-Q55</f>
        <v>0.0</v>
      </c>
      <c r="S55" s="7">
        <f>IF(A55&lt;1+Parameters!$D$31,0,INDEX($M$45:$M$80,A55-Parameters!$D$31))</f>
        <v>0.0</v>
      </c>
      <c r="T55" s="7">
        <f>T54+M55-S55</f>
        <v>0.0</v>
      </c>
      <c r="U55" s="7">
        <f>S55-N55-O55-Q55</f>
        <v>0.0</v>
      </c>
      <c r="V55" s="7">
        <f>V54+U55</f>
        <v>1.5999999999999999</v>
      </c>
      <c r="W55" s="7">
        <f>(1-Parameters!$D$7)*(C55-E55)+(1-Parameters!$D$8)*(D55+E55)</f>
        <v>0.0</v>
      </c>
      <c r="X55" s="7">
        <f>Parameters!$D$7*(C55-E55)+Parameters!$D$8*Parameters!$D$9*(D55+E55)</f>
        <v>0.0</v>
      </c>
      <c r="Y55" s="7">
        <f>Parameters!$D$8*(1-Parameters!$D$9)*(D55+E55)</f>
        <v>0.0</v>
      </c>
      <c r="Z55" s="7">
        <f>POWER(1/(1+Parameters!$D$32),A55-1)*(M55-N55)</f>
        <v>0.0</v>
      </c>
    </row>
    <row r="56" spans="1:26">
      <c r="A56" s="7">
        <v>12</v>
      </c>
      <c r="B56" s="7">
        <f>0</f>
        <v>0</v>
      </c>
      <c r="C56" s="7">
        <f>X55+B56</f>
        <v>0.0</v>
      </c>
      <c r="D56" s="7">
        <f>Y55</f>
        <v>0.0</v>
      </c>
      <c r="E56" s="7">
        <f>Parameters!$D$6*C56</f>
        <v>0.0</v>
      </c>
      <c r="F56" s="7">
        <f>IF(Parameters!$D$5=1,E56,0)</f>
        <v>0.0</v>
      </c>
      <c r="G56" s="7">
        <f>Parameters!$D$27*G55+F56</f>
        <v>0.0</v>
      </c>
      <c r="H56" s="7">
        <f>IF(AND(Parameters!$D$5=1,Parameters!$D$26=1),SUMPRODUCT(--($A$45:A56&lt;A56),--(MOD(A56-$A$45:A56,Parameters!$D$28)=0),$F$45:F56,POWER(Parameters!$D$27,IF(A56-$A$45:A56=0,1,A56-$A$45:A56))),0)</f>
        <v>0.0</v>
      </c>
      <c r="I56" s="7">
        <f>Parameters!$D$23*I55+B56*Parameters!$D$22</f>
        <v>0.0</v>
      </c>
      <c r="J56" s="7">
        <f>E56*Parameters!$D$14*(1-Parameters!$D$15)</f>
        <v>0.0</v>
      </c>
      <c r="K56" s="7">
        <f>H56*Parameters!$D$29</f>
        <v>0.0</v>
      </c>
      <c r="L56" s="7">
        <f>I56*Parameters!$D$24</f>
        <v>0.0</v>
      </c>
      <c r="M56" s="7">
        <f>J56+K56+L56</f>
        <v>0.0</v>
      </c>
      <c r="N56" s="7">
        <f>C56*Parameters!$D$17+D56*Parameters!$D$18+E56*Parameters!$D$16+I56*Parameters!$D$25+G56*Parameters!$D$30</f>
        <v>0.0</v>
      </c>
      <c r="O56" s="7">
        <f>0</f>
        <v>0</v>
      </c>
      <c r="P56" s="7">
        <f>M56-N56-O56</f>
        <v>0.0</v>
      </c>
      <c r="Q56" s="7">
        <f>0</f>
        <v>0</v>
      </c>
      <c r="R56" s="7">
        <f>P56-Q56</f>
        <v>0.0</v>
      </c>
      <c r="S56" s="7">
        <f>IF(A56&lt;1+Parameters!$D$31,0,INDEX($M$45:$M$80,A56-Parameters!$D$31))</f>
        <v>0.0</v>
      </c>
      <c r="T56" s="7">
        <f>T55+M56-S56</f>
        <v>0.0</v>
      </c>
      <c r="U56" s="7">
        <f>S56-N56-O56-Q56</f>
        <v>0.0</v>
      </c>
      <c r="V56" s="7">
        <f>V55+U56</f>
        <v>1.5999999999999999</v>
      </c>
      <c r="W56" s="7">
        <f>(1-Parameters!$D$7)*(C56-E56)+(1-Parameters!$D$8)*(D56+E56)</f>
        <v>0.0</v>
      </c>
      <c r="X56" s="7">
        <f>Parameters!$D$7*(C56-E56)+Parameters!$D$8*Parameters!$D$9*(D56+E56)</f>
        <v>0.0</v>
      </c>
      <c r="Y56" s="7">
        <f>Parameters!$D$8*(1-Parameters!$D$9)*(D56+E56)</f>
        <v>0.0</v>
      </c>
      <c r="Z56" s="7">
        <f>POWER(1/(1+Parameters!$D$32),A56-1)*(M56-N56)</f>
        <v>0.0</v>
      </c>
    </row>
    <row r="57" spans="1:26">
      <c r="A57" s="7">
        <v>13</v>
      </c>
      <c r="B57" s="7">
        <f>0</f>
        <v>0</v>
      </c>
      <c r="C57" s="7">
        <f>X56+B57</f>
        <v>0.0</v>
      </c>
      <c r="D57" s="7">
        <f>Y56</f>
        <v>0.0</v>
      </c>
      <c r="E57" s="7">
        <f>Parameters!$D$6*C57</f>
        <v>0.0</v>
      </c>
      <c r="F57" s="7">
        <f>IF(Parameters!$D$5=1,E57,0)</f>
        <v>0.0</v>
      </c>
      <c r="G57" s="7">
        <f>Parameters!$D$27*G56+F57</f>
        <v>0.0</v>
      </c>
      <c r="H57" s="7">
        <f>IF(AND(Parameters!$D$5=1,Parameters!$D$26=1),SUMPRODUCT(--($A$45:A57&lt;A57),--(MOD(A57-$A$45:A57,Parameters!$D$28)=0),$F$45:F57,POWER(Parameters!$D$27,IF(A57-$A$45:A57=0,1,A57-$A$45:A57))),0)</f>
        <v>0.0</v>
      </c>
      <c r="I57" s="7">
        <f>Parameters!$D$23*I56+B57*Parameters!$D$22</f>
        <v>0.0</v>
      </c>
      <c r="J57" s="7">
        <f>E57*Parameters!$D$14*(1-Parameters!$D$15)</f>
        <v>0.0</v>
      </c>
      <c r="K57" s="7">
        <f>H57*Parameters!$D$29</f>
        <v>0.0</v>
      </c>
      <c r="L57" s="7">
        <f>I57*Parameters!$D$24</f>
        <v>0.0</v>
      </c>
      <c r="M57" s="7">
        <f>J57+K57+L57</f>
        <v>0.0</v>
      </c>
      <c r="N57" s="7">
        <f>C57*Parameters!$D$17+D57*Parameters!$D$18+E57*Parameters!$D$16+I57*Parameters!$D$25+G57*Parameters!$D$30</f>
        <v>0.0</v>
      </c>
      <c r="O57" s="7">
        <f>0</f>
        <v>0</v>
      </c>
      <c r="P57" s="7">
        <f>M57-N57-O57</f>
        <v>0.0</v>
      </c>
      <c r="Q57" s="7">
        <f>0</f>
        <v>0</v>
      </c>
      <c r="R57" s="7">
        <f>P57-Q57</f>
        <v>0.0</v>
      </c>
      <c r="S57" s="7">
        <f>IF(A57&lt;1+Parameters!$D$31,0,INDEX($M$45:$M$80,A57-Parameters!$D$31))</f>
        <v>0.0</v>
      </c>
      <c r="T57" s="7">
        <f>T56+M57-S57</f>
        <v>0.0</v>
      </c>
      <c r="U57" s="7">
        <f>S57-N57-O57-Q57</f>
        <v>0.0</v>
      </c>
      <c r="V57" s="7">
        <f>V56+U57</f>
        <v>1.5999999999999999</v>
      </c>
      <c r="W57" s="7">
        <f>(1-Parameters!$D$7)*(C57-E57)+(1-Parameters!$D$8)*(D57+E57)</f>
        <v>0.0</v>
      </c>
      <c r="X57" s="7">
        <f>Parameters!$D$7*(C57-E57)+Parameters!$D$8*Parameters!$D$9*(D57+E57)</f>
        <v>0.0</v>
      </c>
      <c r="Y57" s="7">
        <f>Parameters!$D$8*(1-Parameters!$D$9)*(D57+E57)</f>
        <v>0.0</v>
      </c>
      <c r="Z57" s="7">
        <f>POWER(1/(1+Parameters!$D$32),A57-1)*(M57-N57)</f>
        <v>0.0</v>
      </c>
    </row>
    <row r="58" spans="1:26">
      <c r="A58" s="7">
        <v>14</v>
      </c>
      <c r="B58" s="7">
        <f>0</f>
        <v>0</v>
      </c>
      <c r="C58" s="7">
        <f>X57+B58</f>
        <v>0.0</v>
      </c>
      <c r="D58" s="7">
        <f>Y57</f>
        <v>0.0</v>
      </c>
      <c r="E58" s="7">
        <f>Parameters!$D$6*C58</f>
        <v>0.0</v>
      </c>
      <c r="F58" s="7">
        <f>IF(Parameters!$D$5=1,E58,0)</f>
        <v>0.0</v>
      </c>
      <c r="G58" s="7">
        <f>Parameters!$D$27*G57+F58</f>
        <v>0.0</v>
      </c>
      <c r="H58" s="7">
        <f>IF(AND(Parameters!$D$5=1,Parameters!$D$26=1),SUMPRODUCT(--($A$45:A58&lt;A58),--(MOD(A58-$A$45:A58,Parameters!$D$28)=0),$F$45:F58,POWER(Parameters!$D$27,IF(A58-$A$45:A58=0,1,A58-$A$45:A58))),0)</f>
        <v>0.0</v>
      </c>
      <c r="I58" s="7">
        <f>Parameters!$D$23*I57+B58*Parameters!$D$22</f>
        <v>0.0</v>
      </c>
      <c r="J58" s="7">
        <f>E58*Parameters!$D$14*(1-Parameters!$D$15)</f>
        <v>0.0</v>
      </c>
      <c r="K58" s="7">
        <f>H58*Parameters!$D$29</f>
        <v>0.0</v>
      </c>
      <c r="L58" s="7">
        <f>I58*Parameters!$D$24</f>
        <v>0.0</v>
      </c>
      <c r="M58" s="7">
        <f>J58+K58+L58</f>
        <v>0.0</v>
      </c>
      <c r="N58" s="7">
        <f>C58*Parameters!$D$17+D58*Parameters!$D$18+E58*Parameters!$D$16+I58*Parameters!$D$25+G58*Parameters!$D$30</f>
        <v>0.0</v>
      </c>
      <c r="O58" s="7">
        <f>0</f>
        <v>0</v>
      </c>
      <c r="P58" s="7">
        <f>M58-N58-O58</f>
        <v>0.0</v>
      </c>
      <c r="Q58" s="7">
        <f>0</f>
        <v>0</v>
      </c>
      <c r="R58" s="7">
        <f>P58-Q58</f>
        <v>0.0</v>
      </c>
      <c r="S58" s="7">
        <f>IF(A58&lt;1+Parameters!$D$31,0,INDEX($M$45:$M$80,A58-Parameters!$D$31))</f>
        <v>0.0</v>
      </c>
      <c r="T58" s="7">
        <f>T57+M58-S58</f>
        <v>0.0</v>
      </c>
      <c r="U58" s="7">
        <f>S58-N58-O58-Q58</f>
        <v>0.0</v>
      </c>
      <c r="V58" s="7">
        <f>V57+U58</f>
        <v>1.5999999999999999</v>
      </c>
      <c r="W58" s="7">
        <f>(1-Parameters!$D$7)*(C58-E58)+(1-Parameters!$D$8)*(D58+E58)</f>
        <v>0.0</v>
      </c>
      <c r="X58" s="7">
        <f>Parameters!$D$7*(C58-E58)+Parameters!$D$8*Parameters!$D$9*(D58+E58)</f>
        <v>0.0</v>
      </c>
      <c r="Y58" s="7">
        <f>Parameters!$D$8*(1-Parameters!$D$9)*(D58+E58)</f>
        <v>0.0</v>
      </c>
      <c r="Z58" s="7">
        <f>POWER(1/(1+Parameters!$D$32),A58-1)*(M58-N58)</f>
        <v>0.0</v>
      </c>
    </row>
    <row r="59" spans="1:26">
      <c r="A59" s="7">
        <v>15</v>
      </c>
      <c r="B59" s="7">
        <f>0</f>
        <v>0</v>
      </c>
      <c r="C59" s="7">
        <f>X58+B59</f>
        <v>0.0</v>
      </c>
      <c r="D59" s="7">
        <f>Y58</f>
        <v>0.0</v>
      </c>
      <c r="E59" s="7">
        <f>Parameters!$D$6*C59</f>
        <v>0.0</v>
      </c>
      <c r="F59" s="7">
        <f>IF(Parameters!$D$5=1,E59,0)</f>
        <v>0.0</v>
      </c>
      <c r="G59" s="7">
        <f>Parameters!$D$27*G58+F59</f>
        <v>0.0</v>
      </c>
      <c r="H59" s="7">
        <f>IF(AND(Parameters!$D$5=1,Parameters!$D$26=1),SUMPRODUCT(--($A$45:A59&lt;A59),--(MOD(A59-$A$45:A59,Parameters!$D$28)=0),$F$45:F59,POWER(Parameters!$D$27,IF(A59-$A$45:A59=0,1,A59-$A$45:A59))),0)</f>
        <v>0.0</v>
      </c>
      <c r="I59" s="7">
        <f>Parameters!$D$23*I58+B59*Parameters!$D$22</f>
        <v>0.0</v>
      </c>
      <c r="J59" s="7">
        <f>E59*Parameters!$D$14*(1-Parameters!$D$15)</f>
        <v>0.0</v>
      </c>
      <c r="K59" s="7">
        <f>H59*Parameters!$D$29</f>
        <v>0.0</v>
      </c>
      <c r="L59" s="7">
        <f>I59*Parameters!$D$24</f>
        <v>0.0</v>
      </c>
      <c r="M59" s="7">
        <f>J59+K59+L59</f>
        <v>0.0</v>
      </c>
      <c r="N59" s="7">
        <f>C59*Parameters!$D$17+D59*Parameters!$D$18+E59*Parameters!$D$16+I59*Parameters!$D$25+G59*Parameters!$D$30</f>
        <v>0.0</v>
      </c>
      <c r="O59" s="7">
        <f>0</f>
        <v>0</v>
      </c>
      <c r="P59" s="7">
        <f>M59-N59-O59</f>
        <v>0.0</v>
      </c>
      <c r="Q59" s="7">
        <f>0</f>
        <v>0</v>
      </c>
      <c r="R59" s="7">
        <f>P59-Q59</f>
        <v>0.0</v>
      </c>
      <c r="S59" s="7">
        <f>IF(A59&lt;1+Parameters!$D$31,0,INDEX($M$45:$M$80,A59-Parameters!$D$31))</f>
        <v>0.0</v>
      </c>
      <c r="T59" s="7">
        <f>T58+M59-S59</f>
        <v>0.0</v>
      </c>
      <c r="U59" s="7">
        <f>S59-N59-O59-Q59</f>
        <v>0.0</v>
      </c>
      <c r="V59" s="7">
        <f>V58+U59</f>
        <v>1.5999999999999999</v>
      </c>
      <c r="W59" s="7">
        <f>(1-Parameters!$D$7)*(C59-E59)+(1-Parameters!$D$8)*(D59+E59)</f>
        <v>0.0</v>
      </c>
      <c r="X59" s="7">
        <f>Parameters!$D$7*(C59-E59)+Parameters!$D$8*Parameters!$D$9*(D59+E59)</f>
        <v>0.0</v>
      </c>
      <c r="Y59" s="7">
        <f>Parameters!$D$8*(1-Parameters!$D$9)*(D59+E59)</f>
        <v>0.0</v>
      </c>
      <c r="Z59" s="7">
        <f>POWER(1/(1+Parameters!$D$32),A59-1)*(M59-N59)</f>
        <v>0.0</v>
      </c>
    </row>
    <row r="60" spans="1:26">
      <c r="A60" s="7">
        <v>16</v>
      </c>
      <c r="B60" s="7">
        <f>0</f>
        <v>0</v>
      </c>
      <c r="C60" s="7">
        <f>X59+B60</f>
        <v>0.0</v>
      </c>
      <c r="D60" s="7">
        <f>Y59</f>
        <v>0.0</v>
      </c>
      <c r="E60" s="7">
        <f>Parameters!$D$6*C60</f>
        <v>0.0</v>
      </c>
      <c r="F60" s="7">
        <f>IF(Parameters!$D$5=1,E60,0)</f>
        <v>0.0</v>
      </c>
      <c r="G60" s="7">
        <f>Parameters!$D$27*G59+F60</f>
        <v>0.0</v>
      </c>
      <c r="H60" s="7">
        <f>IF(AND(Parameters!$D$5=1,Parameters!$D$26=1),SUMPRODUCT(--($A$45:A60&lt;A60),--(MOD(A60-$A$45:A60,Parameters!$D$28)=0),$F$45:F60,POWER(Parameters!$D$27,IF(A60-$A$45:A60=0,1,A60-$A$45:A60))),0)</f>
        <v>0.0</v>
      </c>
      <c r="I60" s="7">
        <f>Parameters!$D$23*I59+B60*Parameters!$D$22</f>
        <v>0.0</v>
      </c>
      <c r="J60" s="7">
        <f>E60*Parameters!$D$14*(1-Parameters!$D$15)</f>
        <v>0.0</v>
      </c>
      <c r="K60" s="7">
        <f>H60*Parameters!$D$29</f>
        <v>0.0</v>
      </c>
      <c r="L60" s="7">
        <f>I60*Parameters!$D$24</f>
        <v>0.0</v>
      </c>
      <c r="M60" s="7">
        <f>J60+K60+L60</f>
        <v>0.0</v>
      </c>
      <c r="N60" s="7">
        <f>C60*Parameters!$D$17+D60*Parameters!$D$18+E60*Parameters!$D$16+I60*Parameters!$D$25+G60*Parameters!$D$30</f>
        <v>0.0</v>
      </c>
      <c r="O60" s="7">
        <f>0</f>
        <v>0</v>
      </c>
      <c r="P60" s="7">
        <f>M60-N60-O60</f>
        <v>0.0</v>
      </c>
      <c r="Q60" s="7">
        <f>0</f>
        <v>0</v>
      </c>
      <c r="R60" s="7">
        <f>P60-Q60</f>
        <v>0.0</v>
      </c>
      <c r="S60" s="7">
        <f>IF(A60&lt;1+Parameters!$D$31,0,INDEX($M$45:$M$80,A60-Parameters!$D$31))</f>
        <v>0.0</v>
      </c>
      <c r="T60" s="7">
        <f>T59+M60-S60</f>
        <v>0.0</v>
      </c>
      <c r="U60" s="7">
        <f>S60-N60-O60-Q60</f>
        <v>0.0</v>
      </c>
      <c r="V60" s="7">
        <f>V59+U60</f>
        <v>1.5999999999999999</v>
      </c>
      <c r="W60" s="7">
        <f>(1-Parameters!$D$7)*(C60-E60)+(1-Parameters!$D$8)*(D60+E60)</f>
        <v>0.0</v>
      </c>
      <c r="X60" s="7">
        <f>Parameters!$D$7*(C60-E60)+Parameters!$D$8*Parameters!$D$9*(D60+E60)</f>
        <v>0.0</v>
      </c>
      <c r="Y60" s="7">
        <f>Parameters!$D$8*(1-Parameters!$D$9)*(D60+E60)</f>
        <v>0.0</v>
      </c>
      <c r="Z60" s="7">
        <f>POWER(1/(1+Parameters!$D$32),A60-1)*(M60-N60)</f>
        <v>0.0</v>
      </c>
    </row>
    <row r="61" spans="1:26">
      <c r="A61" s="7">
        <v>17</v>
      </c>
      <c r="B61" s="7">
        <f>0</f>
        <v>0</v>
      </c>
      <c r="C61" s="7">
        <f>X60+B61</f>
        <v>0.0</v>
      </c>
      <c r="D61" s="7">
        <f>Y60</f>
        <v>0.0</v>
      </c>
      <c r="E61" s="7">
        <f>Parameters!$D$6*C61</f>
        <v>0.0</v>
      </c>
      <c r="F61" s="7">
        <f>IF(Parameters!$D$5=1,E61,0)</f>
        <v>0.0</v>
      </c>
      <c r="G61" s="7">
        <f>Parameters!$D$27*G60+F61</f>
        <v>0.0</v>
      </c>
      <c r="H61" s="7">
        <f>IF(AND(Parameters!$D$5=1,Parameters!$D$26=1),SUMPRODUCT(--($A$45:A61&lt;A61),--(MOD(A61-$A$45:A61,Parameters!$D$28)=0),$F$45:F61,POWER(Parameters!$D$27,IF(A61-$A$45:A61=0,1,A61-$A$45:A61))),0)</f>
        <v>0.0</v>
      </c>
      <c r="I61" s="7">
        <f>Parameters!$D$23*I60+B61*Parameters!$D$22</f>
        <v>0.0</v>
      </c>
      <c r="J61" s="7">
        <f>E61*Parameters!$D$14*(1-Parameters!$D$15)</f>
        <v>0.0</v>
      </c>
      <c r="K61" s="7">
        <f>H61*Parameters!$D$29</f>
        <v>0.0</v>
      </c>
      <c r="L61" s="7">
        <f>I61*Parameters!$D$24</f>
        <v>0.0</v>
      </c>
      <c r="M61" s="7">
        <f>J61+K61+L61</f>
        <v>0.0</v>
      </c>
      <c r="N61" s="7">
        <f>C61*Parameters!$D$17+D61*Parameters!$D$18+E61*Parameters!$D$16+I61*Parameters!$D$25+G61*Parameters!$D$30</f>
        <v>0.0</v>
      </c>
      <c r="O61" s="7">
        <f>0</f>
        <v>0</v>
      </c>
      <c r="P61" s="7">
        <f>M61-N61-O61</f>
        <v>0.0</v>
      </c>
      <c r="Q61" s="7">
        <f>0</f>
        <v>0</v>
      </c>
      <c r="R61" s="7">
        <f>P61-Q61</f>
        <v>0.0</v>
      </c>
      <c r="S61" s="7">
        <f>IF(A61&lt;1+Parameters!$D$31,0,INDEX($M$45:$M$80,A61-Parameters!$D$31))</f>
        <v>0.0</v>
      </c>
      <c r="T61" s="7">
        <f>T60+M61-S61</f>
        <v>0.0</v>
      </c>
      <c r="U61" s="7">
        <f>S61-N61-O61-Q61</f>
        <v>0.0</v>
      </c>
      <c r="V61" s="7">
        <f>V60+U61</f>
        <v>1.5999999999999999</v>
      </c>
      <c r="W61" s="7">
        <f>(1-Parameters!$D$7)*(C61-E61)+(1-Parameters!$D$8)*(D61+E61)</f>
        <v>0.0</v>
      </c>
      <c r="X61" s="7">
        <f>Parameters!$D$7*(C61-E61)+Parameters!$D$8*Parameters!$D$9*(D61+E61)</f>
        <v>0.0</v>
      </c>
      <c r="Y61" s="7">
        <f>Parameters!$D$8*(1-Parameters!$D$9)*(D61+E61)</f>
        <v>0.0</v>
      </c>
      <c r="Z61" s="7">
        <f>POWER(1/(1+Parameters!$D$32),A61-1)*(M61-N61)</f>
        <v>0.0</v>
      </c>
    </row>
    <row r="62" spans="1:26">
      <c r="A62" s="7">
        <v>18</v>
      </c>
      <c r="B62" s="7">
        <f>0</f>
        <v>0</v>
      </c>
      <c r="C62" s="7">
        <f>X61+B62</f>
        <v>0.0</v>
      </c>
      <c r="D62" s="7">
        <f>Y61</f>
        <v>0.0</v>
      </c>
      <c r="E62" s="7">
        <f>Parameters!$D$6*C62</f>
        <v>0.0</v>
      </c>
      <c r="F62" s="7">
        <f>IF(Parameters!$D$5=1,E62,0)</f>
        <v>0.0</v>
      </c>
      <c r="G62" s="7">
        <f>Parameters!$D$27*G61+F62</f>
        <v>0.0</v>
      </c>
      <c r="H62" s="7">
        <f>IF(AND(Parameters!$D$5=1,Parameters!$D$26=1),SUMPRODUCT(--($A$45:A62&lt;A62),--(MOD(A62-$A$45:A62,Parameters!$D$28)=0),$F$45:F62,POWER(Parameters!$D$27,IF(A62-$A$45:A62=0,1,A62-$A$45:A62))),0)</f>
        <v>0.0</v>
      </c>
      <c r="I62" s="7">
        <f>Parameters!$D$23*I61+B62*Parameters!$D$22</f>
        <v>0.0</v>
      </c>
      <c r="J62" s="7">
        <f>E62*Parameters!$D$14*(1-Parameters!$D$15)</f>
        <v>0.0</v>
      </c>
      <c r="K62" s="7">
        <f>H62*Parameters!$D$29</f>
        <v>0.0</v>
      </c>
      <c r="L62" s="7">
        <f>I62*Parameters!$D$24</f>
        <v>0.0</v>
      </c>
      <c r="M62" s="7">
        <f>J62+K62+L62</f>
        <v>0.0</v>
      </c>
      <c r="N62" s="7">
        <f>C62*Parameters!$D$17+D62*Parameters!$D$18+E62*Parameters!$D$16+I62*Parameters!$D$25+G62*Parameters!$D$30</f>
        <v>0.0</v>
      </c>
      <c r="O62" s="7">
        <f>0</f>
        <v>0</v>
      </c>
      <c r="P62" s="7">
        <f>M62-N62-O62</f>
        <v>0.0</v>
      </c>
      <c r="Q62" s="7">
        <f>0</f>
        <v>0</v>
      </c>
      <c r="R62" s="7">
        <f>P62-Q62</f>
        <v>0.0</v>
      </c>
      <c r="S62" s="7">
        <f>IF(A62&lt;1+Parameters!$D$31,0,INDEX($M$45:$M$80,A62-Parameters!$D$31))</f>
        <v>0.0</v>
      </c>
      <c r="T62" s="7">
        <f>T61+M62-S62</f>
        <v>0.0</v>
      </c>
      <c r="U62" s="7">
        <f>S62-N62-O62-Q62</f>
        <v>0.0</v>
      </c>
      <c r="V62" s="7">
        <f>V61+U62</f>
        <v>1.5999999999999999</v>
      </c>
      <c r="W62" s="7">
        <f>(1-Parameters!$D$7)*(C62-E62)+(1-Parameters!$D$8)*(D62+E62)</f>
        <v>0.0</v>
      </c>
      <c r="X62" s="7">
        <f>Parameters!$D$7*(C62-E62)+Parameters!$D$8*Parameters!$D$9*(D62+E62)</f>
        <v>0.0</v>
      </c>
      <c r="Y62" s="7">
        <f>Parameters!$D$8*(1-Parameters!$D$9)*(D62+E62)</f>
        <v>0.0</v>
      </c>
      <c r="Z62" s="7">
        <f>POWER(1/(1+Parameters!$D$32),A62-1)*(M62-N62)</f>
        <v>0.0</v>
      </c>
    </row>
    <row r="63" spans="1:26">
      <c r="A63" s="7">
        <v>19</v>
      </c>
      <c r="B63" s="7">
        <f>0</f>
        <v>0</v>
      </c>
      <c r="C63" s="7">
        <f>X62+B63</f>
        <v>0.0</v>
      </c>
      <c r="D63" s="7">
        <f>Y62</f>
        <v>0.0</v>
      </c>
      <c r="E63" s="7">
        <f>Parameters!$D$6*C63</f>
        <v>0.0</v>
      </c>
      <c r="F63" s="7">
        <f>IF(Parameters!$D$5=1,E63,0)</f>
        <v>0.0</v>
      </c>
      <c r="G63" s="7">
        <f>Parameters!$D$27*G62+F63</f>
        <v>0.0</v>
      </c>
      <c r="H63" s="7">
        <f>IF(AND(Parameters!$D$5=1,Parameters!$D$26=1),SUMPRODUCT(--($A$45:A63&lt;A63),--(MOD(A63-$A$45:A63,Parameters!$D$28)=0),$F$45:F63,POWER(Parameters!$D$27,IF(A63-$A$45:A63=0,1,A63-$A$45:A63))),0)</f>
        <v>0.0</v>
      </c>
      <c r="I63" s="7">
        <f>Parameters!$D$23*I62+B63*Parameters!$D$22</f>
        <v>0.0</v>
      </c>
      <c r="J63" s="7">
        <f>E63*Parameters!$D$14*(1-Parameters!$D$15)</f>
        <v>0.0</v>
      </c>
      <c r="K63" s="7">
        <f>H63*Parameters!$D$29</f>
        <v>0.0</v>
      </c>
      <c r="L63" s="7">
        <f>I63*Parameters!$D$24</f>
        <v>0.0</v>
      </c>
      <c r="M63" s="7">
        <f>J63+K63+L63</f>
        <v>0.0</v>
      </c>
      <c r="N63" s="7">
        <f>C63*Parameters!$D$17+D63*Parameters!$D$18+E63*Parameters!$D$16+I63*Parameters!$D$25+G63*Parameters!$D$30</f>
        <v>0.0</v>
      </c>
      <c r="O63" s="7">
        <f>0</f>
        <v>0</v>
      </c>
      <c r="P63" s="7">
        <f>M63-N63-O63</f>
        <v>0.0</v>
      </c>
      <c r="Q63" s="7">
        <f>0</f>
        <v>0</v>
      </c>
      <c r="R63" s="7">
        <f>P63-Q63</f>
        <v>0.0</v>
      </c>
      <c r="S63" s="7">
        <f>IF(A63&lt;1+Parameters!$D$31,0,INDEX($M$45:$M$80,A63-Parameters!$D$31))</f>
        <v>0.0</v>
      </c>
      <c r="T63" s="7">
        <f>T62+M63-S63</f>
        <v>0.0</v>
      </c>
      <c r="U63" s="7">
        <f>S63-N63-O63-Q63</f>
        <v>0.0</v>
      </c>
      <c r="V63" s="7">
        <f>V62+U63</f>
        <v>1.5999999999999999</v>
      </c>
      <c r="W63" s="7">
        <f>(1-Parameters!$D$7)*(C63-E63)+(1-Parameters!$D$8)*(D63+E63)</f>
        <v>0.0</v>
      </c>
      <c r="X63" s="7">
        <f>Parameters!$D$7*(C63-E63)+Parameters!$D$8*Parameters!$D$9*(D63+E63)</f>
        <v>0.0</v>
      </c>
      <c r="Y63" s="7">
        <f>Parameters!$D$8*(1-Parameters!$D$9)*(D63+E63)</f>
        <v>0.0</v>
      </c>
      <c r="Z63" s="7">
        <f>POWER(1/(1+Parameters!$D$32),A63-1)*(M63-N63)</f>
        <v>0.0</v>
      </c>
    </row>
    <row r="64" spans="1:26">
      <c r="A64" s="7">
        <v>20</v>
      </c>
      <c r="B64" s="7">
        <f>0</f>
        <v>0</v>
      </c>
      <c r="C64" s="7">
        <f>X63+B64</f>
        <v>0.0</v>
      </c>
      <c r="D64" s="7">
        <f>Y63</f>
        <v>0.0</v>
      </c>
      <c r="E64" s="7">
        <f>Parameters!$D$6*C64</f>
        <v>0.0</v>
      </c>
      <c r="F64" s="7">
        <f>IF(Parameters!$D$5=1,E64,0)</f>
        <v>0.0</v>
      </c>
      <c r="G64" s="7">
        <f>Parameters!$D$27*G63+F64</f>
        <v>0.0</v>
      </c>
      <c r="H64" s="7">
        <f>IF(AND(Parameters!$D$5=1,Parameters!$D$26=1),SUMPRODUCT(--($A$45:A64&lt;A64),--(MOD(A64-$A$45:A64,Parameters!$D$28)=0),$F$45:F64,POWER(Parameters!$D$27,IF(A64-$A$45:A64=0,1,A64-$A$45:A64))),0)</f>
        <v>0.0</v>
      </c>
      <c r="I64" s="7">
        <f>Parameters!$D$23*I63+B64*Parameters!$D$22</f>
        <v>0.0</v>
      </c>
      <c r="J64" s="7">
        <f>E64*Parameters!$D$14*(1-Parameters!$D$15)</f>
        <v>0.0</v>
      </c>
      <c r="K64" s="7">
        <f>H64*Parameters!$D$29</f>
        <v>0.0</v>
      </c>
      <c r="L64" s="7">
        <f>I64*Parameters!$D$24</f>
        <v>0.0</v>
      </c>
      <c r="M64" s="7">
        <f>J64+K64+L64</f>
        <v>0.0</v>
      </c>
      <c r="N64" s="7">
        <f>C64*Parameters!$D$17+D64*Parameters!$D$18+E64*Parameters!$D$16+I64*Parameters!$D$25+G64*Parameters!$D$30</f>
        <v>0.0</v>
      </c>
      <c r="O64" s="7">
        <f>0</f>
        <v>0</v>
      </c>
      <c r="P64" s="7">
        <f>M64-N64-O64</f>
        <v>0.0</v>
      </c>
      <c r="Q64" s="7">
        <f>0</f>
        <v>0</v>
      </c>
      <c r="R64" s="7">
        <f>P64-Q64</f>
        <v>0.0</v>
      </c>
      <c r="S64" s="7">
        <f>IF(A64&lt;1+Parameters!$D$31,0,INDEX($M$45:$M$80,A64-Parameters!$D$31))</f>
        <v>0.0</v>
      </c>
      <c r="T64" s="7">
        <f>T63+M64-S64</f>
        <v>0.0</v>
      </c>
      <c r="U64" s="7">
        <f>S64-N64-O64-Q64</f>
        <v>0.0</v>
      </c>
      <c r="V64" s="7">
        <f>V63+U64</f>
        <v>1.5999999999999999</v>
      </c>
      <c r="W64" s="7">
        <f>(1-Parameters!$D$7)*(C64-E64)+(1-Parameters!$D$8)*(D64+E64)</f>
        <v>0.0</v>
      </c>
      <c r="X64" s="7">
        <f>Parameters!$D$7*(C64-E64)+Parameters!$D$8*Parameters!$D$9*(D64+E64)</f>
        <v>0.0</v>
      </c>
      <c r="Y64" s="7">
        <f>Parameters!$D$8*(1-Parameters!$D$9)*(D64+E64)</f>
        <v>0.0</v>
      </c>
      <c r="Z64" s="7">
        <f>POWER(1/(1+Parameters!$D$32),A64-1)*(M64-N64)</f>
        <v>0.0</v>
      </c>
    </row>
    <row r="65" spans="1:26">
      <c r="A65" s="7">
        <v>21</v>
      </c>
      <c r="B65" s="7">
        <f>0</f>
        <v>0</v>
      </c>
      <c r="C65" s="7">
        <f>X64+B65</f>
        <v>0.0</v>
      </c>
      <c r="D65" s="7">
        <f>Y64</f>
        <v>0.0</v>
      </c>
      <c r="E65" s="7">
        <f>Parameters!$D$6*C65</f>
        <v>0.0</v>
      </c>
      <c r="F65" s="7">
        <f>IF(Parameters!$D$5=1,E65,0)</f>
        <v>0.0</v>
      </c>
      <c r="G65" s="7">
        <f>Parameters!$D$27*G64+F65</f>
        <v>0.0</v>
      </c>
      <c r="H65" s="7">
        <f>IF(AND(Parameters!$D$5=1,Parameters!$D$26=1),SUMPRODUCT(--($A$45:A65&lt;A65),--(MOD(A65-$A$45:A65,Parameters!$D$28)=0),$F$45:F65,POWER(Parameters!$D$27,IF(A65-$A$45:A65=0,1,A65-$A$45:A65))),0)</f>
        <v>0.0</v>
      </c>
      <c r="I65" s="7">
        <f>Parameters!$D$23*I64+B65*Parameters!$D$22</f>
        <v>0.0</v>
      </c>
      <c r="J65" s="7">
        <f>E65*Parameters!$D$14*(1-Parameters!$D$15)</f>
        <v>0.0</v>
      </c>
      <c r="K65" s="7">
        <f>H65*Parameters!$D$29</f>
        <v>0.0</v>
      </c>
      <c r="L65" s="7">
        <f>I65*Parameters!$D$24</f>
        <v>0.0</v>
      </c>
      <c r="M65" s="7">
        <f>J65+K65+L65</f>
        <v>0.0</v>
      </c>
      <c r="N65" s="7">
        <f>C65*Parameters!$D$17+D65*Parameters!$D$18+E65*Parameters!$D$16+I65*Parameters!$D$25+G65*Parameters!$D$30</f>
        <v>0.0</v>
      </c>
      <c r="O65" s="7">
        <f>0</f>
        <v>0</v>
      </c>
      <c r="P65" s="7">
        <f>M65-N65-O65</f>
        <v>0.0</v>
      </c>
      <c r="Q65" s="7">
        <f>0</f>
        <v>0</v>
      </c>
      <c r="R65" s="7">
        <f>P65-Q65</f>
        <v>0.0</v>
      </c>
      <c r="S65" s="7">
        <f>IF(A65&lt;1+Parameters!$D$31,0,INDEX($M$45:$M$80,A65-Parameters!$D$31))</f>
        <v>0.0</v>
      </c>
      <c r="T65" s="7">
        <f>T64+M65-S65</f>
        <v>0.0</v>
      </c>
      <c r="U65" s="7">
        <f>S65-N65-O65-Q65</f>
        <v>0.0</v>
      </c>
      <c r="V65" s="7">
        <f>V64+U65</f>
        <v>1.5999999999999999</v>
      </c>
      <c r="W65" s="7">
        <f>(1-Parameters!$D$7)*(C65-E65)+(1-Parameters!$D$8)*(D65+E65)</f>
        <v>0.0</v>
      </c>
      <c r="X65" s="7">
        <f>Parameters!$D$7*(C65-E65)+Parameters!$D$8*Parameters!$D$9*(D65+E65)</f>
        <v>0.0</v>
      </c>
      <c r="Y65" s="7">
        <f>Parameters!$D$8*(1-Parameters!$D$9)*(D65+E65)</f>
        <v>0.0</v>
      </c>
      <c r="Z65" s="7">
        <f>POWER(1/(1+Parameters!$D$32),A65-1)*(M65-N65)</f>
        <v>0.0</v>
      </c>
    </row>
    <row r="66" spans="1:26">
      <c r="A66" s="7">
        <v>22</v>
      </c>
      <c r="B66" s="7">
        <f>0</f>
        <v>0</v>
      </c>
      <c r="C66" s="7">
        <f>X65+B66</f>
        <v>0.0</v>
      </c>
      <c r="D66" s="7">
        <f>Y65</f>
        <v>0.0</v>
      </c>
      <c r="E66" s="7">
        <f>Parameters!$D$6*C66</f>
        <v>0.0</v>
      </c>
      <c r="F66" s="7">
        <f>IF(Parameters!$D$5=1,E66,0)</f>
        <v>0.0</v>
      </c>
      <c r="G66" s="7">
        <f>Parameters!$D$27*G65+F66</f>
        <v>0.0</v>
      </c>
      <c r="H66" s="7">
        <f>IF(AND(Parameters!$D$5=1,Parameters!$D$26=1),SUMPRODUCT(--($A$45:A66&lt;A66),--(MOD(A66-$A$45:A66,Parameters!$D$28)=0),$F$45:F66,POWER(Parameters!$D$27,IF(A66-$A$45:A66=0,1,A66-$A$45:A66))),0)</f>
        <v>0.0</v>
      </c>
      <c r="I66" s="7">
        <f>Parameters!$D$23*I65+B66*Parameters!$D$22</f>
        <v>0.0</v>
      </c>
      <c r="J66" s="7">
        <f>E66*Parameters!$D$14*(1-Parameters!$D$15)</f>
        <v>0.0</v>
      </c>
      <c r="K66" s="7">
        <f>H66*Parameters!$D$29</f>
        <v>0.0</v>
      </c>
      <c r="L66" s="7">
        <f>I66*Parameters!$D$24</f>
        <v>0.0</v>
      </c>
      <c r="M66" s="7">
        <f>J66+K66+L66</f>
        <v>0.0</v>
      </c>
      <c r="N66" s="7">
        <f>C66*Parameters!$D$17+D66*Parameters!$D$18+E66*Parameters!$D$16+I66*Parameters!$D$25+G66*Parameters!$D$30</f>
        <v>0.0</v>
      </c>
      <c r="O66" s="7">
        <f>0</f>
        <v>0</v>
      </c>
      <c r="P66" s="7">
        <f>M66-N66-O66</f>
        <v>0.0</v>
      </c>
      <c r="Q66" s="7">
        <f>0</f>
        <v>0</v>
      </c>
      <c r="R66" s="7">
        <f>P66-Q66</f>
        <v>0.0</v>
      </c>
      <c r="S66" s="7">
        <f>IF(A66&lt;1+Parameters!$D$31,0,INDEX($M$45:$M$80,A66-Parameters!$D$31))</f>
        <v>0.0</v>
      </c>
      <c r="T66" s="7">
        <f>T65+M66-S66</f>
        <v>0.0</v>
      </c>
      <c r="U66" s="7">
        <f>S66-N66-O66-Q66</f>
        <v>0.0</v>
      </c>
      <c r="V66" s="7">
        <f>V65+U66</f>
        <v>1.5999999999999999</v>
      </c>
      <c r="W66" s="7">
        <f>(1-Parameters!$D$7)*(C66-E66)+(1-Parameters!$D$8)*(D66+E66)</f>
        <v>0.0</v>
      </c>
      <c r="X66" s="7">
        <f>Parameters!$D$7*(C66-E66)+Parameters!$D$8*Parameters!$D$9*(D66+E66)</f>
        <v>0.0</v>
      </c>
      <c r="Y66" s="7">
        <f>Parameters!$D$8*(1-Parameters!$D$9)*(D66+E66)</f>
        <v>0.0</v>
      </c>
      <c r="Z66" s="7">
        <f>POWER(1/(1+Parameters!$D$32),A66-1)*(M66-N66)</f>
        <v>0.0</v>
      </c>
    </row>
    <row r="67" spans="1:26">
      <c r="A67" s="7">
        <v>23</v>
      </c>
      <c r="B67" s="7">
        <f>0</f>
        <v>0</v>
      </c>
      <c r="C67" s="7">
        <f>X66+B67</f>
        <v>0.0</v>
      </c>
      <c r="D67" s="7">
        <f>Y66</f>
        <v>0.0</v>
      </c>
      <c r="E67" s="7">
        <f>Parameters!$D$6*C67</f>
        <v>0.0</v>
      </c>
      <c r="F67" s="7">
        <f>IF(Parameters!$D$5=1,E67,0)</f>
        <v>0.0</v>
      </c>
      <c r="G67" s="7">
        <f>Parameters!$D$27*G66+F67</f>
        <v>0.0</v>
      </c>
      <c r="H67" s="7">
        <f>IF(AND(Parameters!$D$5=1,Parameters!$D$26=1),SUMPRODUCT(--($A$45:A67&lt;A67),--(MOD(A67-$A$45:A67,Parameters!$D$28)=0),$F$45:F67,POWER(Parameters!$D$27,IF(A67-$A$45:A67=0,1,A67-$A$45:A67))),0)</f>
        <v>0.0</v>
      </c>
      <c r="I67" s="7">
        <f>Parameters!$D$23*I66+B67*Parameters!$D$22</f>
        <v>0.0</v>
      </c>
      <c r="J67" s="7">
        <f>E67*Parameters!$D$14*(1-Parameters!$D$15)</f>
        <v>0.0</v>
      </c>
      <c r="K67" s="7">
        <f>H67*Parameters!$D$29</f>
        <v>0.0</v>
      </c>
      <c r="L67" s="7">
        <f>I67*Parameters!$D$24</f>
        <v>0.0</v>
      </c>
      <c r="M67" s="7">
        <f>J67+K67+L67</f>
        <v>0.0</v>
      </c>
      <c r="N67" s="7">
        <f>C67*Parameters!$D$17+D67*Parameters!$D$18+E67*Parameters!$D$16+I67*Parameters!$D$25+G67*Parameters!$D$30</f>
        <v>0.0</v>
      </c>
      <c r="O67" s="7">
        <f>0</f>
        <v>0</v>
      </c>
      <c r="P67" s="7">
        <f>M67-N67-O67</f>
        <v>0.0</v>
      </c>
      <c r="Q67" s="7">
        <f>0</f>
        <v>0</v>
      </c>
      <c r="R67" s="7">
        <f>P67-Q67</f>
        <v>0.0</v>
      </c>
      <c r="S67" s="7">
        <f>IF(A67&lt;1+Parameters!$D$31,0,INDEX($M$45:$M$80,A67-Parameters!$D$31))</f>
        <v>0.0</v>
      </c>
      <c r="T67" s="7">
        <f>T66+M67-S67</f>
        <v>0.0</v>
      </c>
      <c r="U67" s="7">
        <f>S67-N67-O67-Q67</f>
        <v>0.0</v>
      </c>
      <c r="V67" s="7">
        <f>V66+U67</f>
        <v>1.5999999999999999</v>
      </c>
      <c r="W67" s="7">
        <f>(1-Parameters!$D$7)*(C67-E67)+(1-Parameters!$D$8)*(D67+E67)</f>
        <v>0.0</v>
      </c>
      <c r="X67" s="7">
        <f>Parameters!$D$7*(C67-E67)+Parameters!$D$8*Parameters!$D$9*(D67+E67)</f>
        <v>0.0</v>
      </c>
      <c r="Y67" s="7">
        <f>Parameters!$D$8*(1-Parameters!$D$9)*(D67+E67)</f>
        <v>0.0</v>
      </c>
      <c r="Z67" s="7">
        <f>POWER(1/(1+Parameters!$D$32),A67-1)*(M67-N67)</f>
        <v>0.0</v>
      </c>
    </row>
    <row r="68" spans="1:26">
      <c r="A68" s="7">
        <v>24</v>
      </c>
      <c r="B68" s="7">
        <f>0</f>
        <v>0</v>
      </c>
      <c r="C68" s="7">
        <f>X67+B68</f>
        <v>0.0</v>
      </c>
      <c r="D68" s="7">
        <f>Y67</f>
        <v>0.0</v>
      </c>
      <c r="E68" s="7">
        <f>Parameters!$D$6*C68</f>
        <v>0.0</v>
      </c>
      <c r="F68" s="7">
        <f>IF(Parameters!$D$5=1,E68,0)</f>
        <v>0.0</v>
      </c>
      <c r="G68" s="7">
        <f>Parameters!$D$27*G67+F68</f>
        <v>0.0</v>
      </c>
      <c r="H68" s="7">
        <f>IF(AND(Parameters!$D$5=1,Parameters!$D$26=1),SUMPRODUCT(--($A$45:A68&lt;A68),--(MOD(A68-$A$45:A68,Parameters!$D$28)=0),$F$45:F68,POWER(Parameters!$D$27,IF(A68-$A$45:A68=0,1,A68-$A$45:A68))),0)</f>
        <v>0.0</v>
      </c>
      <c r="I68" s="7">
        <f>Parameters!$D$23*I67+B68*Parameters!$D$22</f>
        <v>0.0</v>
      </c>
      <c r="J68" s="7">
        <f>E68*Parameters!$D$14*(1-Parameters!$D$15)</f>
        <v>0.0</v>
      </c>
      <c r="K68" s="7">
        <f>H68*Parameters!$D$29</f>
        <v>0.0</v>
      </c>
      <c r="L68" s="7">
        <f>I68*Parameters!$D$24</f>
        <v>0.0</v>
      </c>
      <c r="M68" s="7">
        <f>J68+K68+L68</f>
        <v>0.0</v>
      </c>
      <c r="N68" s="7">
        <f>C68*Parameters!$D$17+D68*Parameters!$D$18+E68*Parameters!$D$16+I68*Parameters!$D$25+G68*Parameters!$D$30</f>
        <v>0.0</v>
      </c>
      <c r="O68" s="7">
        <f>0</f>
        <v>0</v>
      </c>
      <c r="P68" s="7">
        <f>M68-N68-O68</f>
        <v>0.0</v>
      </c>
      <c r="Q68" s="7">
        <f>0</f>
        <v>0</v>
      </c>
      <c r="R68" s="7">
        <f>P68-Q68</f>
        <v>0.0</v>
      </c>
      <c r="S68" s="7">
        <f>IF(A68&lt;1+Parameters!$D$31,0,INDEX($M$45:$M$80,A68-Parameters!$D$31))</f>
        <v>0.0</v>
      </c>
      <c r="T68" s="7">
        <f>T67+M68-S68</f>
        <v>0.0</v>
      </c>
      <c r="U68" s="7">
        <f>S68-N68-O68-Q68</f>
        <v>0.0</v>
      </c>
      <c r="V68" s="7">
        <f>V67+U68</f>
        <v>1.5999999999999999</v>
      </c>
      <c r="W68" s="7">
        <f>(1-Parameters!$D$7)*(C68-E68)+(1-Parameters!$D$8)*(D68+E68)</f>
        <v>0.0</v>
      </c>
      <c r="X68" s="7">
        <f>Parameters!$D$7*(C68-E68)+Parameters!$D$8*Parameters!$D$9*(D68+E68)</f>
        <v>0.0</v>
      </c>
      <c r="Y68" s="7">
        <f>Parameters!$D$8*(1-Parameters!$D$9)*(D68+E68)</f>
        <v>0.0</v>
      </c>
      <c r="Z68" s="7">
        <f>POWER(1/(1+Parameters!$D$32),A68-1)*(M68-N68)</f>
        <v>0.0</v>
      </c>
    </row>
    <row r="69" spans="1:26">
      <c r="A69" s="7">
        <v>25</v>
      </c>
      <c r="B69" s="7">
        <f>0</f>
        <v>0</v>
      </c>
      <c r="C69" s="7">
        <f>X68+B69</f>
        <v>0.0</v>
      </c>
      <c r="D69" s="7">
        <f>Y68</f>
        <v>0.0</v>
      </c>
      <c r="E69" s="7">
        <f>Parameters!$D$6*C69</f>
        <v>0.0</v>
      </c>
      <c r="F69" s="7">
        <f>IF(Parameters!$D$5=1,E69,0)</f>
        <v>0.0</v>
      </c>
      <c r="G69" s="7">
        <f>Parameters!$D$27*G68+F69</f>
        <v>0.0</v>
      </c>
      <c r="H69" s="7">
        <f>IF(AND(Parameters!$D$5=1,Parameters!$D$26=1),SUMPRODUCT(--($A$45:A69&lt;A69),--(MOD(A69-$A$45:A69,Parameters!$D$28)=0),$F$45:F69,POWER(Parameters!$D$27,IF(A69-$A$45:A69=0,1,A69-$A$45:A69))),0)</f>
        <v>0.0</v>
      </c>
      <c r="I69" s="7">
        <f>Parameters!$D$23*I68+B69*Parameters!$D$22</f>
        <v>0.0</v>
      </c>
      <c r="J69" s="7">
        <f>E69*Parameters!$D$14*(1-Parameters!$D$15)</f>
        <v>0.0</v>
      </c>
      <c r="K69" s="7">
        <f>H69*Parameters!$D$29</f>
        <v>0.0</v>
      </c>
      <c r="L69" s="7">
        <f>I69*Parameters!$D$24</f>
        <v>0.0</v>
      </c>
      <c r="M69" s="7">
        <f>J69+K69+L69</f>
        <v>0.0</v>
      </c>
      <c r="N69" s="7">
        <f>C69*Parameters!$D$17+D69*Parameters!$D$18+E69*Parameters!$D$16+I69*Parameters!$D$25+G69*Parameters!$D$30</f>
        <v>0.0</v>
      </c>
      <c r="O69" s="7">
        <f>0</f>
        <v>0</v>
      </c>
      <c r="P69" s="7">
        <f>M69-N69-O69</f>
        <v>0.0</v>
      </c>
      <c r="Q69" s="7">
        <f>0</f>
        <v>0</v>
      </c>
      <c r="R69" s="7">
        <f>P69-Q69</f>
        <v>0.0</v>
      </c>
      <c r="S69" s="7">
        <f>IF(A69&lt;1+Parameters!$D$31,0,INDEX($M$45:$M$80,A69-Parameters!$D$31))</f>
        <v>0.0</v>
      </c>
      <c r="T69" s="7">
        <f>T68+M69-S69</f>
        <v>0.0</v>
      </c>
      <c r="U69" s="7">
        <f>S69-N69-O69-Q69</f>
        <v>0.0</v>
      </c>
      <c r="V69" s="7">
        <f>V68+U69</f>
        <v>1.5999999999999999</v>
      </c>
      <c r="W69" s="7">
        <f>(1-Parameters!$D$7)*(C69-E69)+(1-Parameters!$D$8)*(D69+E69)</f>
        <v>0.0</v>
      </c>
      <c r="X69" s="7">
        <f>Parameters!$D$7*(C69-E69)+Parameters!$D$8*Parameters!$D$9*(D69+E69)</f>
        <v>0.0</v>
      </c>
      <c r="Y69" s="7">
        <f>Parameters!$D$8*(1-Parameters!$D$9)*(D69+E69)</f>
        <v>0.0</v>
      </c>
      <c r="Z69" s="7">
        <f>POWER(1/(1+Parameters!$D$32),A69-1)*(M69-N69)</f>
        <v>0.0</v>
      </c>
    </row>
    <row r="70" spans="1:26">
      <c r="A70" s="7">
        <v>26</v>
      </c>
      <c r="B70" s="7">
        <f>0</f>
        <v>0</v>
      </c>
      <c r="C70" s="7">
        <f>X69+B70</f>
        <v>0.0</v>
      </c>
      <c r="D70" s="7">
        <f>Y69</f>
        <v>0.0</v>
      </c>
      <c r="E70" s="7">
        <f>Parameters!$D$6*C70</f>
        <v>0.0</v>
      </c>
      <c r="F70" s="7">
        <f>IF(Parameters!$D$5=1,E70,0)</f>
        <v>0.0</v>
      </c>
      <c r="G70" s="7">
        <f>Parameters!$D$27*G69+F70</f>
        <v>0.0</v>
      </c>
      <c r="H70" s="7">
        <f>IF(AND(Parameters!$D$5=1,Parameters!$D$26=1),SUMPRODUCT(--($A$45:A70&lt;A70),--(MOD(A70-$A$45:A70,Parameters!$D$28)=0),$F$45:F70,POWER(Parameters!$D$27,IF(A70-$A$45:A70=0,1,A70-$A$45:A70))),0)</f>
        <v>0.0</v>
      </c>
      <c r="I70" s="7">
        <f>Parameters!$D$23*I69+B70*Parameters!$D$22</f>
        <v>0.0</v>
      </c>
      <c r="J70" s="7">
        <f>E70*Parameters!$D$14*(1-Parameters!$D$15)</f>
        <v>0.0</v>
      </c>
      <c r="K70" s="7">
        <f>H70*Parameters!$D$29</f>
        <v>0.0</v>
      </c>
      <c r="L70" s="7">
        <f>I70*Parameters!$D$24</f>
        <v>0.0</v>
      </c>
      <c r="M70" s="7">
        <f>J70+K70+L70</f>
        <v>0.0</v>
      </c>
      <c r="N70" s="7">
        <f>C70*Parameters!$D$17+D70*Parameters!$D$18+E70*Parameters!$D$16+I70*Parameters!$D$25+G70*Parameters!$D$30</f>
        <v>0.0</v>
      </c>
      <c r="O70" s="7">
        <f>0</f>
        <v>0</v>
      </c>
      <c r="P70" s="7">
        <f>M70-N70-O70</f>
        <v>0.0</v>
      </c>
      <c r="Q70" s="7">
        <f>0</f>
        <v>0</v>
      </c>
      <c r="R70" s="7">
        <f>P70-Q70</f>
        <v>0.0</v>
      </c>
      <c r="S70" s="7">
        <f>IF(A70&lt;1+Parameters!$D$31,0,INDEX($M$45:$M$80,A70-Parameters!$D$31))</f>
        <v>0.0</v>
      </c>
      <c r="T70" s="7">
        <f>T69+M70-S70</f>
        <v>0.0</v>
      </c>
      <c r="U70" s="7">
        <f>S70-N70-O70-Q70</f>
        <v>0.0</v>
      </c>
      <c r="V70" s="7">
        <f>V69+U70</f>
        <v>1.5999999999999999</v>
      </c>
      <c r="W70" s="7">
        <f>(1-Parameters!$D$7)*(C70-E70)+(1-Parameters!$D$8)*(D70+E70)</f>
        <v>0.0</v>
      </c>
      <c r="X70" s="7">
        <f>Parameters!$D$7*(C70-E70)+Parameters!$D$8*Parameters!$D$9*(D70+E70)</f>
        <v>0.0</v>
      </c>
      <c r="Y70" s="7">
        <f>Parameters!$D$8*(1-Parameters!$D$9)*(D70+E70)</f>
        <v>0.0</v>
      </c>
      <c r="Z70" s="7">
        <f>POWER(1/(1+Parameters!$D$32),A70-1)*(M70-N70)</f>
        <v>0.0</v>
      </c>
    </row>
    <row r="71" spans="1:26">
      <c r="A71" s="7">
        <v>27</v>
      </c>
      <c r="B71" s="7">
        <f>0</f>
        <v>0</v>
      </c>
      <c r="C71" s="7">
        <f>X70+B71</f>
        <v>0.0</v>
      </c>
      <c r="D71" s="7">
        <f>Y70</f>
        <v>0.0</v>
      </c>
      <c r="E71" s="7">
        <f>Parameters!$D$6*C71</f>
        <v>0.0</v>
      </c>
      <c r="F71" s="7">
        <f>IF(Parameters!$D$5=1,E71,0)</f>
        <v>0.0</v>
      </c>
      <c r="G71" s="7">
        <f>Parameters!$D$27*G70+F71</f>
        <v>0.0</v>
      </c>
      <c r="H71" s="7">
        <f>IF(AND(Parameters!$D$5=1,Parameters!$D$26=1),SUMPRODUCT(--($A$45:A71&lt;A71),--(MOD(A71-$A$45:A71,Parameters!$D$28)=0),$F$45:F71,POWER(Parameters!$D$27,IF(A71-$A$45:A71=0,1,A71-$A$45:A71))),0)</f>
        <v>0.0</v>
      </c>
      <c r="I71" s="7">
        <f>Parameters!$D$23*I70+B71*Parameters!$D$22</f>
        <v>0.0</v>
      </c>
      <c r="J71" s="7">
        <f>E71*Parameters!$D$14*(1-Parameters!$D$15)</f>
        <v>0.0</v>
      </c>
      <c r="K71" s="7">
        <f>H71*Parameters!$D$29</f>
        <v>0.0</v>
      </c>
      <c r="L71" s="7">
        <f>I71*Parameters!$D$24</f>
        <v>0.0</v>
      </c>
      <c r="M71" s="7">
        <f>J71+K71+L71</f>
        <v>0.0</v>
      </c>
      <c r="N71" s="7">
        <f>C71*Parameters!$D$17+D71*Parameters!$D$18+E71*Parameters!$D$16+I71*Parameters!$D$25+G71*Parameters!$D$30</f>
        <v>0.0</v>
      </c>
      <c r="O71" s="7">
        <f>0</f>
        <v>0</v>
      </c>
      <c r="P71" s="7">
        <f>M71-N71-O71</f>
        <v>0.0</v>
      </c>
      <c r="Q71" s="7">
        <f>0</f>
        <v>0</v>
      </c>
      <c r="R71" s="7">
        <f>P71-Q71</f>
        <v>0.0</v>
      </c>
      <c r="S71" s="7">
        <f>IF(A71&lt;1+Parameters!$D$31,0,INDEX($M$45:$M$80,A71-Parameters!$D$31))</f>
        <v>0.0</v>
      </c>
      <c r="T71" s="7">
        <f>T70+M71-S71</f>
        <v>0.0</v>
      </c>
      <c r="U71" s="7">
        <f>S71-N71-O71-Q71</f>
        <v>0.0</v>
      </c>
      <c r="V71" s="7">
        <f>V70+U71</f>
        <v>1.5999999999999999</v>
      </c>
      <c r="W71" s="7">
        <f>(1-Parameters!$D$7)*(C71-E71)+(1-Parameters!$D$8)*(D71+E71)</f>
        <v>0.0</v>
      </c>
      <c r="X71" s="7">
        <f>Parameters!$D$7*(C71-E71)+Parameters!$D$8*Parameters!$D$9*(D71+E71)</f>
        <v>0.0</v>
      </c>
      <c r="Y71" s="7">
        <f>Parameters!$D$8*(1-Parameters!$D$9)*(D71+E71)</f>
        <v>0.0</v>
      </c>
      <c r="Z71" s="7">
        <f>POWER(1/(1+Parameters!$D$32),A71-1)*(M71-N71)</f>
        <v>0.0</v>
      </c>
    </row>
    <row r="72" spans="1:26">
      <c r="A72" s="7">
        <v>28</v>
      </c>
      <c r="B72" s="7">
        <f>0</f>
        <v>0</v>
      </c>
      <c r="C72" s="7">
        <f>X71+B72</f>
        <v>0.0</v>
      </c>
      <c r="D72" s="7">
        <f>Y71</f>
        <v>0.0</v>
      </c>
      <c r="E72" s="7">
        <f>Parameters!$D$6*C72</f>
        <v>0.0</v>
      </c>
      <c r="F72" s="7">
        <f>IF(Parameters!$D$5=1,E72,0)</f>
        <v>0.0</v>
      </c>
      <c r="G72" s="7">
        <f>Parameters!$D$27*G71+F72</f>
        <v>0.0</v>
      </c>
      <c r="H72" s="7">
        <f>IF(AND(Parameters!$D$5=1,Parameters!$D$26=1),SUMPRODUCT(--($A$45:A72&lt;A72),--(MOD(A72-$A$45:A72,Parameters!$D$28)=0),$F$45:F72,POWER(Parameters!$D$27,IF(A72-$A$45:A72=0,1,A72-$A$45:A72))),0)</f>
        <v>0.0</v>
      </c>
      <c r="I72" s="7">
        <f>Parameters!$D$23*I71+B72*Parameters!$D$22</f>
        <v>0.0</v>
      </c>
      <c r="J72" s="7">
        <f>E72*Parameters!$D$14*(1-Parameters!$D$15)</f>
        <v>0.0</v>
      </c>
      <c r="K72" s="7">
        <f>H72*Parameters!$D$29</f>
        <v>0.0</v>
      </c>
      <c r="L72" s="7">
        <f>I72*Parameters!$D$24</f>
        <v>0.0</v>
      </c>
      <c r="M72" s="7">
        <f>J72+K72+L72</f>
        <v>0.0</v>
      </c>
      <c r="N72" s="7">
        <f>C72*Parameters!$D$17+D72*Parameters!$D$18+E72*Parameters!$D$16+I72*Parameters!$D$25+G72*Parameters!$D$30</f>
        <v>0.0</v>
      </c>
      <c r="O72" s="7">
        <f>0</f>
        <v>0</v>
      </c>
      <c r="P72" s="7">
        <f>M72-N72-O72</f>
        <v>0.0</v>
      </c>
      <c r="Q72" s="7">
        <f>0</f>
        <v>0</v>
      </c>
      <c r="R72" s="7">
        <f>P72-Q72</f>
        <v>0.0</v>
      </c>
      <c r="S72" s="7">
        <f>IF(A72&lt;1+Parameters!$D$31,0,INDEX($M$45:$M$80,A72-Parameters!$D$31))</f>
        <v>0.0</v>
      </c>
      <c r="T72" s="7">
        <f>T71+M72-S72</f>
        <v>0.0</v>
      </c>
      <c r="U72" s="7">
        <f>S72-N72-O72-Q72</f>
        <v>0.0</v>
      </c>
      <c r="V72" s="7">
        <f>V71+U72</f>
        <v>1.5999999999999999</v>
      </c>
      <c r="W72" s="7">
        <f>(1-Parameters!$D$7)*(C72-E72)+(1-Parameters!$D$8)*(D72+E72)</f>
        <v>0.0</v>
      </c>
      <c r="X72" s="7">
        <f>Parameters!$D$7*(C72-E72)+Parameters!$D$8*Parameters!$D$9*(D72+E72)</f>
        <v>0.0</v>
      </c>
      <c r="Y72" s="7">
        <f>Parameters!$D$8*(1-Parameters!$D$9)*(D72+E72)</f>
        <v>0.0</v>
      </c>
      <c r="Z72" s="7">
        <f>POWER(1/(1+Parameters!$D$32),A72-1)*(M72-N72)</f>
        <v>0.0</v>
      </c>
    </row>
    <row r="73" spans="1:26">
      <c r="A73" s="7">
        <v>29</v>
      </c>
      <c r="B73" s="7">
        <f>0</f>
        <v>0</v>
      </c>
      <c r="C73" s="7">
        <f>X72+B73</f>
        <v>0.0</v>
      </c>
      <c r="D73" s="7">
        <f>Y72</f>
        <v>0.0</v>
      </c>
      <c r="E73" s="7">
        <f>Parameters!$D$6*C73</f>
        <v>0.0</v>
      </c>
      <c r="F73" s="7">
        <f>IF(Parameters!$D$5=1,E73,0)</f>
        <v>0.0</v>
      </c>
      <c r="G73" s="7">
        <f>Parameters!$D$27*G72+F73</f>
        <v>0.0</v>
      </c>
      <c r="H73" s="7">
        <f>IF(AND(Parameters!$D$5=1,Parameters!$D$26=1),SUMPRODUCT(--($A$45:A73&lt;A73),--(MOD(A73-$A$45:A73,Parameters!$D$28)=0),$F$45:F73,POWER(Parameters!$D$27,IF(A73-$A$45:A73=0,1,A73-$A$45:A73))),0)</f>
        <v>0.0</v>
      </c>
      <c r="I73" s="7">
        <f>Parameters!$D$23*I72+B73*Parameters!$D$22</f>
        <v>0.0</v>
      </c>
      <c r="J73" s="7">
        <f>E73*Parameters!$D$14*(1-Parameters!$D$15)</f>
        <v>0.0</v>
      </c>
      <c r="K73" s="7">
        <f>H73*Parameters!$D$29</f>
        <v>0.0</v>
      </c>
      <c r="L73" s="7">
        <f>I73*Parameters!$D$24</f>
        <v>0.0</v>
      </c>
      <c r="M73" s="7">
        <f>J73+K73+L73</f>
        <v>0.0</v>
      </c>
      <c r="N73" s="7">
        <f>C73*Parameters!$D$17+D73*Parameters!$D$18+E73*Parameters!$D$16+I73*Parameters!$D$25+G73*Parameters!$D$30</f>
        <v>0.0</v>
      </c>
      <c r="O73" s="7">
        <f>0</f>
        <v>0</v>
      </c>
      <c r="P73" s="7">
        <f>M73-N73-O73</f>
        <v>0.0</v>
      </c>
      <c r="Q73" s="7">
        <f>0</f>
        <v>0</v>
      </c>
      <c r="R73" s="7">
        <f>P73-Q73</f>
        <v>0.0</v>
      </c>
      <c r="S73" s="7">
        <f>IF(A73&lt;1+Parameters!$D$31,0,INDEX($M$45:$M$80,A73-Parameters!$D$31))</f>
        <v>0.0</v>
      </c>
      <c r="T73" s="7">
        <f>T72+M73-S73</f>
        <v>0.0</v>
      </c>
      <c r="U73" s="7">
        <f>S73-N73-O73-Q73</f>
        <v>0.0</v>
      </c>
      <c r="V73" s="7">
        <f>V72+U73</f>
        <v>1.5999999999999999</v>
      </c>
      <c r="W73" s="7">
        <f>(1-Parameters!$D$7)*(C73-E73)+(1-Parameters!$D$8)*(D73+E73)</f>
        <v>0.0</v>
      </c>
      <c r="X73" s="7">
        <f>Parameters!$D$7*(C73-E73)+Parameters!$D$8*Parameters!$D$9*(D73+E73)</f>
        <v>0.0</v>
      </c>
      <c r="Y73" s="7">
        <f>Parameters!$D$8*(1-Parameters!$D$9)*(D73+E73)</f>
        <v>0.0</v>
      </c>
      <c r="Z73" s="7">
        <f>POWER(1/(1+Parameters!$D$32),A73-1)*(M73-N73)</f>
        <v>0.0</v>
      </c>
    </row>
    <row r="74" spans="1:26">
      <c r="A74" s="7">
        <v>30</v>
      </c>
      <c r="B74" s="7">
        <f>0</f>
        <v>0</v>
      </c>
      <c r="C74" s="7">
        <f>X73+B74</f>
        <v>0.0</v>
      </c>
      <c r="D74" s="7">
        <f>Y73</f>
        <v>0.0</v>
      </c>
      <c r="E74" s="7">
        <f>Parameters!$D$6*C74</f>
        <v>0.0</v>
      </c>
      <c r="F74" s="7">
        <f>IF(Parameters!$D$5=1,E74,0)</f>
        <v>0.0</v>
      </c>
      <c r="G74" s="7">
        <f>Parameters!$D$27*G73+F74</f>
        <v>0.0</v>
      </c>
      <c r="H74" s="7">
        <f>IF(AND(Parameters!$D$5=1,Parameters!$D$26=1),SUMPRODUCT(--($A$45:A74&lt;A74),--(MOD(A74-$A$45:A74,Parameters!$D$28)=0),$F$45:F74,POWER(Parameters!$D$27,IF(A74-$A$45:A74=0,1,A74-$A$45:A74))),0)</f>
        <v>0.0</v>
      </c>
      <c r="I74" s="7">
        <f>Parameters!$D$23*I73+B74*Parameters!$D$22</f>
        <v>0.0</v>
      </c>
      <c r="J74" s="7">
        <f>E74*Parameters!$D$14*(1-Parameters!$D$15)</f>
        <v>0.0</v>
      </c>
      <c r="K74" s="7">
        <f>H74*Parameters!$D$29</f>
        <v>0.0</v>
      </c>
      <c r="L74" s="7">
        <f>I74*Parameters!$D$24</f>
        <v>0.0</v>
      </c>
      <c r="M74" s="7">
        <f>J74+K74+L74</f>
        <v>0.0</v>
      </c>
      <c r="N74" s="7">
        <f>C74*Parameters!$D$17+D74*Parameters!$D$18+E74*Parameters!$D$16+I74*Parameters!$D$25+G74*Parameters!$D$30</f>
        <v>0.0</v>
      </c>
      <c r="O74" s="7">
        <f>0</f>
        <v>0</v>
      </c>
      <c r="P74" s="7">
        <f>M74-N74-O74</f>
        <v>0.0</v>
      </c>
      <c r="Q74" s="7">
        <f>0</f>
        <v>0</v>
      </c>
      <c r="R74" s="7">
        <f>P74-Q74</f>
        <v>0.0</v>
      </c>
      <c r="S74" s="7">
        <f>IF(A74&lt;1+Parameters!$D$31,0,INDEX($M$45:$M$80,A74-Parameters!$D$31))</f>
        <v>0.0</v>
      </c>
      <c r="T74" s="7">
        <f>T73+M74-S74</f>
        <v>0.0</v>
      </c>
      <c r="U74" s="7">
        <f>S74-N74-O74-Q74</f>
        <v>0.0</v>
      </c>
      <c r="V74" s="7">
        <f>V73+U74</f>
        <v>1.5999999999999999</v>
      </c>
      <c r="W74" s="7">
        <f>(1-Parameters!$D$7)*(C74-E74)+(1-Parameters!$D$8)*(D74+E74)</f>
        <v>0.0</v>
      </c>
      <c r="X74" s="7">
        <f>Parameters!$D$7*(C74-E74)+Parameters!$D$8*Parameters!$D$9*(D74+E74)</f>
        <v>0.0</v>
      </c>
      <c r="Y74" s="7">
        <f>Parameters!$D$8*(1-Parameters!$D$9)*(D74+E74)</f>
        <v>0.0</v>
      </c>
      <c r="Z74" s="7">
        <f>POWER(1/(1+Parameters!$D$32),A74-1)*(M74-N74)</f>
        <v>0.0</v>
      </c>
    </row>
    <row r="75" spans="1:26">
      <c r="A75" s="7">
        <v>31</v>
      </c>
      <c r="B75" s="7">
        <f>0</f>
        <v>0</v>
      </c>
      <c r="C75" s="7">
        <f>X74+B75</f>
        <v>0.0</v>
      </c>
      <c r="D75" s="7">
        <f>Y74</f>
        <v>0.0</v>
      </c>
      <c r="E75" s="7">
        <f>Parameters!$D$6*C75</f>
        <v>0.0</v>
      </c>
      <c r="F75" s="7">
        <f>IF(Parameters!$D$5=1,E75,0)</f>
        <v>0.0</v>
      </c>
      <c r="G75" s="7">
        <f>Parameters!$D$27*G74+F75</f>
        <v>0.0</v>
      </c>
      <c r="H75" s="7">
        <f>IF(AND(Parameters!$D$5=1,Parameters!$D$26=1),SUMPRODUCT(--($A$45:A75&lt;A75),--(MOD(A75-$A$45:A75,Parameters!$D$28)=0),$F$45:F75,POWER(Parameters!$D$27,IF(A75-$A$45:A75=0,1,A75-$A$45:A75))),0)</f>
        <v>0.0</v>
      </c>
      <c r="I75" s="7">
        <f>Parameters!$D$23*I74+B75*Parameters!$D$22</f>
        <v>0.0</v>
      </c>
      <c r="J75" s="7">
        <f>E75*Parameters!$D$14*(1-Parameters!$D$15)</f>
        <v>0.0</v>
      </c>
      <c r="K75" s="7">
        <f>H75*Parameters!$D$29</f>
        <v>0.0</v>
      </c>
      <c r="L75" s="7">
        <f>I75*Parameters!$D$24</f>
        <v>0.0</v>
      </c>
      <c r="M75" s="7">
        <f>J75+K75+L75</f>
        <v>0.0</v>
      </c>
      <c r="N75" s="7">
        <f>C75*Parameters!$D$17+D75*Parameters!$D$18+E75*Parameters!$D$16+I75*Parameters!$D$25+G75*Parameters!$D$30</f>
        <v>0.0</v>
      </c>
      <c r="O75" s="7">
        <f>0</f>
        <v>0</v>
      </c>
      <c r="P75" s="7">
        <f>M75-N75-O75</f>
        <v>0.0</v>
      </c>
      <c r="Q75" s="7">
        <f>0</f>
        <v>0</v>
      </c>
      <c r="R75" s="7">
        <f>P75-Q75</f>
        <v>0.0</v>
      </c>
      <c r="S75" s="7">
        <f>IF(A75&lt;1+Parameters!$D$31,0,INDEX($M$45:$M$80,A75-Parameters!$D$31))</f>
        <v>0.0</v>
      </c>
      <c r="T75" s="7">
        <f>T74+M75-S75</f>
        <v>0.0</v>
      </c>
      <c r="U75" s="7">
        <f>S75-N75-O75-Q75</f>
        <v>0.0</v>
      </c>
      <c r="V75" s="7">
        <f>V74+U75</f>
        <v>1.5999999999999999</v>
      </c>
      <c r="W75" s="7">
        <f>(1-Parameters!$D$7)*(C75-E75)+(1-Parameters!$D$8)*(D75+E75)</f>
        <v>0.0</v>
      </c>
      <c r="X75" s="7">
        <f>Parameters!$D$7*(C75-E75)+Parameters!$D$8*Parameters!$D$9*(D75+E75)</f>
        <v>0.0</v>
      </c>
      <c r="Y75" s="7">
        <f>Parameters!$D$8*(1-Parameters!$D$9)*(D75+E75)</f>
        <v>0.0</v>
      </c>
      <c r="Z75" s="7">
        <f>POWER(1/(1+Parameters!$D$32),A75-1)*(M75-N75)</f>
        <v>0.0</v>
      </c>
    </row>
    <row r="76" spans="1:26">
      <c r="A76" s="7">
        <v>32</v>
      </c>
      <c r="B76" s="7">
        <f>0</f>
        <v>0</v>
      </c>
      <c r="C76" s="7">
        <f>X75+B76</f>
        <v>0.0</v>
      </c>
      <c r="D76" s="7">
        <f>Y75</f>
        <v>0.0</v>
      </c>
      <c r="E76" s="7">
        <f>Parameters!$D$6*C76</f>
        <v>0.0</v>
      </c>
      <c r="F76" s="7">
        <f>IF(Parameters!$D$5=1,E76,0)</f>
        <v>0.0</v>
      </c>
      <c r="G76" s="7">
        <f>Parameters!$D$27*G75+F76</f>
        <v>0.0</v>
      </c>
      <c r="H76" s="7">
        <f>IF(AND(Parameters!$D$5=1,Parameters!$D$26=1),SUMPRODUCT(--($A$45:A76&lt;A76),--(MOD(A76-$A$45:A76,Parameters!$D$28)=0),$F$45:F76,POWER(Parameters!$D$27,IF(A76-$A$45:A76=0,1,A76-$A$45:A76))),0)</f>
        <v>0.0</v>
      </c>
      <c r="I76" s="7">
        <f>Parameters!$D$23*I75+B76*Parameters!$D$22</f>
        <v>0.0</v>
      </c>
      <c r="J76" s="7">
        <f>E76*Parameters!$D$14*(1-Parameters!$D$15)</f>
        <v>0.0</v>
      </c>
      <c r="K76" s="7">
        <f>H76*Parameters!$D$29</f>
        <v>0.0</v>
      </c>
      <c r="L76" s="7">
        <f>I76*Parameters!$D$24</f>
        <v>0.0</v>
      </c>
      <c r="M76" s="7">
        <f>J76+K76+L76</f>
        <v>0.0</v>
      </c>
      <c r="N76" s="7">
        <f>C76*Parameters!$D$17+D76*Parameters!$D$18+E76*Parameters!$D$16+I76*Parameters!$D$25+G76*Parameters!$D$30</f>
        <v>0.0</v>
      </c>
      <c r="O76" s="7">
        <f>0</f>
        <v>0</v>
      </c>
      <c r="P76" s="7">
        <f>M76-N76-O76</f>
        <v>0.0</v>
      </c>
      <c r="Q76" s="7">
        <f>0</f>
        <v>0</v>
      </c>
      <c r="R76" s="7">
        <f>P76-Q76</f>
        <v>0.0</v>
      </c>
      <c r="S76" s="7">
        <f>IF(A76&lt;1+Parameters!$D$31,0,INDEX($M$45:$M$80,A76-Parameters!$D$31))</f>
        <v>0.0</v>
      </c>
      <c r="T76" s="7">
        <f>T75+M76-S76</f>
        <v>0.0</v>
      </c>
      <c r="U76" s="7">
        <f>S76-N76-O76-Q76</f>
        <v>0.0</v>
      </c>
      <c r="V76" s="7">
        <f>V75+U76</f>
        <v>1.5999999999999999</v>
      </c>
      <c r="W76" s="7">
        <f>(1-Parameters!$D$7)*(C76-E76)+(1-Parameters!$D$8)*(D76+E76)</f>
        <v>0.0</v>
      </c>
      <c r="X76" s="7">
        <f>Parameters!$D$7*(C76-E76)+Parameters!$D$8*Parameters!$D$9*(D76+E76)</f>
        <v>0.0</v>
      </c>
      <c r="Y76" s="7">
        <f>Parameters!$D$8*(1-Parameters!$D$9)*(D76+E76)</f>
        <v>0.0</v>
      </c>
      <c r="Z76" s="7">
        <f>POWER(1/(1+Parameters!$D$32),A76-1)*(M76-N76)</f>
        <v>0.0</v>
      </c>
    </row>
    <row r="77" spans="1:26">
      <c r="A77" s="7">
        <v>33</v>
      </c>
      <c r="B77" s="7">
        <f>0</f>
        <v>0</v>
      </c>
      <c r="C77" s="7">
        <f>X76+B77</f>
        <v>0.0</v>
      </c>
      <c r="D77" s="7">
        <f>Y76</f>
        <v>0.0</v>
      </c>
      <c r="E77" s="7">
        <f>Parameters!$D$6*C77</f>
        <v>0.0</v>
      </c>
      <c r="F77" s="7">
        <f>IF(Parameters!$D$5=1,E77,0)</f>
        <v>0.0</v>
      </c>
      <c r="G77" s="7">
        <f>Parameters!$D$27*G76+F77</f>
        <v>0.0</v>
      </c>
      <c r="H77" s="7">
        <f>IF(AND(Parameters!$D$5=1,Parameters!$D$26=1),SUMPRODUCT(--($A$45:A77&lt;A77),--(MOD(A77-$A$45:A77,Parameters!$D$28)=0),$F$45:F77,POWER(Parameters!$D$27,IF(A77-$A$45:A77=0,1,A77-$A$45:A77))),0)</f>
        <v>0.0</v>
      </c>
      <c r="I77" s="7">
        <f>Parameters!$D$23*I76+B77*Parameters!$D$22</f>
        <v>0.0</v>
      </c>
      <c r="J77" s="7">
        <f>E77*Parameters!$D$14*(1-Parameters!$D$15)</f>
        <v>0.0</v>
      </c>
      <c r="K77" s="7">
        <f>H77*Parameters!$D$29</f>
        <v>0.0</v>
      </c>
      <c r="L77" s="7">
        <f>I77*Parameters!$D$24</f>
        <v>0.0</v>
      </c>
      <c r="M77" s="7">
        <f>J77+K77+L77</f>
        <v>0.0</v>
      </c>
      <c r="N77" s="7">
        <f>C77*Parameters!$D$17+D77*Parameters!$D$18+E77*Parameters!$D$16+I77*Parameters!$D$25+G77*Parameters!$D$30</f>
        <v>0.0</v>
      </c>
      <c r="O77" s="7">
        <f>0</f>
        <v>0</v>
      </c>
      <c r="P77" s="7">
        <f>M77-N77-O77</f>
        <v>0.0</v>
      </c>
      <c r="Q77" s="7">
        <f>0</f>
        <v>0</v>
      </c>
      <c r="R77" s="7">
        <f>P77-Q77</f>
        <v>0.0</v>
      </c>
      <c r="S77" s="7">
        <f>IF(A77&lt;1+Parameters!$D$31,0,INDEX($M$45:$M$80,A77-Parameters!$D$31))</f>
        <v>0.0</v>
      </c>
      <c r="T77" s="7">
        <f>T76+M77-S77</f>
        <v>0.0</v>
      </c>
      <c r="U77" s="7">
        <f>S77-N77-O77-Q77</f>
        <v>0.0</v>
      </c>
      <c r="V77" s="7">
        <f>V76+U77</f>
        <v>1.5999999999999999</v>
      </c>
      <c r="W77" s="7">
        <f>(1-Parameters!$D$7)*(C77-E77)+(1-Parameters!$D$8)*(D77+E77)</f>
        <v>0.0</v>
      </c>
      <c r="X77" s="7">
        <f>Parameters!$D$7*(C77-E77)+Parameters!$D$8*Parameters!$D$9*(D77+E77)</f>
        <v>0.0</v>
      </c>
      <c r="Y77" s="7">
        <f>Parameters!$D$8*(1-Parameters!$D$9)*(D77+E77)</f>
        <v>0.0</v>
      </c>
      <c r="Z77" s="7">
        <f>POWER(1/(1+Parameters!$D$32),A77-1)*(M77-N77)</f>
        <v>0.0</v>
      </c>
    </row>
    <row r="78" spans="1:26">
      <c r="A78" s="7">
        <v>34</v>
      </c>
      <c r="B78" s="7">
        <f>0</f>
        <v>0</v>
      </c>
      <c r="C78" s="7">
        <f>X77+B78</f>
        <v>0.0</v>
      </c>
      <c r="D78" s="7">
        <f>Y77</f>
        <v>0.0</v>
      </c>
      <c r="E78" s="7">
        <f>Parameters!$D$6*C78</f>
        <v>0.0</v>
      </c>
      <c r="F78" s="7">
        <f>IF(Parameters!$D$5=1,E78,0)</f>
        <v>0.0</v>
      </c>
      <c r="G78" s="7">
        <f>Parameters!$D$27*G77+F78</f>
        <v>0.0</v>
      </c>
      <c r="H78" s="7">
        <f>IF(AND(Parameters!$D$5=1,Parameters!$D$26=1),SUMPRODUCT(--($A$45:A78&lt;A78),--(MOD(A78-$A$45:A78,Parameters!$D$28)=0),$F$45:F78,POWER(Parameters!$D$27,IF(A78-$A$45:A78=0,1,A78-$A$45:A78))),0)</f>
        <v>0.0</v>
      </c>
      <c r="I78" s="7">
        <f>Parameters!$D$23*I77+B78*Parameters!$D$22</f>
        <v>0.0</v>
      </c>
      <c r="J78" s="7">
        <f>E78*Parameters!$D$14*(1-Parameters!$D$15)</f>
        <v>0.0</v>
      </c>
      <c r="K78" s="7">
        <f>H78*Parameters!$D$29</f>
        <v>0.0</v>
      </c>
      <c r="L78" s="7">
        <f>I78*Parameters!$D$24</f>
        <v>0.0</v>
      </c>
      <c r="M78" s="7">
        <f>J78+K78+L78</f>
        <v>0.0</v>
      </c>
      <c r="N78" s="7">
        <f>C78*Parameters!$D$17+D78*Parameters!$D$18+E78*Parameters!$D$16+I78*Parameters!$D$25+G78*Parameters!$D$30</f>
        <v>0.0</v>
      </c>
      <c r="O78" s="7">
        <f>0</f>
        <v>0</v>
      </c>
      <c r="P78" s="7">
        <f>M78-N78-O78</f>
        <v>0.0</v>
      </c>
      <c r="Q78" s="7">
        <f>0</f>
        <v>0</v>
      </c>
      <c r="R78" s="7">
        <f>P78-Q78</f>
        <v>0.0</v>
      </c>
      <c r="S78" s="7">
        <f>IF(A78&lt;1+Parameters!$D$31,0,INDEX($M$45:$M$80,A78-Parameters!$D$31))</f>
        <v>0.0</v>
      </c>
      <c r="T78" s="7">
        <f>T77+M78-S78</f>
        <v>0.0</v>
      </c>
      <c r="U78" s="7">
        <f>S78-N78-O78-Q78</f>
        <v>0.0</v>
      </c>
      <c r="V78" s="7">
        <f>V77+U78</f>
        <v>1.5999999999999999</v>
      </c>
      <c r="W78" s="7">
        <f>(1-Parameters!$D$7)*(C78-E78)+(1-Parameters!$D$8)*(D78+E78)</f>
        <v>0.0</v>
      </c>
      <c r="X78" s="7">
        <f>Parameters!$D$7*(C78-E78)+Parameters!$D$8*Parameters!$D$9*(D78+E78)</f>
        <v>0.0</v>
      </c>
      <c r="Y78" s="7">
        <f>Parameters!$D$8*(1-Parameters!$D$9)*(D78+E78)</f>
        <v>0.0</v>
      </c>
      <c r="Z78" s="7">
        <f>POWER(1/(1+Parameters!$D$32),A78-1)*(M78-N78)</f>
        <v>0.0</v>
      </c>
    </row>
    <row r="79" spans="1:26">
      <c r="A79" s="7">
        <v>35</v>
      </c>
      <c r="B79" s="7">
        <f>0</f>
        <v>0</v>
      </c>
      <c r="C79" s="7">
        <f>X78+B79</f>
        <v>0.0</v>
      </c>
      <c r="D79" s="7">
        <f>Y78</f>
        <v>0.0</v>
      </c>
      <c r="E79" s="7">
        <f>Parameters!$D$6*C79</f>
        <v>0.0</v>
      </c>
      <c r="F79" s="7">
        <f>IF(Parameters!$D$5=1,E79,0)</f>
        <v>0.0</v>
      </c>
      <c r="G79" s="7">
        <f>Parameters!$D$27*G78+F79</f>
        <v>0.0</v>
      </c>
      <c r="H79" s="7">
        <f>IF(AND(Parameters!$D$5=1,Parameters!$D$26=1),SUMPRODUCT(--($A$45:A79&lt;A79),--(MOD(A79-$A$45:A79,Parameters!$D$28)=0),$F$45:F79,POWER(Parameters!$D$27,IF(A79-$A$45:A79=0,1,A79-$A$45:A79))),0)</f>
        <v>0.0</v>
      </c>
      <c r="I79" s="7">
        <f>Parameters!$D$23*I78+B79*Parameters!$D$22</f>
        <v>0.0</v>
      </c>
      <c r="J79" s="7">
        <f>E79*Parameters!$D$14*(1-Parameters!$D$15)</f>
        <v>0.0</v>
      </c>
      <c r="K79" s="7">
        <f>H79*Parameters!$D$29</f>
        <v>0.0</v>
      </c>
      <c r="L79" s="7">
        <f>I79*Parameters!$D$24</f>
        <v>0.0</v>
      </c>
      <c r="M79" s="7">
        <f>J79+K79+L79</f>
        <v>0.0</v>
      </c>
      <c r="N79" s="7">
        <f>C79*Parameters!$D$17+D79*Parameters!$D$18+E79*Parameters!$D$16+I79*Parameters!$D$25+G79*Parameters!$D$30</f>
        <v>0.0</v>
      </c>
      <c r="O79" s="7">
        <f>0</f>
        <v>0</v>
      </c>
      <c r="P79" s="7">
        <f>M79-N79-O79</f>
        <v>0.0</v>
      </c>
      <c r="Q79" s="7">
        <f>0</f>
        <v>0</v>
      </c>
      <c r="R79" s="7">
        <f>P79-Q79</f>
        <v>0.0</v>
      </c>
      <c r="S79" s="7">
        <f>IF(A79&lt;1+Parameters!$D$31,0,INDEX($M$45:$M$80,A79-Parameters!$D$31))</f>
        <v>0.0</v>
      </c>
      <c r="T79" s="7">
        <f>T78+M79-S79</f>
        <v>0.0</v>
      </c>
      <c r="U79" s="7">
        <f>S79-N79-O79-Q79</f>
        <v>0.0</v>
      </c>
      <c r="V79" s="7">
        <f>V78+U79</f>
        <v>1.5999999999999999</v>
      </c>
      <c r="W79" s="7">
        <f>(1-Parameters!$D$7)*(C79-E79)+(1-Parameters!$D$8)*(D79+E79)</f>
        <v>0.0</v>
      </c>
      <c r="X79" s="7">
        <f>Parameters!$D$7*(C79-E79)+Parameters!$D$8*Parameters!$D$9*(D79+E79)</f>
        <v>0.0</v>
      </c>
      <c r="Y79" s="7">
        <f>Parameters!$D$8*(1-Parameters!$D$9)*(D79+E79)</f>
        <v>0.0</v>
      </c>
      <c r="Z79" s="7">
        <f>POWER(1/(1+Parameters!$D$32),A79-1)*(M79-N79)</f>
        <v>0.0</v>
      </c>
    </row>
    <row r="80" spans="1:26">
      <c r="A80" s="7">
        <v>36</v>
      </c>
      <c r="B80" s="7">
        <f>0</f>
        <v>0</v>
      </c>
      <c r="C80" s="7">
        <f>X79+B80</f>
        <v>0.0</v>
      </c>
      <c r="D80" s="7">
        <f>Y79</f>
        <v>0.0</v>
      </c>
      <c r="E80" s="7">
        <f>Parameters!$D$6*C80</f>
        <v>0.0</v>
      </c>
      <c r="F80" s="7">
        <f>IF(Parameters!$D$5=1,E80,0)</f>
        <v>0.0</v>
      </c>
      <c r="G80" s="7">
        <f>Parameters!$D$27*G79+F80</f>
        <v>0.0</v>
      </c>
      <c r="H80" s="7">
        <f>IF(AND(Parameters!$D$5=1,Parameters!$D$26=1),SUMPRODUCT(--($A$45:A80&lt;A80),--(MOD(A80-$A$45:A80,Parameters!$D$28)=0),$F$45:F80,POWER(Parameters!$D$27,IF(A80-$A$45:A80=0,1,A80-$A$45:A80))),0)</f>
        <v>0.0</v>
      </c>
      <c r="I80" s="7">
        <f>Parameters!$D$23*I79+B80*Parameters!$D$22</f>
        <v>0.0</v>
      </c>
      <c r="J80" s="7">
        <f>E80*Parameters!$D$14*(1-Parameters!$D$15)</f>
        <v>0.0</v>
      </c>
      <c r="K80" s="7">
        <f>H80*Parameters!$D$29</f>
        <v>0.0</v>
      </c>
      <c r="L80" s="7">
        <f>I80*Parameters!$D$24</f>
        <v>0.0</v>
      </c>
      <c r="M80" s="7">
        <f>J80+K80+L80</f>
        <v>0.0</v>
      </c>
      <c r="N80" s="7">
        <f>C80*Parameters!$D$17+D80*Parameters!$D$18+E80*Parameters!$D$16+I80*Parameters!$D$25+G80*Parameters!$D$30</f>
        <v>0.0</v>
      </c>
      <c r="O80" s="7">
        <f>0</f>
        <v>0</v>
      </c>
      <c r="P80" s="7">
        <f>M80-N80-O80</f>
        <v>0.0</v>
      </c>
      <c r="Q80" s="7">
        <f>0</f>
        <v>0</v>
      </c>
      <c r="R80" s="7">
        <f>P80-Q80</f>
        <v>0.0</v>
      </c>
      <c r="S80" s="7">
        <f>IF(A80&lt;1+Parameters!$D$31,0,INDEX($M$45:$M$80,A80-Parameters!$D$31))</f>
        <v>0.0</v>
      </c>
      <c r="T80" s="7">
        <f>T79+M80-S80</f>
        <v>0.0</v>
      </c>
      <c r="U80" s="7">
        <f>S80-N80-O80-Q80</f>
        <v>0.0</v>
      </c>
      <c r="V80" s="7">
        <f>V79+U80</f>
        <v>1.5999999999999999</v>
      </c>
      <c r="W80" s="7">
        <f>(1-Parameters!$D$7)*(C80-E80)+(1-Parameters!$D$8)*(D80+E80)</f>
        <v>0.0</v>
      </c>
      <c r="X80" s="7">
        <f>Parameters!$D$7*(C80-E80)+Parameters!$D$8*Parameters!$D$9*(D80+E80)</f>
        <v>0.0</v>
      </c>
      <c r="Y80" s="7">
        <f>Parameters!$D$8*(1-Parameters!$D$9)*(D80+E80)</f>
        <v>0.0</v>
      </c>
      <c r="Z80" s="7">
        <f>POWER(1/(1+Parameters!$D$32),A80-1)*(M80-N80)</f>
        <v>0.0</v>
      </c>
    </row>
  </sheetData>
  <mergeCells count="3">
    <mergeCell ref="A1:Z1"/>
    <mergeCell ref="A2:Z2"/>
    <mergeCell ref="A43:Z4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80"/>
  <sheetViews>
    <sheetView showGridLines="0" zoomScale="85" zoomScaleNormal="85" workbookViewId="0">
      <pane xSplit="4" ySplit="4" topLeftCell="E5" activePane="bottomRight" state="frozen"/>
      <selection pane="topRight" activeCell="E1" sqref="E1"/>
      <selection pane="bottomLeft" activeCell="A5" sqref="A5"/>
      <selection pane="bottomRight"/>
    </sheetView>
  </sheetViews>
  <sheetFormatPr defaultRowHeight="15"/>
  <cols>
    <col min="1" max="1" width="10.7109375" customWidth="1"/>
    <col min="2" max="9" width="19.7109375" customWidth="1"/>
    <col min="10" max="26" width="22.7109375" customWidth="1"/>
  </cols>
  <sheetData>
    <row r="1" spans="1:26">
      <c r="A1" s="1" t="s">
        <v>191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3" t="s">
        <v>163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4" spans="1:26" ht="45" customHeight="1">
      <c r="A4" s="4" t="s">
        <v>164</v>
      </c>
      <c r="B4" s="4" t="s">
        <v>165</v>
      </c>
      <c r="C4" s="4" t="s">
        <v>166</v>
      </c>
      <c r="D4" s="4" t="s">
        <v>167</v>
      </c>
      <c r="E4" s="4" t="s">
        <v>168</v>
      </c>
      <c r="F4" s="4" t="s">
        <v>169</v>
      </c>
      <c r="G4" s="4" t="s">
        <v>170</v>
      </c>
      <c r="H4" s="4" t="s">
        <v>171</v>
      </c>
      <c r="I4" s="4" t="s">
        <v>172</v>
      </c>
      <c r="J4" s="4" t="s">
        <v>173</v>
      </c>
      <c r="K4" s="4" t="s">
        <v>174</v>
      </c>
      <c r="L4" s="4" t="s">
        <v>175</v>
      </c>
      <c r="M4" s="4" t="s">
        <v>176</v>
      </c>
      <c r="N4" s="4" t="s">
        <v>177</v>
      </c>
      <c r="O4" s="4" t="s">
        <v>99</v>
      </c>
      <c r="P4" s="4" t="s">
        <v>178</v>
      </c>
      <c r="Q4" s="4" t="s">
        <v>179</v>
      </c>
      <c r="R4" s="4" t="s">
        <v>180</v>
      </c>
      <c r="S4" s="4" t="s">
        <v>181</v>
      </c>
      <c r="T4" s="4" t="s">
        <v>182</v>
      </c>
      <c r="U4" s="4" t="s">
        <v>183</v>
      </c>
      <c r="V4" s="4" t="s">
        <v>184</v>
      </c>
      <c r="W4" s="4" t="s">
        <v>185</v>
      </c>
      <c r="X4" s="4" t="s">
        <v>186</v>
      </c>
      <c r="Y4" s="4" t="s">
        <v>187</v>
      </c>
      <c r="Z4" s="4" t="s">
        <v>188</v>
      </c>
    </row>
    <row r="5" spans="1:26">
      <c r="A5" s="7">
        <v>1</v>
      </c>
      <c r="B5" s="7">
        <f>Parameters!$E$20</f>
        <v>1000</v>
      </c>
      <c r="C5" s="7">
        <f>B5</f>
        <v>1000</v>
      </c>
      <c r="D5" s="7">
        <f>0</f>
        <v>0.0</v>
      </c>
      <c r="E5" s="7">
        <f>Parameters!$E$6*C5</f>
        <v>100.0</v>
      </c>
      <c r="F5" s="7">
        <f>IF(Parameters!$E$5=1,E5,0)</f>
        <v>0.0</v>
      </c>
      <c r="G5" s="7">
        <f>F5</f>
        <v>0.0</v>
      </c>
      <c r="H5" s="7">
        <f>IF(AND(Parameters!$E$5=1,Parameters!$E$26=1),SUMPRODUCT(--($A$5:A5&lt;A5),--(MOD(A5-$A$5:A5,Parameters!$E$28)=0),$F$5:F5,POWER(Parameters!$E$27,IF(A5-$A$5:A5=0,1,A5-$A$5:A5))),0)</f>
        <v>0.0</v>
      </c>
      <c r="I5" s="7">
        <f>B5*Parameters!$E$22</f>
        <v>0.0</v>
      </c>
      <c r="J5" s="7">
        <f>E5*Parameters!$E$14*(1-Parameters!$E$15)</f>
        <v>1900.0</v>
      </c>
      <c r="K5" s="7">
        <f>H5*Parameters!$E$29</f>
        <v>0.0</v>
      </c>
      <c r="L5" s="7">
        <f>I5*Parameters!$E$24</f>
        <v>0.0</v>
      </c>
      <c r="M5" s="7">
        <f>J5+K5+L5</f>
        <v>1900.0</v>
      </c>
      <c r="N5" s="7">
        <f>C5*Parameters!$E$17+D5*Parameters!$E$18+E5*Parameters!$E$16+I5*Parameters!$E$25+G5*Parameters!$E$30</f>
        <v>300.0</v>
      </c>
      <c r="O5" s="7">
        <f>B5*Parameters!$E$19</f>
        <v>1000</v>
      </c>
      <c r="P5" s="7">
        <f>M5-N5-O5</f>
        <v>600.0</v>
      </c>
      <c r="Q5" s="7">
        <f>Parameters!$E$21</f>
        <v>1000</v>
      </c>
      <c r="R5" s="7">
        <f>P5-Q5</f>
        <v>-400.0</v>
      </c>
      <c r="S5" s="7">
        <f>IF(A5&lt;1+Parameters!$E$31,0,INDEX($M$5:$M$40,A5-Parameters!$E$31))</f>
        <v>0.0</v>
      </c>
      <c r="T5" s="7">
        <f>M5-S5</f>
        <v>1900.0</v>
      </c>
      <c r="U5" s="7">
        <f>S5-N5-O5-Q5</f>
        <v>-2300.0</v>
      </c>
      <c r="V5" s="7">
        <f>U5</f>
        <v>-2300.0</v>
      </c>
      <c r="W5" s="7">
        <f>(1-Parameters!$E$7)*(C5-E5)+(1-Parameters!$E$8)*(D5+E5)</f>
        <v>1000.0</v>
      </c>
      <c r="X5" s="7">
        <f>Parameters!$E$7*(C5-E5)+Parameters!$E$8*Parameters!$E$9*(D5+E5)</f>
        <v>0.0</v>
      </c>
      <c r="Y5" s="7">
        <f>Parameters!$E$8*(1-Parameters!$E$9)*(D5+E5)</f>
        <v>0.0</v>
      </c>
      <c r="Z5" s="7">
        <f>POWER(1/(1+Parameters!$E$32),A5-1)*(M5-N5)</f>
        <v>1600.0</v>
      </c>
    </row>
    <row r="6" spans="1:26">
      <c r="A6" s="7">
        <v>2</v>
      </c>
      <c r="B6" s="7">
        <f>Parameters!$E$20</f>
        <v>1000</v>
      </c>
      <c r="C6" s="7">
        <f>X5+B6</f>
        <v>1000.0</v>
      </c>
      <c r="D6" s="7">
        <f>Y5</f>
        <v>0.0</v>
      </c>
      <c r="E6" s="7">
        <f>Parameters!$E$6*C6</f>
        <v>100.0</v>
      </c>
      <c r="F6" s="7">
        <f>IF(Parameters!$E$5=1,E6,0)</f>
        <v>0.0</v>
      </c>
      <c r="G6" s="7">
        <f>Parameters!$E$27*G5+F6</f>
        <v>0.0</v>
      </c>
      <c r="H6" s="7">
        <f>IF(AND(Parameters!$E$5=1,Parameters!$E$26=1),SUMPRODUCT(--($A$5:A6&lt;A6),--(MOD(A6-$A$5:A6,Parameters!$E$28)=0),$F$5:F6,POWER(Parameters!$E$27,IF(A6-$A$5:A6=0,1,A6-$A$5:A6))),0)</f>
        <v>0.0</v>
      </c>
      <c r="I6" s="7">
        <f>Parameters!$E$23*I5+B6*Parameters!$E$22</f>
        <v>0.0</v>
      </c>
      <c r="J6" s="7">
        <f>E6*Parameters!$E$14*(1-Parameters!$E$15)</f>
        <v>1900.0</v>
      </c>
      <c r="K6" s="7">
        <f>H6*Parameters!$E$29</f>
        <v>0.0</v>
      </c>
      <c r="L6" s="7">
        <f>I6*Parameters!$E$24</f>
        <v>0.0</v>
      </c>
      <c r="M6" s="7">
        <f>J6+K6+L6</f>
        <v>1900.0</v>
      </c>
      <c r="N6" s="7">
        <f>C6*Parameters!$E$17+D6*Parameters!$E$18+E6*Parameters!$E$16+I6*Parameters!$E$25+G6*Parameters!$E$30</f>
        <v>300.0</v>
      </c>
      <c r="O6" s="7">
        <f>B6*Parameters!$E$19</f>
        <v>1000</v>
      </c>
      <c r="P6" s="7">
        <f>M6-N6-O6</f>
        <v>600.0</v>
      </c>
      <c r="Q6" s="7">
        <f>Parameters!$E$21</f>
        <v>1000</v>
      </c>
      <c r="R6" s="7">
        <f>P6-Q6</f>
        <v>-400.0</v>
      </c>
      <c r="S6" s="7">
        <f>IF(A6&lt;1+Parameters!$E$31,0,INDEX($M$5:$M$40,A6-Parameters!$E$31))</f>
        <v>1900.0</v>
      </c>
      <c r="T6" s="7">
        <f>T5+M6-S6</f>
        <v>1900.0</v>
      </c>
      <c r="U6" s="7">
        <f>S6-N6-O6-Q6</f>
        <v>-400.0</v>
      </c>
      <c r="V6" s="7">
        <f>V5+U6</f>
        <v>-2700.0</v>
      </c>
      <c r="W6" s="7">
        <f>(1-Parameters!$E$7)*(C6-E6)+(1-Parameters!$E$8)*(D6+E6)</f>
        <v>1000.0</v>
      </c>
      <c r="X6" s="7">
        <f>Parameters!$E$7*(C6-E6)+Parameters!$E$8*Parameters!$E$9*(D6+E6)</f>
        <v>0.0</v>
      </c>
      <c r="Y6" s="7">
        <f>Parameters!$E$8*(1-Parameters!$E$9)*(D6+E6)</f>
        <v>0.0</v>
      </c>
      <c r="Z6" s="7">
        <f>POWER(1/(1+Parameters!$E$32),A6-1)*(M6-N6)</f>
        <v>1584.1584158415842</v>
      </c>
    </row>
    <row r="7" spans="1:26">
      <c r="A7" s="7">
        <v>3</v>
      </c>
      <c r="B7" s="7">
        <f>Parameters!$E$20</f>
        <v>1000</v>
      </c>
      <c r="C7" s="7">
        <f>X6+B7</f>
        <v>1000.0</v>
      </c>
      <c r="D7" s="7">
        <f>Y6</f>
        <v>0.0</v>
      </c>
      <c r="E7" s="7">
        <f>Parameters!$E$6*C7</f>
        <v>100.0</v>
      </c>
      <c r="F7" s="7">
        <f>IF(Parameters!$E$5=1,E7,0)</f>
        <v>0.0</v>
      </c>
      <c r="G7" s="7">
        <f>Parameters!$E$27*G6+F7</f>
        <v>0.0</v>
      </c>
      <c r="H7" s="7">
        <f>IF(AND(Parameters!$E$5=1,Parameters!$E$26=1),SUMPRODUCT(--($A$5:A7&lt;A7),--(MOD(A7-$A$5:A7,Parameters!$E$28)=0),$F$5:F7,POWER(Parameters!$E$27,IF(A7-$A$5:A7=0,1,A7-$A$5:A7))),0)</f>
        <v>0.0</v>
      </c>
      <c r="I7" s="7">
        <f>Parameters!$E$23*I6+B7*Parameters!$E$22</f>
        <v>0.0</v>
      </c>
      <c r="J7" s="7">
        <f>E7*Parameters!$E$14*(1-Parameters!$E$15)</f>
        <v>1900.0</v>
      </c>
      <c r="K7" s="7">
        <f>H7*Parameters!$E$29</f>
        <v>0.0</v>
      </c>
      <c r="L7" s="7">
        <f>I7*Parameters!$E$24</f>
        <v>0.0</v>
      </c>
      <c r="M7" s="7">
        <f>J7+K7+L7</f>
        <v>1900.0</v>
      </c>
      <c r="N7" s="7">
        <f>C7*Parameters!$E$17+D7*Parameters!$E$18+E7*Parameters!$E$16+I7*Parameters!$E$25+G7*Parameters!$E$30</f>
        <v>300.0</v>
      </c>
      <c r="O7" s="7">
        <f>B7*Parameters!$E$19</f>
        <v>1000</v>
      </c>
      <c r="P7" s="7">
        <f>M7-N7-O7</f>
        <v>600.0</v>
      </c>
      <c r="Q7" s="7">
        <f>Parameters!$E$21</f>
        <v>1000</v>
      </c>
      <c r="R7" s="7">
        <f>P7-Q7</f>
        <v>-400.0</v>
      </c>
      <c r="S7" s="7">
        <f>IF(A7&lt;1+Parameters!$E$31,0,INDEX($M$5:$M$40,A7-Parameters!$E$31))</f>
        <v>1900.0</v>
      </c>
      <c r="T7" s="7">
        <f>T6+M7-S7</f>
        <v>1900.0</v>
      </c>
      <c r="U7" s="7">
        <f>S7-N7-O7-Q7</f>
        <v>-400.0</v>
      </c>
      <c r="V7" s="7">
        <f>V6+U7</f>
        <v>-3100.0</v>
      </c>
      <c r="W7" s="7">
        <f>(1-Parameters!$E$7)*(C7-E7)+(1-Parameters!$E$8)*(D7+E7)</f>
        <v>1000.0</v>
      </c>
      <c r="X7" s="7">
        <f>Parameters!$E$7*(C7-E7)+Parameters!$E$8*Parameters!$E$9*(D7+E7)</f>
        <v>0.0</v>
      </c>
      <c r="Y7" s="7">
        <f>Parameters!$E$8*(1-Parameters!$E$9)*(D7+E7)</f>
        <v>0.0</v>
      </c>
      <c r="Z7" s="7">
        <f>POWER(1/(1+Parameters!$E$32),A7-1)*(M7-N7)</f>
        <v>1568.4736790510733</v>
      </c>
    </row>
    <row r="8" spans="1:26">
      <c r="A8" s="7">
        <v>4</v>
      </c>
      <c r="B8" s="7">
        <f>Parameters!$E$20</f>
        <v>1000</v>
      </c>
      <c r="C8" s="7">
        <f>X7+B8</f>
        <v>1000.0</v>
      </c>
      <c r="D8" s="7">
        <f>Y7</f>
        <v>0.0</v>
      </c>
      <c r="E8" s="7">
        <f>Parameters!$E$6*C8</f>
        <v>100.0</v>
      </c>
      <c r="F8" s="7">
        <f>IF(Parameters!$E$5=1,E8,0)</f>
        <v>0.0</v>
      </c>
      <c r="G8" s="7">
        <f>Parameters!$E$27*G7+F8</f>
        <v>0.0</v>
      </c>
      <c r="H8" s="7">
        <f>IF(AND(Parameters!$E$5=1,Parameters!$E$26=1),SUMPRODUCT(--($A$5:A8&lt;A8),--(MOD(A8-$A$5:A8,Parameters!$E$28)=0),$F$5:F8,POWER(Parameters!$E$27,IF(A8-$A$5:A8=0,1,A8-$A$5:A8))),0)</f>
        <v>0.0</v>
      </c>
      <c r="I8" s="7">
        <f>Parameters!$E$23*I7+B8*Parameters!$E$22</f>
        <v>0.0</v>
      </c>
      <c r="J8" s="7">
        <f>E8*Parameters!$E$14*(1-Parameters!$E$15)</f>
        <v>1900.0</v>
      </c>
      <c r="K8" s="7">
        <f>H8*Parameters!$E$29</f>
        <v>0.0</v>
      </c>
      <c r="L8" s="7">
        <f>I8*Parameters!$E$24</f>
        <v>0.0</v>
      </c>
      <c r="M8" s="7">
        <f>J8+K8+L8</f>
        <v>1900.0</v>
      </c>
      <c r="N8" s="7">
        <f>C8*Parameters!$E$17+D8*Parameters!$E$18+E8*Parameters!$E$16+I8*Parameters!$E$25+G8*Parameters!$E$30</f>
        <v>300.0</v>
      </c>
      <c r="O8" s="7">
        <f>B8*Parameters!$E$19</f>
        <v>1000</v>
      </c>
      <c r="P8" s="7">
        <f>M8-N8-O8</f>
        <v>600.0</v>
      </c>
      <c r="Q8" s="7">
        <f>Parameters!$E$21</f>
        <v>1000</v>
      </c>
      <c r="R8" s="7">
        <f>P8-Q8</f>
        <v>-400.0</v>
      </c>
      <c r="S8" s="7">
        <f>IF(A8&lt;1+Parameters!$E$31,0,INDEX($M$5:$M$40,A8-Parameters!$E$31))</f>
        <v>1900.0</v>
      </c>
      <c r="T8" s="7">
        <f>T7+M8-S8</f>
        <v>1900.0</v>
      </c>
      <c r="U8" s="7">
        <f>S8-N8-O8-Q8</f>
        <v>-400.0</v>
      </c>
      <c r="V8" s="7">
        <f>V7+U8</f>
        <v>-3500.0</v>
      </c>
      <c r="W8" s="7">
        <f>(1-Parameters!$E$7)*(C8-E8)+(1-Parameters!$E$8)*(D8+E8)</f>
        <v>1000.0</v>
      </c>
      <c r="X8" s="7">
        <f>Parameters!$E$7*(C8-E8)+Parameters!$E$8*Parameters!$E$9*(D8+E8)</f>
        <v>0.0</v>
      </c>
      <c r="Y8" s="7">
        <f>Parameters!$E$8*(1-Parameters!$E$9)*(D8+E8)</f>
        <v>0.0</v>
      </c>
      <c r="Z8" s="7">
        <f>POWER(1/(1+Parameters!$E$32),A8-1)*(M8-N8)</f>
        <v>1552.944236684231</v>
      </c>
    </row>
    <row r="9" spans="1:26">
      <c r="A9" s="7">
        <v>5</v>
      </c>
      <c r="B9" s="7">
        <f>Parameters!$E$20</f>
        <v>1000</v>
      </c>
      <c r="C9" s="7">
        <f>X8+B9</f>
        <v>1000.0</v>
      </c>
      <c r="D9" s="7">
        <f>Y8</f>
        <v>0.0</v>
      </c>
      <c r="E9" s="7">
        <f>Parameters!$E$6*C9</f>
        <v>100.0</v>
      </c>
      <c r="F9" s="7">
        <f>IF(Parameters!$E$5=1,E9,0)</f>
        <v>0.0</v>
      </c>
      <c r="G9" s="7">
        <f>Parameters!$E$27*G8+F9</f>
        <v>0.0</v>
      </c>
      <c r="H9" s="7">
        <f>IF(AND(Parameters!$E$5=1,Parameters!$E$26=1),SUMPRODUCT(--($A$5:A9&lt;A9),--(MOD(A9-$A$5:A9,Parameters!$E$28)=0),$F$5:F9,POWER(Parameters!$E$27,IF(A9-$A$5:A9=0,1,A9-$A$5:A9))),0)</f>
        <v>0.0</v>
      </c>
      <c r="I9" s="7">
        <f>Parameters!$E$23*I8+B9*Parameters!$E$22</f>
        <v>0.0</v>
      </c>
      <c r="J9" s="7">
        <f>E9*Parameters!$E$14*(1-Parameters!$E$15)</f>
        <v>1900.0</v>
      </c>
      <c r="K9" s="7">
        <f>H9*Parameters!$E$29</f>
        <v>0.0</v>
      </c>
      <c r="L9" s="7">
        <f>I9*Parameters!$E$24</f>
        <v>0.0</v>
      </c>
      <c r="M9" s="7">
        <f>J9+K9+L9</f>
        <v>1900.0</v>
      </c>
      <c r="N9" s="7">
        <f>C9*Parameters!$E$17+D9*Parameters!$E$18+E9*Parameters!$E$16+I9*Parameters!$E$25+G9*Parameters!$E$30</f>
        <v>300.0</v>
      </c>
      <c r="O9" s="7">
        <f>B9*Parameters!$E$19</f>
        <v>1000</v>
      </c>
      <c r="P9" s="7">
        <f>M9-N9-O9</f>
        <v>600.0</v>
      </c>
      <c r="Q9" s="7">
        <f>Parameters!$E$21</f>
        <v>1000</v>
      </c>
      <c r="R9" s="7">
        <f>P9-Q9</f>
        <v>-400.0</v>
      </c>
      <c r="S9" s="7">
        <f>IF(A9&lt;1+Parameters!$E$31,0,INDEX($M$5:$M$40,A9-Parameters!$E$31))</f>
        <v>1900.0</v>
      </c>
      <c r="T9" s="7">
        <f>T8+M9-S9</f>
        <v>1900.0</v>
      </c>
      <c r="U9" s="7">
        <f>S9-N9-O9-Q9</f>
        <v>-400.0</v>
      </c>
      <c r="V9" s="7">
        <f>V8+U9</f>
        <v>-3900.0</v>
      </c>
      <c r="W9" s="7">
        <f>(1-Parameters!$E$7)*(C9-E9)+(1-Parameters!$E$8)*(D9+E9)</f>
        <v>1000.0</v>
      </c>
      <c r="X9" s="7">
        <f>Parameters!$E$7*(C9-E9)+Parameters!$E$8*Parameters!$E$9*(D9+E9)</f>
        <v>0.0</v>
      </c>
      <c r="Y9" s="7">
        <f>Parameters!$E$8*(1-Parameters!$E$9)*(D9+E9)</f>
        <v>0.0</v>
      </c>
      <c r="Z9" s="7">
        <f>POWER(1/(1+Parameters!$E$32),A9-1)*(M9-N9)</f>
        <v>1537.568551172506</v>
      </c>
    </row>
    <row r="10" spans="1:26">
      <c r="A10" s="7">
        <v>6</v>
      </c>
      <c r="B10" s="7">
        <f>Parameters!$E$20</f>
        <v>1000</v>
      </c>
      <c r="C10" s="7">
        <f>X9+B10</f>
        <v>1000.0</v>
      </c>
      <c r="D10" s="7">
        <f>Y9</f>
        <v>0.0</v>
      </c>
      <c r="E10" s="7">
        <f>Parameters!$E$6*C10</f>
        <v>100.0</v>
      </c>
      <c r="F10" s="7">
        <f>IF(Parameters!$E$5=1,E10,0)</f>
        <v>0.0</v>
      </c>
      <c r="G10" s="7">
        <f>Parameters!$E$27*G9+F10</f>
        <v>0.0</v>
      </c>
      <c r="H10" s="7">
        <f>IF(AND(Parameters!$E$5=1,Parameters!$E$26=1),SUMPRODUCT(--($A$5:A10&lt;A10),--(MOD(A10-$A$5:A10,Parameters!$E$28)=0),$F$5:F10,POWER(Parameters!$E$27,IF(A10-$A$5:A10=0,1,A10-$A$5:A10))),0)</f>
        <v>0.0</v>
      </c>
      <c r="I10" s="7">
        <f>Parameters!$E$23*I9+B10*Parameters!$E$22</f>
        <v>0.0</v>
      </c>
      <c r="J10" s="7">
        <f>E10*Parameters!$E$14*(1-Parameters!$E$15)</f>
        <v>1900.0</v>
      </c>
      <c r="K10" s="7">
        <f>H10*Parameters!$E$29</f>
        <v>0.0</v>
      </c>
      <c r="L10" s="7">
        <f>I10*Parameters!$E$24</f>
        <v>0.0</v>
      </c>
      <c r="M10" s="7">
        <f>J10+K10+L10</f>
        <v>1900.0</v>
      </c>
      <c r="N10" s="7">
        <f>C10*Parameters!$E$17+D10*Parameters!$E$18+E10*Parameters!$E$16+I10*Parameters!$E$25+G10*Parameters!$E$30</f>
        <v>300.0</v>
      </c>
      <c r="O10" s="7">
        <f>B10*Parameters!$E$19</f>
        <v>1000</v>
      </c>
      <c r="P10" s="7">
        <f>M10-N10-O10</f>
        <v>600.0</v>
      </c>
      <c r="Q10" s="7">
        <f>Parameters!$E$21</f>
        <v>1000</v>
      </c>
      <c r="R10" s="7">
        <f>P10-Q10</f>
        <v>-400.0</v>
      </c>
      <c r="S10" s="7">
        <f>IF(A10&lt;1+Parameters!$E$31,0,INDEX($M$5:$M$40,A10-Parameters!$E$31))</f>
        <v>1900.0</v>
      </c>
      <c r="T10" s="7">
        <f>T9+M10-S10</f>
        <v>1900.0</v>
      </c>
      <c r="U10" s="7">
        <f>S10-N10-O10-Q10</f>
        <v>-400.0</v>
      </c>
      <c r="V10" s="7">
        <f>V9+U10</f>
        <v>-4300.0</v>
      </c>
      <c r="W10" s="7">
        <f>(1-Parameters!$E$7)*(C10-E10)+(1-Parameters!$E$8)*(D10+E10)</f>
        <v>1000.0</v>
      </c>
      <c r="X10" s="7">
        <f>Parameters!$E$7*(C10-E10)+Parameters!$E$8*Parameters!$E$9*(D10+E10)</f>
        <v>0.0</v>
      </c>
      <c r="Y10" s="7">
        <f>Parameters!$E$8*(1-Parameters!$E$9)*(D10+E10)</f>
        <v>0.0</v>
      </c>
      <c r="Z10" s="7">
        <f>POWER(1/(1+Parameters!$E$32),A10-1)*(M10-N10)</f>
        <v>1522.345100170798</v>
      </c>
    </row>
    <row r="11" spans="1:26">
      <c r="A11" s="7">
        <v>7</v>
      </c>
      <c r="B11" s="7">
        <f>Parameters!$E$20</f>
        <v>1000</v>
      </c>
      <c r="C11" s="7">
        <f>X10+B11</f>
        <v>1000.0</v>
      </c>
      <c r="D11" s="7">
        <f>Y10</f>
        <v>0.0</v>
      </c>
      <c r="E11" s="7">
        <f>Parameters!$E$6*C11</f>
        <v>100.0</v>
      </c>
      <c r="F11" s="7">
        <f>IF(Parameters!$E$5=1,E11,0)</f>
        <v>0.0</v>
      </c>
      <c r="G11" s="7">
        <f>Parameters!$E$27*G10+F11</f>
        <v>0.0</v>
      </c>
      <c r="H11" s="7">
        <f>IF(AND(Parameters!$E$5=1,Parameters!$E$26=1),SUMPRODUCT(--($A$5:A11&lt;A11),--(MOD(A11-$A$5:A11,Parameters!$E$28)=0),$F$5:F11,POWER(Parameters!$E$27,IF(A11-$A$5:A11=0,1,A11-$A$5:A11))),0)</f>
        <v>0.0</v>
      </c>
      <c r="I11" s="7">
        <f>Parameters!$E$23*I10+B11*Parameters!$E$22</f>
        <v>0.0</v>
      </c>
      <c r="J11" s="7">
        <f>E11*Parameters!$E$14*(1-Parameters!$E$15)</f>
        <v>1900.0</v>
      </c>
      <c r="K11" s="7">
        <f>H11*Parameters!$E$29</f>
        <v>0.0</v>
      </c>
      <c r="L11" s="7">
        <f>I11*Parameters!$E$24</f>
        <v>0.0</v>
      </c>
      <c r="M11" s="7">
        <f>J11+K11+L11</f>
        <v>1900.0</v>
      </c>
      <c r="N11" s="7">
        <f>C11*Parameters!$E$17+D11*Parameters!$E$18+E11*Parameters!$E$16+I11*Parameters!$E$25+G11*Parameters!$E$30</f>
        <v>300.0</v>
      </c>
      <c r="O11" s="7">
        <f>B11*Parameters!$E$19</f>
        <v>1000</v>
      </c>
      <c r="P11" s="7">
        <f>M11-N11-O11</f>
        <v>600.0</v>
      </c>
      <c r="Q11" s="7">
        <f>Parameters!$E$21</f>
        <v>1000</v>
      </c>
      <c r="R11" s="7">
        <f>P11-Q11</f>
        <v>-400.0</v>
      </c>
      <c r="S11" s="7">
        <f>IF(A11&lt;1+Parameters!$E$31,0,INDEX($M$5:$M$40,A11-Parameters!$E$31))</f>
        <v>1900.0</v>
      </c>
      <c r="T11" s="7">
        <f>T10+M11-S11</f>
        <v>1900.0</v>
      </c>
      <c r="U11" s="7">
        <f>S11-N11-O11-Q11</f>
        <v>-400.0</v>
      </c>
      <c r="V11" s="7">
        <f>V10+U11</f>
        <v>-4700.0</v>
      </c>
      <c r="W11" s="7">
        <f>(1-Parameters!$E$7)*(C11-E11)+(1-Parameters!$E$8)*(D11+E11)</f>
        <v>1000.0</v>
      </c>
      <c r="X11" s="7">
        <f>Parameters!$E$7*(C11-E11)+Parameters!$E$8*Parameters!$E$9*(D11+E11)</f>
        <v>0.0</v>
      </c>
      <c r="Y11" s="7">
        <f>Parameters!$E$8*(1-Parameters!$E$9)*(D11+E11)</f>
        <v>0.0</v>
      </c>
      <c r="Z11" s="7">
        <f>POWER(1/(1+Parameters!$E$32),A11-1)*(M11-N11)</f>
        <v>1507.2723764067307</v>
      </c>
    </row>
    <row r="12" spans="1:26">
      <c r="A12" s="7">
        <v>8</v>
      </c>
      <c r="B12" s="7">
        <f>Parameters!$E$20</f>
        <v>1000</v>
      </c>
      <c r="C12" s="7">
        <f>X11+B12</f>
        <v>1000.0</v>
      </c>
      <c r="D12" s="7">
        <f>Y11</f>
        <v>0.0</v>
      </c>
      <c r="E12" s="7">
        <f>Parameters!$E$6*C12</f>
        <v>100.0</v>
      </c>
      <c r="F12" s="7">
        <f>IF(Parameters!$E$5=1,E12,0)</f>
        <v>0.0</v>
      </c>
      <c r="G12" s="7">
        <f>Parameters!$E$27*G11+F12</f>
        <v>0.0</v>
      </c>
      <c r="H12" s="7">
        <f>IF(AND(Parameters!$E$5=1,Parameters!$E$26=1),SUMPRODUCT(--($A$5:A12&lt;A12),--(MOD(A12-$A$5:A12,Parameters!$E$28)=0),$F$5:F12,POWER(Parameters!$E$27,IF(A12-$A$5:A12=0,1,A12-$A$5:A12))),0)</f>
        <v>0.0</v>
      </c>
      <c r="I12" s="7">
        <f>Parameters!$E$23*I11+B12*Parameters!$E$22</f>
        <v>0.0</v>
      </c>
      <c r="J12" s="7">
        <f>E12*Parameters!$E$14*(1-Parameters!$E$15)</f>
        <v>1900.0</v>
      </c>
      <c r="K12" s="7">
        <f>H12*Parameters!$E$29</f>
        <v>0.0</v>
      </c>
      <c r="L12" s="7">
        <f>I12*Parameters!$E$24</f>
        <v>0.0</v>
      </c>
      <c r="M12" s="7">
        <f>J12+K12+L12</f>
        <v>1900.0</v>
      </c>
      <c r="N12" s="7">
        <f>C12*Parameters!$E$17+D12*Parameters!$E$18+E12*Parameters!$E$16+I12*Parameters!$E$25+G12*Parameters!$E$30</f>
        <v>300.0</v>
      </c>
      <c r="O12" s="7">
        <f>B12*Parameters!$E$19</f>
        <v>1000</v>
      </c>
      <c r="P12" s="7">
        <f>M12-N12-O12</f>
        <v>600.0</v>
      </c>
      <c r="Q12" s="7">
        <f>Parameters!$E$21</f>
        <v>1000</v>
      </c>
      <c r="R12" s="7">
        <f>P12-Q12</f>
        <v>-400.0</v>
      </c>
      <c r="S12" s="7">
        <f>IF(A12&lt;1+Parameters!$E$31,0,INDEX($M$5:$M$40,A12-Parameters!$E$31))</f>
        <v>1900.0</v>
      </c>
      <c r="T12" s="7">
        <f>T11+M12-S12</f>
        <v>1900.0</v>
      </c>
      <c r="U12" s="7">
        <f>S12-N12-O12-Q12</f>
        <v>-400.0</v>
      </c>
      <c r="V12" s="7">
        <f>V11+U12</f>
        <v>-5100.0</v>
      </c>
      <c r="W12" s="7">
        <f>(1-Parameters!$E$7)*(C12-E12)+(1-Parameters!$E$8)*(D12+E12)</f>
        <v>1000.0</v>
      </c>
      <c r="X12" s="7">
        <f>Parameters!$E$7*(C12-E12)+Parameters!$E$8*Parameters!$E$9*(D12+E12)</f>
        <v>0.0</v>
      </c>
      <c r="Y12" s="7">
        <f>Parameters!$E$8*(1-Parameters!$E$9)*(D12+E12)</f>
        <v>0.0</v>
      </c>
      <c r="Z12" s="7">
        <f>POWER(1/(1+Parameters!$E$32),A12-1)*(M12-N12)</f>
        <v>1492.3488875314165</v>
      </c>
    </row>
    <row r="13" spans="1:26">
      <c r="A13" s="7">
        <v>9</v>
      </c>
      <c r="B13" s="7">
        <f>Parameters!$E$20</f>
        <v>1000</v>
      </c>
      <c r="C13" s="7">
        <f>X12+B13</f>
        <v>1000.0</v>
      </c>
      <c r="D13" s="7">
        <f>Y12</f>
        <v>0.0</v>
      </c>
      <c r="E13" s="7">
        <f>Parameters!$E$6*C13</f>
        <v>100.0</v>
      </c>
      <c r="F13" s="7">
        <f>IF(Parameters!$E$5=1,E13,0)</f>
        <v>0.0</v>
      </c>
      <c r="G13" s="7">
        <f>Parameters!$E$27*G12+F13</f>
        <v>0.0</v>
      </c>
      <c r="H13" s="7">
        <f>IF(AND(Parameters!$E$5=1,Parameters!$E$26=1),SUMPRODUCT(--($A$5:A13&lt;A13),--(MOD(A13-$A$5:A13,Parameters!$E$28)=0),$F$5:F13,POWER(Parameters!$E$27,IF(A13-$A$5:A13=0,1,A13-$A$5:A13))),0)</f>
        <v>0.0</v>
      </c>
      <c r="I13" s="7">
        <f>Parameters!$E$23*I12+B13*Parameters!$E$22</f>
        <v>0.0</v>
      </c>
      <c r="J13" s="7">
        <f>E13*Parameters!$E$14*(1-Parameters!$E$15)</f>
        <v>1900.0</v>
      </c>
      <c r="K13" s="7">
        <f>H13*Parameters!$E$29</f>
        <v>0.0</v>
      </c>
      <c r="L13" s="7">
        <f>I13*Parameters!$E$24</f>
        <v>0.0</v>
      </c>
      <c r="M13" s="7">
        <f>J13+K13+L13</f>
        <v>1900.0</v>
      </c>
      <c r="N13" s="7">
        <f>C13*Parameters!$E$17+D13*Parameters!$E$18+E13*Parameters!$E$16+I13*Parameters!$E$25+G13*Parameters!$E$30</f>
        <v>300.0</v>
      </c>
      <c r="O13" s="7">
        <f>B13*Parameters!$E$19</f>
        <v>1000</v>
      </c>
      <c r="P13" s="7">
        <f>M13-N13-O13</f>
        <v>600.0</v>
      </c>
      <c r="Q13" s="7">
        <f>Parameters!$E$21</f>
        <v>1000</v>
      </c>
      <c r="R13" s="7">
        <f>P13-Q13</f>
        <v>-400.0</v>
      </c>
      <c r="S13" s="7">
        <f>IF(A13&lt;1+Parameters!$E$31,0,INDEX($M$5:$M$40,A13-Parameters!$E$31))</f>
        <v>1900.0</v>
      </c>
      <c r="T13" s="7">
        <f>T12+M13-S13</f>
        <v>1900.0</v>
      </c>
      <c r="U13" s="7">
        <f>S13-N13-O13-Q13</f>
        <v>-400.0</v>
      </c>
      <c r="V13" s="7">
        <f>V12+U13</f>
        <v>-5500.0</v>
      </c>
      <c r="W13" s="7">
        <f>(1-Parameters!$E$7)*(C13-E13)+(1-Parameters!$E$8)*(D13+E13)</f>
        <v>1000.0</v>
      </c>
      <c r="X13" s="7">
        <f>Parameters!$E$7*(C13-E13)+Parameters!$E$8*Parameters!$E$9*(D13+E13)</f>
        <v>0.0</v>
      </c>
      <c r="Y13" s="7">
        <f>Parameters!$E$8*(1-Parameters!$E$9)*(D13+E13)</f>
        <v>0.0</v>
      </c>
      <c r="Z13" s="7">
        <f>POWER(1/(1+Parameters!$E$32),A13-1)*(M13-N13)</f>
        <v>1477.5731559716994</v>
      </c>
    </row>
    <row r="14" spans="1:26">
      <c r="A14" s="7">
        <v>10</v>
      </c>
      <c r="B14" s="7">
        <f>Parameters!$E$20</f>
        <v>1000</v>
      </c>
      <c r="C14" s="7">
        <f>X13+B14</f>
        <v>1000.0</v>
      </c>
      <c r="D14" s="7">
        <f>Y13</f>
        <v>0.0</v>
      </c>
      <c r="E14" s="7">
        <f>Parameters!$E$6*C14</f>
        <v>100.0</v>
      </c>
      <c r="F14" s="7">
        <f>IF(Parameters!$E$5=1,E14,0)</f>
        <v>0.0</v>
      </c>
      <c r="G14" s="7">
        <f>Parameters!$E$27*G13+F14</f>
        <v>0.0</v>
      </c>
      <c r="H14" s="7">
        <f>IF(AND(Parameters!$E$5=1,Parameters!$E$26=1),SUMPRODUCT(--($A$5:A14&lt;A14),--(MOD(A14-$A$5:A14,Parameters!$E$28)=0),$F$5:F14,POWER(Parameters!$E$27,IF(A14-$A$5:A14=0,1,A14-$A$5:A14))),0)</f>
        <v>0.0</v>
      </c>
      <c r="I14" s="7">
        <f>Parameters!$E$23*I13+B14*Parameters!$E$22</f>
        <v>0.0</v>
      </c>
      <c r="J14" s="7">
        <f>E14*Parameters!$E$14*(1-Parameters!$E$15)</f>
        <v>1900.0</v>
      </c>
      <c r="K14" s="7">
        <f>H14*Parameters!$E$29</f>
        <v>0.0</v>
      </c>
      <c r="L14" s="7">
        <f>I14*Parameters!$E$24</f>
        <v>0.0</v>
      </c>
      <c r="M14" s="7">
        <f>J14+K14+L14</f>
        <v>1900.0</v>
      </c>
      <c r="N14" s="7">
        <f>C14*Parameters!$E$17+D14*Parameters!$E$18+E14*Parameters!$E$16+I14*Parameters!$E$25+G14*Parameters!$E$30</f>
        <v>300.0</v>
      </c>
      <c r="O14" s="7">
        <f>B14*Parameters!$E$19</f>
        <v>1000</v>
      </c>
      <c r="P14" s="7">
        <f>M14-N14-O14</f>
        <v>600.0</v>
      </c>
      <c r="Q14" s="7">
        <f>Parameters!$E$21</f>
        <v>1000</v>
      </c>
      <c r="R14" s="7">
        <f>P14-Q14</f>
        <v>-400.0</v>
      </c>
      <c r="S14" s="7">
        <f>IF(A14&lt;1+Parameters!$E$31,0,INDEX($M$5:$M$40,A14-Parameters!$E$31))</f>
        <v>1900.0</v>
      </c>
      <c r="T14" s="7">
        <f>T13+M14-S14</f>
        <v>1900.0</v>
      </c>
      <c r="U14" s="7">
        <f>S14-N14-O14-Q14</f>
        <v>-400.0</v>
      </c>
      <c r="V14" s="7">
        <f>V13+U14</f>
        <v>-5900.0</v>
      </c>
      <c r="W14" s="7">
        <f>(1-Parameters!$E$7)*(C14-E14)+(1-Parameters!$E$8)*(D14+E14)</f>
        <v>1000.0</v>
      </c>
      <c r="X14" s="7">
        <f>Parameters!$E$7*(C14-E14)+Parameters!$E$8*Parameters!$E$9*(D14+E14)</f>
        <v>0.0</v>
      </c>
      <c r="Y14" s="7">
        <f>Parameters!$E$8*(1-Parameters!$E$9)*(D14+E14)</f>
        <v>0.0</v>
      </c>
      <c r="Z14" s="7">
        <f>POWER(1/(1+Parameters!$E$32),A14-1)*(M14-N14)</f>
        <v>1462.9437187838607</v>
      </c>
    </row>
    <row r="15" spans="1:26">
      <c r="A15" s="7">
        <v>11</v>
      </c>
      <c r="B15" s="7">
        <f>Parameters!$E$20</f>
        <v>1000</v>
      </c>
      <c r="C15" s="7">
        <f>X14+B15</f>
        <v>1000.0</v>
      </c>
      <c r="D15" s="7">
        <f>Y14</f>
        <v>0.0</v>
      </c>
      <c r="E15" s="7">
        <f>Parameters!$E$6*C15</f>
        <v>100.0</v>
      </c>
      <c r="F15" s="7">
        <f>IF(Parameters!$E$5=1,E15,0)</f>
        <v>0.0</v>
      </c>
      <c r="G15" s="7">
        <f>Parameters!$E$27*G14+F15</f>
        <v>0.0</v>
      </c>
      <c r="H15" s="7">
        <f>IF(AND(Parameters!$E$5=1,Parameters!$E$26=1),SUMPRODUCT(--($A$5:A15&lt;A15),--(MOD(A15-$A$5:A15,Parameters!$E$28)=0),$F$5:F15,POWER(Parameters!$E$27,IF(A15-$A$5:A15=0,1,A15-$A$5:A15))),0)</f>
        <v>0.0</v>
      </c>
      <c r="I15" s="7">
        <f>Parameters!$E$23*I14+B15*Parameters!$E$22</f>
        <v>0.0</v>
      </c>
      <c r="J15" s="7">
        <f>E15*Parameters!$E$14*(1-Parameters!$E$15)</f>
        <v>1900.0</v>
      </c>
      <c r="K15" s="7">
        <f>H15*Parameters!$E$29</f>
        <v>0.0</v>
      </c>
      <c r="L15" s="7">
        <f>I15*Parameters!$E$24</f>
        <v>0.0</v>
      </c>
      <c r="M15" s="7">
        <f>J15+K15+L15</f>
        <v>1900.0</v>
      </c>
      <c r="N15" s="7">
        <f>C15*Parameters!$E$17+D15*Parameters!$E$18+E15*Parameters!$E$16+I15*Parameters!$E$25+G15*Parameters!$E$30</f>
        <v>300.0</v>
      </c>
      <c r="O15" s="7">
        <f>B15*Parameters!$E$19</f>
        <v>1000</v>
      </c>
      <c r="P15" s="7">
        <f>M15-N15-O15</f>
        <v>600.0</v>
      </c>
      <c r="Q15" s="7">
        <f>Parameters!$E$21</f>
        <v>1000</v>
      </c>
      <c r="R15" s="7">
        <f>P15-Q15</f>
        <v>-400.0</v>
      </c>
      <c r="S15" s="7">
        <f>IF(A15&lt;1+Parameters!$E$31,0,INDEX($M$5:$M$40,A15-Parameters!$E$31))</f>
        <v>1900.0</v>
      </c>
      <c r="T15" s="7">
        <f>T14+M15-S15</f>
        <v>1900.0</v>
      </c>
      <c r="U15" s="7">
        <f>S15-N15-O15-Q15</f>
        <v>-400.0</v>
      </c>
      <c r="V15" s="7">
        <f>V14+U15</f>
        <v>-6300.0</v>
      </c>
      <c r="W15" s="7">
        <f>(1-Parameters!$E$7)*(C15-E15)+(1-Parameters!$E$8)*(D15+E15)</f>
        <v>1000.0</v>
      </c>
      <c r="X15" s="7">
        <f>Parameters!$E$7*(C15-E15)+Parameters!$E$8*Parameters!$E$9*(D15+E15)</f>
        <v>0.0</v>
      </c>
      <c r="Y15" s="7">
        <f>Parameters!$E$8*(1-Parameters!$E$9)*(D15+E15)</f>
        <v>0.0</v>
      </c>
      <c r="Z15" s="7">
        <f>POWER(1/(1+Parameters!$E$32),A15-1)*(M15-N15)</f>
        <v>1448.4591275087732</v>
      </c>
    </row>
    <row r="16" spans="1:26">
      <c r="A16" s="7">
        <v>12</v>
      </c>
      <c r="B16" s="7">
        <f>Parameters!$E$20</f>
        <v>1000</v>
      </c>
      <c r="C16" s="7">
        <f>X15+B16</f>
        <v>1000.0</v>
      </c>
      <c r="D16" s="7">
        <f>Y15</f>
        <v>0.0</v>
      </c>
      <c r="E16" s="7">
        <f>Parameters!$E$6*C16</f>
        <v>100.0</v>
      </c>
      <c r="F16" s="7">
        <f>IF(Parameters!$E$5=1,E16,0)</f>
        <v>0.0</v>
      </c>
      <c r="G16" s="7">
        <f>Parameters!$E$27*G15+F16</f>
        <v>0.0</v>
      </c>
      <c r="H16" s="7">
        <f>IF(AND(Parameters!$E$5=1,Parameters!$E$26=1),SUMPRODUCT(--($A$5:A16&lt;A16),--(MOD(A16-$A$5:A16,Parameters!$E$28)=0),$F$5:F16,POWER(Parameters!$E$27,IF(A16-$A$5:A16=0,1,A16-$A$5:A16))),0)</f>
        <v>0.0</v>
      </c>
      <c r="I16" s="7">
        <f>Parameters!$E$23*I15+B16*Parameters!$E$22</f>
        <v>0.0</v>
      </c>
      <c r="J16" s="7">
        <f>E16*Parameters!$E$14*(1-Parameters!$E$15)</f>
        <v>1900.0</v>
      </c>
      <c r="K16" s="7">
        <f>H16*Parameters!$E$29</f>
        <v>0.0</v>
      </c>
      <c r="L16" s="7">
        <f>I16*Parameters!$E$24</f>
        <v>0.0</v>
      </c>
      <c r="M16" s="7">
        <f>J16+K16+L16</f>
        <v>1900.0</v>
      </c>
      <c r="N16" s="7">
        <f>C16*Parameters!$E$17+D16*Parameters!$E$18+E16*Parameters!$E$16+I16*Parameters!$E$25+G16*Parameters!$E$30</f>
        <v>300.0</v>
      </c>
      <c r="O16" s="7">
        <f>B16*Parameters!$E$19</f>
        <v>1000</v>
      </c>
      <c r="P16" s="7">
        <f>M16-N16-O16</f>
        <v>600.0</v>
      </c>
      <c r="Q16" s="7">
        <f>Parameters!$E$21</f>
        <v>1000</v>
      </c>
      <c r="R16" s="7">
        <f>P16-Q16</f>
        <v>-400.0</v>
      </c>
      <c r="S16" s="7">
        <f>IF(A16&lt;1+Parameters!$E$31,0,INDEX($M$5:$M$40,A16-Parameters!$E$31))</f>
        <v>1900.0</v>
      </c>
      <c r="T16" s="7">
        <f>T15+M16-S16</f>
        <v>1900.0</v>
      </c>
      <c r="U16" s="7">
        <f>S16-N16-O16-Q16</f>
        <v>-400.0</v>
      </c>
      <c r="V16" s="7">
        <f>V15+U16</f>
        <v>-6700.0</v>
      </c>
      <c r="W16" s="7">
        <f>(1-Parameters!$E$7)*(C16-E16)+(1-Parameters!$E$8)*(D16+E16)</f>
        <v>1000.0</v>
      </c>
      <c r="X16" s="7">
        <f>Parameters!$E$7*(C16-E16)+Parameters!$E$8*Parameters!$E$9*(D16+E16)</f>
        <v>0.0</v>
      </c>
      <c r="Y16" s="7">
        <f>Parameters!$E$8*(1-Parameters!$E$9)*(D16+E16)</f>
        <v>0.0</v>
      </c>
      <c r="Z16" s="7">
        <f>POWER(1/(1+Parameters!$E$32),A16-1)*(M16-N16)</f>
        <v>1434.1179480284882</v>
      </c>
    </row>
    <row r="17" spans="1:26">
      <c r="A17" s="7">
        <v>13</v>
      </c>
      <c r="B17" s="7">
        <f>Parameters!$E$20</f>
        <v>1000</v>
      </c>
      <c r="C17" s="7">
        <f>X16+B17</f>
        <v>1000.0</v>
      </c>
      <c r="D17" s="7">
        <f>Y16</f>
        <v>0.0</v>
      </c>
      <c r="E17" s="7">
        <f>Parameters!$E$6*C17</f>
        <v>100.0</v>
      </c>
      <c r="F17" s="7">
        <f>IF(Parameters!$E$5=1,E17,0)</f>
        <v>0.0</v>
      </c>
      <c r="G17" s="7">
        <f>Parameters!$E$27*G16+F17</f>
        <v>0.0</v>
      </c>
      <c r="H17" s="7">
        <f>IF(AND(Parameters!$E$5=1,Parameters!$E$26=1),SUMPRODUCT(--($A$5:A17&lt;A17),--(MOD(A17-$A$5:A17,Parameters!$E$28)=0),$F$5:F17,POWER(Parameters!$E$27,IF(A17-$A$5:A17=0,1,A17-$A$5:A17))),0)</f>
        <v>0.0</v>
      </c>
      <c r="I17" s="7">
        <f>Parameters!$E$23*I16+B17*Parameters!$E$22</f>
        <v>0.0</v>
      </c>
      <c r="J17" s="7">
        <f>E17*Parameters!$E$14*(1-Parameters!$E$15)</f>
        <v>1900.0</v>
      </c>
      <c r="K17" s="7">
        <f>H17*Parameters!$E$29</f>
        <v>0.0</v>
      </c>
      <c r="L17" s="7">
        <f>I17*Parameters!$E$24</f>
        <v>0.0</v>
      </c>
      <c r="M17" s="7">
        <f>J17+K17+L17</f>
        <v>1900.0</v>
      </c>
      <c r="N17" s="7">
        <f>C17*Parameters!$E$17+D17*Parameters!$E$18+E17*Parameters!$E$16+I17*Parameters!$E$25+G17*Parameters!$E$30</f>
        <v>300.0</v>
      </c>
      <c r="O17" s="7">
        <f>B17*Parameters!$E$19</f>
        <v>1000</v>
      </c>
      <c r="P17" s="7">
        <f>M17-N17-O17</f>
        <v>600.0</v>
      </c>
      <c r="Q17" s="7">
        <f>Parameters!$E$21</f>
        <v>1000</v>
      </c>
      <c r="R17" s="7">
        <f>P17-Q17</f>
        <v>-400.0</v>
      </c>
      <c r="S17" s="7">
        <f>IF(A17&lt;1+Parameters!$E$31,0,INDEX($M$5:$M$40,A17-Parameters!$E$31))</f>
        <v>1900.0</v>
      </c>
      <c r="T17" s="7">
        <f>T16+M17-S17</f>
        <v>1900.0</v>
      </c>
      <c r="U17" s="7">
        <f>S17-N17-O17-Q17</f>
        <v>-400.0</v>
      </c>
      <c r="V17" s="7">
        <f>V16+U17</f>
        <v>-7100.0</v>
      </c>
      <c r="W17" s="7">
        <f>(1-Parameters!$E$7)*(C17-E17)+(1-Parameters!$E$8)*(D17+E17)</f>
        <v>1000.0</v>
      </c>
      <c r="X17" s="7">
        <f>Parameters!$E$7*(C17-E17)+Parameters!$E$8*Parameters!$E$9*(D17+E17)</f>
        <v>0.0</v>
      </c>
      <c r="Y17" s="7">
        <f>Parameters!$E$8*(1-Parameters!$E$9)*(D17+E17)</f>
        <v>0.0</v>
      </c>
      <c r="Z17" s="7">
        <f>POWER(1/(1+Parameters!$E$32),A17-1)*(M17-N17)</f>
        <v>1419.9187604242456</v>
      </c>
    </row>
    <row r="18" spans="1:26">
      <c r="A18" s="7">
        <v>14</v>
      </c>
      <c r="B18" s="7">
        <f>Parameters!$E$20</f>
        <v>1000</v>
      </c>
      <c r="C18" s="7">
        <f>X17+B18</f>
        <v>1000.0</v>
      </c>
      <c r="D18" s="7">
        <f>Y17</f>
        <v>0.0</v>
      </c>
      <c r="E18" s="7">
        <f>Parameters!$E$6*C18</f>
        <v>100.0</v>
      </c>
      <c r="F18" s="7">
        <f>IF(Parameters!$E$5=1,E18,0)</f>
        <v>0.0</v>
      </c>
      <c r="G18" s="7">
        <f>Parameters!$E$27*G17+F18</f>
        <v>0.0</v>
      </c>
      <c r="H18" s="7">
        <f>IF(AND(Parameters!$E$5=1,Parameters!$E$26=1),SUMPRODUCT(--($A$5:A18&lt;A18),--(MOD(A18-$A$5:A18,Parameters!$E$28)=0),$F$5:F18,POWER(Parameters!$E$27,IF(A18-$A$5:A18=0,1,A18-$A$5:A18))),0)</f>
        <v>0.0</v>
      </c>
      <c r="I18" s="7">
        <f>Parameters!$E$23*I17+B18*Parameters!$E$22</f>
        <v>0.0</v>
      </c>
      <c r="J18" s="7">
        <f>E18*Parameters!$E$14*(1-Parameters!$E$15)</f>
        <v>1900.0</v>
      </c>
      <c r="K18" s="7">
        <f>H18*Parameters!$E$29</f>
        <v>0.0</v>
      </c>
      <c r="L18" s="7">
        <f>I18*Parameters!$E$24</f>
        <v>0.0</v>
      </c>
      <c r="M18" s="7">
        <f>J18+K18+L18</f>
        <v>1900.0</v>
      </c>
      <c r="N18" s="7">
        <f>C18*Parameters!$E$17+D18*Parameters!$E$18+E18*Parameters!$E$16+I18*Parameters!$E$25+G18*Parameters!$E$30</f>
        <v>300.0</v>
      </c>
      <c r="O18" s="7">
        <f>B18*Parameters!$E$19</f>
        <v>1000</v>
      </c>
      <c r="P18" s="7">
        <f>M18-N18-O18</f>
        <v>600.0</v>
      </c>
      <c r="Q18" s="7">
        <f>Parameters!$E$21</f>
        <v>1000</v>
      </c>
      <c r="R18" s="7">
        <f>P18-Q18</f>
        <v>-400.0</v>
      </c>
      <c r="S18" s="7">
        <f>IF(A18&lt;1+Parameters!$E$31,0,INDEX($M$5:$M$40,A18-Parameters!$E$31))</f>
        <v>1900.0</v>
      </c>
      <c r="T18" s="7">
        <f>T17+M18-S18</f>
        <v>1900.0</v>
      </c>
      <c r="U18" s="7">
        <f>S18-N18-O18-Q18</f>
        <v>-400.0</v>
      </c>
      <c r="V18" s="7">
        <f>V17+U18</f>
        <v>-7500.0</v>
      </c>
      <c r="W18" s="7">
        <f>(1-Parameters!$E$7)*(C18-E18)+(1-Parameters!$E$8)*(D18+E18)</f>
        <v>1000.0</v>
      </c>
      <c r="X18" s="7">
        <f>Parameters!$E$7*(C18-E18)+Parameters!$E$8*Parameters!$E$9*(D18+E18)</f>
        <v>0.0</v>
      </c>
      <c r="Y18" s="7">
        <f>Parameters!$E$8*(1-Parameters!$E$9)*(D18+E18)</f>
        <v>0.0</v>
      </c>
      <c r="Z18" s="7">
        <f>POWER(1/(1+Parameters!$E$32),A18-1)*(M18-N18)</f>
        <v>1405.860158835887</v>
      </c>
    </row>
    <row r="19" spans="1:26">
      <c r="A19" s="7">
        <v>15</v>
      </c>
      <c r="B19" s="7">
        <f>Parameters!$E$20</f>
        <v>1000</v>
      </c>
      <c r="C19" s="7">
        <f>X18+B19</f>
        <v>1000.0</v>
      </c>
      <c r="D19" s="7">
        <f>Y18</f>
        <v>0.0</v>
      </c>
      <c r="E19" s="7">
        <f>Parameters!$E$6*C19</f>
        <v>100.0</v>
      </c>
      <c r="F19" s="7">
        <f>IF(Parameters!$E$5=1,E19,0)</f>
        <v>0.0</v>
      </c>
      <c r="G19" s="7">
        <f>Parameters!$E$27*G18+F19</f>
        <v>0.0</v>
      </c>
      <c r="H19" s="7">
        <f>IF(AND(Parameters!$E$5=1,Parameters!$E$26=1),SUMPRODUCT(--($A$5:A19&lt;A19),--(MOD(A19-$A$5:A19,Parameters!$E$28)=0),$F$5:F19,POWER(Parameters!$E$27,IF(A19-$A$5:A19=0,1,A19-$A$5:A19))),0)</f>
        <v>0.0</v>
      </c>
      <c r="I19" s="7">
        <f>Parameters!$E$23*I18+B19*Parameters!$E$22</f>
        <v>0.0</v>
      </c>
      <c r="J19" s="7">
        <f>E19*Parameters!$E$14*(1-Parameters!$E$15)</f>
        <v>1900.0</v>
      </c>
      <c r="K19" s="7">
        <f>H19*Parameters!$E$29</f>
        <v>0.0</v>
      </c>
      <c r="L19" s="7">
        <f>I19*Parameters!$E$24</f>
        <v>0.0</v>
      </c>
      <c r="M19" s="7">
        <f>J19+K19+L19</f>
        <v>1900.0</v>
      </c>
      <c r="N19" s="7">
        <f>C19*Parameters!$E$17+D19*Parameters!$E$18+E19*Parameters!$E$16+I19*Parameters!$E$25+G19*Parameters!$E$30</f>
        <v>300.0</v>
      </c>
      <c r="O19" s="7">
        <f>B19*Parameters!$E$19</f>
        <v>1000</v>
      </c>
      <c r="P19" s="7">
        <f>M19-N19-O19</f>
        <v>600.0</v>
      </c>
      <c r="Q19" s="7">
        <f>Parameters!$E$21</f>
        <v>1000</v>
      </c>
      <c r="R19" s="7">
        <f>P19-Q19</f>
        <v>-400.0</v>
      </c>
      <c r="S19" s="7">
        <f>IF(A19&lt;1+Parameters!$E$31,0,INDEX($M$5:$M$40,A19-Parameters!$E$31))</f>
        <v>1900.0</v>
      </c>
      <c r="T19" s="7">
        <f>T18+M19-S19</f>
        <v>1900.0</v>
      </c>
      <c r="U19" s="7">
        <f>S19-N19-O19-Q19</f>
        <v>-400.0</v>
      </c>
      <c r="V19" s="7">
        <f>V18+U19</f>
        <v>-7900.0</v>
      </c>
      <c r="W19" s="7">
        <f>(1-Parameters!$E$7)*(C19-E19)+(1-Parameters!$E$8)*(D19+E19)</f>
        <v>1000.0</v>
      </c>
      <c r="X19" s="7">
        <f>Parameters!$E$7*(C19-E19)+Parameters!$E$8*Parameters!$E$9*(D19+E19)</f>
        <v>0.0</v>
      </c>
      <c r="Y19" s="7">
        <f>Parameters!$E$8*(1-Parameters!$E$9)*(D19+E19)</f>
        <v>0.0</v>
      </c>
      <c r="Z19" s="7">
        <f>POWER(1/(1+Parameters!$E$32),A19-1)*(M19-N19)</f>
        <v>1391.9407513226602</v>
      </c>
    </row>
    <row r="20" spans="1:26">
      <c r="A20" s="7">
        <v>16</v>
      </c>
      <c r="B20" s="7">
        <f>Parameters!$E$20</f>
        <v>1000</v>
      </c>
      <c r="C20" s="7">
        <f>X19+B20</f>
        <v>1000.0</v>
      </c>
      <c r="D20" s="7">
        <f>Y19</f>
        <v>0.0</v>
      </c>
      <c r="E20" s="7">
        <f>Parameters!$E$6*C20</f>
        <v>100.0</v>
      </c>
      <c r="F20" s="7">
        <f>IF(Parameters!$E$5=1,E20,0)</f>
        <v>0.0</v>
      </c>
      <c r="G20" s="7">
        <f>Parameters!$E$27*G19+F20</f>
        <v>0.0</v>
      </c>
      <c r="H20" s="7">
        <f>IF(AND(Parameters!$E$5=1,Parameters!$E$26=1),SUMPRODUCT(--($A$5:A20&lt;A20),--(MOD(A20-$A$5:A20,Parameters!$E$28)=0),$F$5:F20,POWER(Parameters!$E$27,IF(A20-$A$5:A20=0,1,A20-$A$5:A20))),0)</f>
        <v>0.0</v>
      </c>
      <c r="I20" s="7">
        <f>Parameters!$E$23*I19+B20*Parameters!$E$22</f>
        <v>0.0</v>
      </c>
      <c r="J20" s="7">
        <f>E20*Parameters!$E$14*(1-Parameters!$E$15)</f>
        <v>1900.0</v>
      </c>
      <c r="K20" s="7">
        <f>H20*Parameters!$E$29</f>
        <v>0.0</v>
      </c>
      <c r="L20" s="7">
        <f>I20*Parameters!$E$24</f>
        <v>0.0</v>
      </c>
      <c r="M20" s="7">
        <f>J20+K20+L20</f>
        <v>1900.0</v>
      </c>
      <c r="N20" s="7">
        <f>C20*Parameters!$E$17+D20*Parameters!$E$18+E20*Parameters!$E$16+I20*Parameters!$E$25+G20*Parameters!$E$30</f>
        <v>300.0</v>
      </c>
      <c r="O20" s="7">
        <f>B20*Parameters!$E$19</f>
        <v>1000</v>
      </c>
      <c r="P20" s="7">
        <f>M20-N20-O20</f>
        <v>600.0</v>
      </c>
      <c r="Q20" s="7">
        <f>Parameters!$E$21</f>
        <v>1000</v>
      </c>
      <c r="R20" s="7">
        <f>P20-Q20</f>
        <v>-400.0</v>
      </c>
      <c r="S20" s="7">
        <f>IF(A20&lt;1+Parameters!$E$31,0,INDEX($M$5:$M$40,A20-Parameters!$E$31))</f>
        <v>1900.0</v>
      </c>
      <c r="T20" s="7">
        <f>T19+M20-S20</f>
        <v>1900.0</v>
      </c>
      <c r="U20" s="7">
        <f>S20-N20-O20-Q20</f>
        <v>-400.0</v>
      </c>
      <c r="V20" s="7">
        <f>V19+U20</f>
        <v>-8300.0</v>
      </c>
      <c r="W20" s="7">
        <f>(1-Parameters!$E$7)*(C20-E20)+(1-Parameters!$E$8)*(D20+E20)</f>
        <v>1000.0</v>
      </c>
      <c r="X20" s="7">
        <f>Parameters!$E$7*(C20-E20)+Parameters!$E$8*Parameters!$E$9*(D20+E20)</f>
        <v>0.0</v>
      </c>
      <c r="Y20" s="7">
        <f>Parameters!$E$8*(1-Parameters!$E$9)*(D20+E20)</f>
        <v>0.0</v>
      </c>
      <c r="Z20" s="7">
        <f>POWER(1/(1+Parameters!$E$32),A20-1)*(M20-N20)</f>
        <v>1378.1591597254062</v>
      </c>
    </row>
    <row r="21" spans="1:26">
      <c r="A21" s="7">
        <v>17</v>
      </c>
      <c r="B21" s="7">
        <f>Parameters!$E$20</f>
        <v>1000</v>
      </c>
      <c r="C21" s="7">
        <f>X20+B21</f>
        <v>1000.0</v>
      </c>
      <c r="D21" s="7">
        <f>Y20</f>
        <v>0.0</v>
      </c>
      <c r="E21" s="7">
        <f>Parameters!$E$6*C21</f>
        <v>100.0</v>
      </c>
      <c r="F21" s="7">
        <f>IF(Parameters!$E$5=1,E21,0)</f>
        <v>0.0</v>
      </c>
      <c r="G21" s="7">
        <f>Parameters!$E$27*G20+F21</f>
        <v>0.0</v>
      </c>
      <c r="H21" s="7">
        <f>IF(AND(Parameters!$E$5=1,Parameters!$E$26=1),SUMPRODUCT(--($A$5:A21&lt;A21),--(MOD(A21-$A$5:A21,Parameters!$E$28)=0),$F$5:F21,POWER(Parameters!$E$27,IF(A21-$A$5:A21=0,1,A21-$A$5:A21))),0)</f>
        <v>0.0</v>
      </c>
      <c r="I21" s="7">
        <f>Parameters!$E$23*I20+B21*Parameters!$E$22</f>
        <v>0.0</v>
      </c>
      <c r="J21" s="7">
        <f>E21*Parameters!$E$14*(1-Parameters!$E$15)</f>
        <v>1900.0</v>
      </c>
      <c r="K21" s="7">
        <f>H21*Parameters!$E$29</f>
        <v>0.0</v>
      </c>
      <c r="L21" s="7">
        <f>I21*Parameters!$E$24</f>
        <v>0.0</v>
      </c>
      <c r="M21" s="7">
        <f>J21+K21+L21</f>
        <v>1900.0</v>
      </c>
      <c r="N21" s="7">
        <f>C21*Parameters!$E$17+D21*Parameters!$E$18+E21*Parameters!$E$16+I21*Parameters!$E$25+G21*Parameters!$E$30</f>
        <v>300.0</v>
      </c>
      <c r="O21" s="7">
        <f>B21*Parameters!$E$19</f>
        <v>1000</v>
      </c>
      <c r="P21" s="7">
        <f>M21-N21-O21</f>
        <v>600.0</v>
      </c>
      <c r="Q21" s="7">
        <f>Parameters!$E$21</f>
        <v>1000</v>
      </c>
      <c r="R21" s="7">
        <f>P21-Q21</f>
        <v>-400.0</v>
      </c>
      <c r="S21" s="7">
        <f>IF(A21&lt;1+Parameters!$E$31,0,INDEX($M$5:$M$40,A21-Parameters!$E$31))</f>
        <v>1900.0</v>
      </c>
      <c r="T21" s="7">
        <f>T20+M21-S21</f>
        <v>1900.0</v>
      </c>
      <c r="U21" s="7">
        <f>S21-N21-O21-Q21</f>
        <v>-400.0</v>
      </c>
      <c r="V21" s="7">
        <f>V20+U21</f>
        <v>-8700.0</v>
      </c>
      <c r="W21" s="7">
        <f>(1-Parameters!$E$7)*(C21-E21)+(1-Parameters!$E$8)*(D21+E21)</f>
        <v>1000.0</v>
      </c>
      <c r="X21" s="7">
        <f>Parameters!$E$7*(C21-E21)+Parameters!$E$8*Parameters!$E$9*(D21+E21)</f>
        <v>0.0</v>
      </c>
      <c r="Y21" s="7">
        <f>Parameters!$E$8*(1-Parameters!$E$9)*(D21+E21)</f>
        <v>0.0</v>
      </c>
      <c r="Z21" s="7">
        <f>POWER(1/(1+Parameters!$E$32),A21-1)*(M21-N21)</f>
        <v>1364.514019530105</v>
      </c>
    </row>
    <row r="22" spans="1:26">
      <c r="A22" s="7">
        <v>18</v>
      </c>
      <c r="B22" s="7">
        <f>Parameters!$E$20</f>
        <v>1000</v>
      </c>
      <c r="C22" s="7">
        <f>X21+B22</f>
        <v>1000.0</v>
      </c>
      <c r="D22" s="7">
        <f>Y21</f>
        <v>0.0</v>
      </c>
      <c r="E22" s="7">
        <f>Parameters!$E$6*C22</f>
        <v>100.0</v>
      </c>
      <c r="F22" s="7">
        <f>IF(Parameters!$E$5=1,E22,0)</f>
        <v>0.0</v>
      </c>
      <c r="G22" s="7">
        <f>Parameters!$E$27*G21+F22</f>
        <v>0.0</v>
      </c>
      <c r="H22" s="7">
        <f>IF(AND(Parameters!$E$5=1,Parameters!$E$26=1),SUMPRODUCT(--($A$5:A22&lt;A22),--(MOD(A22-$A$5:A22,Parameters!$E$28)=0),$F$5:F22,POWER(Parameters!$E$27,IF(A22-$A$5:A22=0,1,A22-$A$5:A22))),0)</f>
        <v>0.0</v>
      </c>
      <c r="I22" s="7">
        <f>Parameters!$E$23*I21+B22*Parameters!$E$22</f>
        <v>0.0</v>
      </c>
      <c r="J22" s="7">
        <f>E22*Parameters!$E$14*(1-Parameters!$E$15)</f>
        <v>1900.0</v>
      </c>
      <c r="K22" s="7">
        <f>H22*Parameters!$E$29</f>
        <v>0.0</v>
      </c>
      <c r="L22" s="7">
        <f>I22*Parameters!$E$24</f>
        <v>0.0</v>
      </c>
      <c r="M22" s="7">
        <f>J22+K22+L22</f>
        <v>1900.0</v>
      </c>
      <c r="N22" s="7">
        <f>C22*Parameters!$E$17+D22*Parameters!$E$18+E22*Parameters!$E$16+I22*Parameters!$E$25+G22*Parameters!$E$30</f>
        <v>300.0</v>
      </c>
      <c r="O22" s="7">
        <f>B22*Parameters!$E$19</f>
        <v>1000</v>
      </c>
      <c r="P22" s="7">
        <f>M22-N22-O22</f>
        <v>600.0</v>
      </c>
      <c r="Q22" s="7">
        <f>Parameters!$E$21</f>
        <v>1000</v>
      </c>
      <c r="R22" s="7">
        <f>P22-Q22</f>
        <v>-400.0</v>
      </c>
      <c r="S22" s="7">
        <f>IF(A22&lt;1+Parameters!$E$31,0,INDEX($M$5:$M$40,A22-Parameters!$E$31))</f>
        <v>1900.0</v>
      </c>
      <c r="T22" s="7">
        <f>T21+M22-S22</f>
        <v>1900.0</v>
      </c>
      <c r="U22" s="7">
        <f>S22-N22-O22-Q22</f>
        <v>-400.0</v>
      </c>
      <c r="V22" s="7">
        <f>V21+U22</f>
        <v>-9100.0</v>
      </c>
      <c r="W22" s="7">
        <f>(1-Parameters!$E$7)*(C22-E22)+(1-Parameters!$E$8)*(D22+E22)</f>
        <v>1000.0</v>
      </c>
      <c r="X22" s="7">
        <f>Parameters!$E$7*(C22-E22)+Parameters!$E$8*Parameters!$E$9*(D22+E22)</f>
        <v>0.0</v>
      </c>
      <c r="Y22" s="7">
        <f>Parameters!$E$8*(1-Parameters!$E$9)*(D22+E22)</f>
        <v>0.0</v>
      </c>
      <c r="Z22" s="7">
        <f>POWER(1/(1+Parameters!$E$32),A22-1)*(M22-N22)</f>
        <v>1351.0039797327772</v>
      </c>
    </row>
    <row r="23" spans="1:26">
      <c r="A23" s="7">
        <v>19</v>
      </c>
      <c r="B23" s="7">
        <f>Parameters!$E$20</f>
        <v>1000</v>
      </c>
      <c r="C23" s="7">
        <f>X22+B23</f>
        <v>1000.0</v>
      </c>
      <c r="D23" s="7">
        <f>Y22</f>
        <v>0.0</v>
      </c>
      <c r="E23" s="7">
        <f>Parameters!$E$6*C23</f>
        <v>100.0</v>
      </c>
      <c r="F23" s="7">
        <f>IF(Parameters!$E$5=1,E23,0)</f>
        <v>0.0</v>
      </c>
      <c r="G23" s="7">
        <f>Parameters!$E$27*G22+F23</f>
        <v>0.0</v>
      </c>
      <c r="H23" s="7">
        <f>IF(AND(Parameters!$E$5=1,Parameters!$E$26=1),SUMPRODUCT(--($A$5:A23&lt;A23),--(MOD(A23-$A$5:A23,Parameters!$E$28)=0),$F$5:F23,POWER(Parameters!$E$27,IF(A23-$A$5:A23=0,1,A23-$A$5:A23))),0)</f>
        <v>0.0</v>
      </c>
      <c r="I23" s="7">
        <f>Parameters!$E$23*I22+B23*Parameters!$E$22</f>
        <v>0.0</v>
      </c>
      <c r="J23" s="7">
        <f>E23*Parameters!$E$14*(1-Parameters!$E$15)</f>
        <v>1900.0</v>
      </c>
      <c r="K23" s="7">
        <f>H23*Parameters!$E$29</f>
        <v>0.0</v>
      </c>
      <c r="L23" s="7">
        <f>I23*Parameters!$E$24</f>
        <v>0.0</v>
      </c>
      <c r="M23" s="7">
        <f>J23+K23+L23</f>
        <v>1900.0</v>
      </c>
      <c r="N23" s="7">
        <f>C23*Parameters!$E$17+D23*Parameters!$E$18+E23*Parameters!$E$16+I23*Parameters!$E$25+G23*Parameters!$E$30</f>
        <v>300.0</v>
      </c>
      <c r="O23" s="7">
        <f>B23*Parameters!$E$19</f>
        <v>1000</v>
      </c>
      <c r="P23" s="7">
        <f>M23-N23-O23</f>
        <v>600.0</v>
      </c>
      <c r="Q23" s="7">
        <f>Parameters!$E$21</f>
        <v>1000</v>
      </c>
      <c r="R23" s="7">
        <f>P23-Q23</f>
        <v>-400.0</v>
      </c>
      <c r="S23" s="7">
        <f>IF(A23&lt;1+Parameters!$E$31,0,INDEX($M$5:$M$40,A23-Parameters!$E$31))</f>
        <v>1900.0</v>
      </c>
      <c r="T23" s="7">
        <f>T22+M23-S23</f>
        <v>1900.0</v>
      </c>
      <c r="U23" s="7">
        <f>S23-N23-O23-Q23</f>
        <v>-400.0</v>
      </c>
      <c r="V23" s="7">
        <f>V22+U23</f>
        <v>-9500.0</v>
      </c>
      <c r="W23" s="7">
        <f>(1-Parameters!$E$7)*(C23-E23)+(1-Parameters!$E$8)*(D23+E23)</f>
        <v>1000.0</v>
      </c>
      <c r="X23" s="7">
        <f>Parameters!$E$7*(C23-E23)+Parameters!$E$8*Parameters!$E$9*(D23+E23)</f>
        <v>0.0</v>
      </c>
      <c r="Y23" s="7">
        <f>Parameters!$E$8*(1-Parameters!$E$9)*(D23+E23)</f>
        <v>0.0</v>
      </c>
      <c r="Z23" s="7">
        <f>POWER(1/(1+Parameters!$E$32),A23-1)*(M23-N23)</f>
        <v>1337.6277027057201</v>
      </c>
    </row>
    <row r="24" spans="1:26">
      <c r="A24" s="7">
        <v>20</v>
      </c>
      <c r="B24" s="7">
        <f>Parameters!$E$20</f>
        <v>1000</v>
      </c>
      <c r="C24" s="7">
        <f>X23+B24</f>
        <v>1000.0</v>
      </c>
      <c r="D24" s="7">
        <f>Y23</f>
        <v>0.0</v>
      </c>
      <c r="E24" s="7">
        <f>Parameters!$E$6*C24</f>
        <v>100.0</v>
      </c>
      <c r="F24" s="7">
        <f>IF(Parameters!$E$5=1,E24,0)</f>
        <v>0.0</v>
      </c>
      <c r="G24" s="7">
        <f>Parameters!$E$27*G23+F24</f>
        <v>0.0</v>
      </c>
      <c r="H24" s="7">
        <f>IF(AND(Parameters!$E$5=1,Parameters!$E$26=1),SUMPRODUCT(--($A$5:A24&lt;A24),--(MOD(A24-$A$5:A24,Parameters!$E$28)=0),$F$5:F24,POWER(Parameters!$E$27,IF(A24-$A$5:A24=0,1,A24-$A$5:A24))),0)</f>
        <v>0.0</v>
      </c>
      <c r="I24" s="7">
        <f>Parameters!$E$23*I23+B24*Parameters!$E$22</f>
        <v>0.0</v>
      </c>
      <c r="J24" s="7">
        <f>E24*Parameters!$E$14*(1-Parameters!$E$15)</f>
        <v>1900.0</v>
      </c>
      <c r="K24" s="7">
        <f>H24*Parameters!$E$29</f>
        <v>0.0</v>
      </c>
      <c r="L24" s="7">
        <f>I24*Parameters!$E$24</f>
        <v>0.0</v>
      </c>
      <c r="M24" s="7">
        <f>J24+K24+L24</f>
        <v>1900.0</v>
      </c>
      <c r="N24" s="7">
        <f>C24*Parameters!$E$17+D24*Parameters!$E$18+E24*Parameters!$E$16+I24*Parameters!$E$25+G24*Parameters!$E$30</f>
        <v>300.0</v>
      </c>
      <c r="O24" s="7">
        <f>B24*Parameters!$E$19</f>
        <v>1000</v>
      </c>
      <c r="P24" s="7">
        <f>M24-N24-O24</f>
        <v>600.0</v>
      </c>
      <c r="Q24" s="7">
        <f>Parameters!$E$21</f>
        <v>1000</v>
      </c>
      <c r="R24" s="7">
        <f>P24-Q24</f>
        <v>-400.0</v>
      </c>
      <c r="S24" s="7">
        <f>IF(A24&lt;1+Parameters!$E$31,0,INDEX($M$5:$M$40,A24-Parameters!$E$31))</f>
        <v>1900.0</v>
      </c>
      <c r="T24" s="7">
        <f>T23+M24-S24</f>
        <v>1900.0</v>
      </c>
      <c r="U24" s="7">
        <f>S24-N24-O24-Q24</f>
        <v>-400.0</v>
      </c>
      <c r="V24" s="7">
        <f>V23+U24</f>
        <v>-9900.0</v>
      </c>
      <c r="W24" s="7">
        <f>(1-Parameters!$E$7)*(C24-E24)+(1-Parameters!$E$8)*(D24+E24)</f>
        <v>1000.0</v>
      </c>
      <c r="X24" s="7">
        <f>Parameters!$E$7*(C24-E24)+Parameters!$E$8*Parameters!$E$9*(D24+E24)</f>
        <v>0.0</v>
      </c>
      <c r="Y24" s="7">
        <f>Parameters!$E$8*(1-Parameters!$E$9)*(D24+E24)</f>
        <v>0.0</v>
      </c>
      <c r="Z24" s="7">
        <f>POWER(1/(1+Parameters!$E$32),A24-1)*(M24-N24)</f>
        <v>1324.3838640650692</v>
      </c>
    </row>
    <row r="25" spans="1:26">
      <c r="A25" s="7">
        <v>21</v>
      </c>
      <c r="B25" s="7">
        <f>Parameters!$E$20</f>
        <v>1000</v>
      </c>
      <c r="C25" s="7">
        <f>X24+B25</f>
        <v>1000.0</v>
      </c>
      <c r="D25" s="7">
        <f>Y24</f>
        <v>0.0</v>
      </c>
      <c r="E25" s="7">
        <f>Parameters!$E$6*C25</f>
        <v>100.0</v>
      </c>
      <c r="F25" s="7">
        <f>IF(Parameters!$E$5=1,E25,0)</f>
        <v>0.0</v>
      </c>
      <c r="G25" s="7">
        <f>Parameters!$E$27*G24+F25</f>
        <v>0.0</v>
      </c>
      <c r="H25" s="7">
        <f>IF(AND(Parameters!$E$5=1,Parameters!$E$26=1),SUMPRODUCT(--($A$5:A25&lt;A25),--(MOD(A25-$A$5:A25,Parameters!$E$28)=0),$F$5:F25,POWER(Parameters!$E$27,IF(A25-$A$5:A25=0,1,A25-$A$5:A25))),0)</f>
        <v>0.0</v>
      </c>
      <c r="I25" s="7">
        <f>Parameters!$E$23*I24+B25*Parameters!$E$22</f>
        <v>0.0</v>
      </c>
      <c r="J25" s="7">
        <f>E25*Parameters!$E$14*(1-Parameters!$E$15)</f>
        <v>1900.0</v>
      </c>
      <c r="K25" s="7">
        <f>H25*Parameters!$E$29</f>
        <v>0.0</v>
      </c>
      <c r="L25" s="7">
        <f>I25*Parameters!$E$24</f>
        <v>0.0</v>
      </c>
      <c r="M25" s="7">
        <f>J25+K25+L25</f>
        <v>1900.0</v>
      </c>
      <c r="N25" s="7">
        <f>C25*Parameters!$E$17+D25*Parameters!$E$18+E25*Parameters!$E$16+I25*Parameters!$E$25+G25*Parameters!$E$30</f>
        <v>300.0</v>
      </c>
      <c r="O25" s="7">
        <f>B25*Parameters!$E$19</f>
        <v>1000</v>
      </c>
      <c r="P25" s="7">
        <f>M25-N25-O25</f>
        <v>600.0</v>
      </c>
      <c r="Q25" s="7">
        <f>Parameters!$E$21</f>
        <v>1000</v>
      </c>
      <c r="R25" s="7">
        <f>P25-Q25</f>
        <v>-400.0</v>
      </c>
      <c r="S25" s="7">
        <f>IF(A25&lt;1+Parameters!$E$31,0,INDEX($M$5:$M$40,A25-Parameters!$E$31))</f>
        <v>1900.0</v>
      </c>
      <c r="T25" s="7">
        <f>T24+M25-S25</f>
        <v>1900.0</v>
      </c>
      <c r="U25" s="7">
        <f>S25-N25-O25-Q25</f>
        <v>-400.0</v>
      </c>
      <c r="V25" s="7">
        <f>V24+U25</f>
        <v>-10300.0</v>
      </c>
      <c r="W25" s="7">
        <f>(1-Parameters!$E$7)*(C25-E25)+(1-Parameters!$E$8)*(D25+E25)</f>
        <v>1000.0</v>
      </c>
      <c r="X25" s="7">
        <f>Parameters!$E$7*(C25-E25)+Parameters!$E$8*Parameters!$E$9*(D25+E25)</f>
        <v>0.0</v>
      </c>
      <c r="Y25" s="7">
        <f>Parameters!$E$8*(1-Parameters!$E$9)*(D25+E25)</f>
        <v>0.0</v>
      </c>
      <c r="Z25" s="7">
        <f>POWER(1/(1+Parameters!$E$32),A25-1)*(M25-N25)</f>
        <v>1311.2711525396726</v>
      </c>
    </row>
    <row r="26" spans="1:26">
      <c r="A26" s="7">
        <v>22</v>
      </c>
      <c r="B26" s="7">
        <f>Parameters!$E$20</f>
        <v>1000</v>
      </c>
      <c r="C26" s="7">
        <f>X25+B26</f>
        <v>1000.0</v>
      </c>
      <c r="D26" s="7">
        <f>Y25</f>
        <v>0.0</v>
      </c>
      <c r="E26" s="7">
        <f>Parameters!$E$6*C26</f>
        <v>100.0</v>
      </c>
      <c r="F26" s="7">
        <f>IF(Parameters!$E$5=1,E26,0)</f>
        <v>0.0</v>
      </c>
      <c r="G26" s="7">
        <f>Parameters!$E$27*G25+F26</f>
        <v>0.0</v>
      </c>
      <c r="H26" s="7">
        <f>IF(AND(Parameters!$E$5=1,Parameters!$E$26=1),SUMPRODUCT(--($A$5:A26&lt;A26),--(MOD(A26-$A$5:A26,Parameters!$E$28)=0),$F$5:F26,POWER(Parameters!$E$27,IF(A26-$A$5:A26=0,1,A26-$A$5:A26))),0)</f>
        <v>0.0</v>
      </c>
      <c r="I26" s="7">
        <f>Parameters!$E$23*I25+B26*Parameters!$E$22</f>
        <v>0.0</v>
      </c>
      <c r="J26" s="7">
        <f>E26*Parameters!$E$14*(1-Parameters!$E$15)</f>
        <v>1900.0</v>
      </c>
      <c r="K26" s="7">
        <f>H26*Parameters!$E$29</f>
        <v>0.0</v>
      </c>
      <c r="L26" s="7">
        <f>I26*Parameters!$E$24</f>
        <v>0.0</v>
      </c>
      <c r="M26" s="7">
        <f>J26+K26+L26</f>
        <v>1900.0</v>
      </c>
      <c r="N26" s="7">
        <f>C26*Parameters!$E$17+D26*Parameters!$E$18+E26*Parameters!$E$16+I26*Parameters!$E$25+G26*Parameters!$E$30</f>
        <v>300.0</v>
      </c>
      <c r="O26" s="7">
        <f>B26*Parameters!$E$19</f>
        <v>1000</v>
      </c>
      <c r="P26" s="7">
        <f>M26-N26-O26</f>
        <v>600.0</v>
      </c>
      <c r="Q26" s="7">
        <f>Parameters!$E$21</f>
        <v>1000</v>
      </c>
      <c r="R26" s="7">
        <f>P26-Q26</f>
        <v>-400.0</v>
      </c>
      <c r="S26" s="7">
        <f>IF(A26&lt;1+Parameters!$E$31,0,INDEX($M$5:$M$40,A26-Parameters!$E$31))</f>
        <v>1900.0</v>
      </c>
      <c r="T26" s="7">
        <f>T25+M26-S26</f>
        <v>1900.0</v>
      </c>
      <c r="U26" s="7">
        <f>S26-N26-O26-Q26</f>
        <v>-400.0</v>
      </c>
      <c r="V26" s="7">
        <f>V25+U26</f>
        <v>-10700.0</v>
      </c>
      <c r="W26" s="7">
        <f>(1-Parameters!$E$7)*(C26-E26)+(1-Parameters!$E$8)*(D26+E26)</f>
        <v>1000.0</v>
      </c>
      <c r="X26" s="7">
        <f>Parameters!$E$7*(C26-E26)+Parameters!$E$8*Parameters!$E$9*(D26+E26)</f>
        <v>0.0</v>
      </c>
      <c r="Y26" s="7">
        <f>Parameters!$E$8*(1-Parameters!$E$9)*(D26+E26)</f>
        <v>0.0</v>
      </c>
      <c r="Z26" s="7">
        <f>POWER(1/(1+Parameters!$E$32),A26-1)*(M26-N26)</f>
        <v>1298.28826984126</v>
      </c>
    </row>
    <row r="27" spans="1:26">
      <c r="A27" s="7">
        <v>23</v>
      </c>
      <c r="B27" s="7">
        <f>Parameters!$E$20</f>
        <v>1000</v>
      </c>
      <c r="C27" s="7">
        <f>X26+B27</f>
        <v>1000.0</v>
      </c>
      <c r="D27" s="7">
        <f>Y26</f>
        <v>0.0</v>
      </c>
      <c r="E27" s="7">
        <f>Parameters!$E$6*C27</f>
        <v>100.0</v>
      </c>
      <c r="F27" s="7">
        <f>IF(Parameters!$E$5=1,E27,0)</f>
        <v>0.0</v>
      </c>
      <c r="G27" s="7">
        <f>Parameters!$E$27*G26+F27</f>
        <v>0.0</v>
      </c>
      <c r="H27" s="7">
        <f>IF(AND(Parameters!$E$5=1,Parameters!$E$26=1),SUMPRODUCT(--($A$5:A27&lt;A27),--(MOD(A27-$A$5:A27,Parameters!$E$28)=0),$F$5:F27,POWER(Parameters!$E$27,IF(A27-$A$5:A27=0,1,A27-$A$5:A27))),0)</f>
        <v>0.0</v>
      </c>
      <c r="I27" s="7">
        <f>Parameters!$E$23*I26+B27*Parameters!$E$22</f>
        <v>0.0</v>
      </c>
      <c r="J27" s="7">
        <f>E27*Parameters!$E$14*(1-Parameters!$E$15)</f>
        <v>1900.0</v>
      </c>
      <c r="K27" s="7">
        <f>H27*Parameters!$E$29</f>
        <v>0.0</v>
      </c>
      <c r="L27" s="7">
        <f>I27*Parameters!$E$24</f>
        <v>0.0</v>
      </c>
      <c r="M27" s="7">
        <f>J27+K27+L27</f>
        <v>1900.0</v>
      </c>
      <c r="N27" s="7">
        <f>C27*Parameters!$E$17+D27*Parameters!$E$18+E27*Parameters!$E$16+I27*Parameters!$E$25+G27*Parameters!$E$30</f>
        <v>300.0</v>
      </c>
      <c r="O27" s="7">
        <f>B27*Parameters!$E$19</f>
        <v>1000</v>
      </c>
      <c r="P27" s="7">
        <f>M27-N27-O27</f>
        <v>600.0</v>
      </c>
      <c r="Q27" s="7">
        <f>Parameters!$E$21</f>
        <v>1000</v>
      </c>
      <c r="R27" s="7">
        <f>P27-Q27</f>
        <v>-400.0</v>
      </c>
      <c r="S27" s="7">
        <f>IF(A27&lt;1+Parameters!$E$31,0,INDEX($M$5:$M$40,A27-Parameters!$E$31))</f>
        <v>1900.0</v>
      </c>
      <c r="T27" s="7">
        <f>T26+M27-S27</f>
        <v>1900.0</v>
      </c>
      <c r="U27" s="7">
        <f>S27-N27-O27-Q27</f>
        <v>-400.0</v>
      </c>
      <c r="V27" s="7">
        <f>V26+U27</f>
        <v>-11100.0</v>
      </c>
      <c r="W27" s="7">
        <f>(1-Parameters!$E$7)*(C27-E27)+(1-Parameters!$E$8)*(D27+E27)</f>
        <v>1000.0</v>
      </c>
      <c r="X27" s="7">
        <f>Parameters!$E$7*(C27-E27)+Parameters!$E$8*Parameters!$E$9*(D27+E27)</f>
        <v>0.0</v>
      </c>
      <c r="Y27" s="7">
        <f>Parameters!$E$8*(1-Parameters!$E$9)*(D27+E27)</f>
        <v>0.0</v>
      </c>
      <c r="Z27" s="7">
        <f>POWER(1/(1+Parameters!$E$32),A27-1)*(M27-N27)</f>
        <v>1285.433930535901</v>
      </c>
    </row>
    <row r="28" spans="1:26">
      <c r="A28" s="7">
        <v>24</v>
      </c>
      <c r="B28" s="7">
        <f>Parameters!$E$20</f>
        <v>1000</v>
      </c>
      <c r="C28" s="7">
        <f>X27+B28</f>
        <v>1000.0</v>
      </c>
      <c r="D28" s="7">
        <f>Y27</f>
        <v>0.0</v>
      </c>
      <c r="E28" s="7">
        <f>Parameters!$E$6*C28</f>
        <v>100.0</v>
      </c>
      <c r="F28" s="7">
        <f>IF(Parameters!$E$5=1,E28,0)</f>
        <v>0.0</v>
      </c>
      <c r="G28" s="7">
        <f>Parameters!$E$27*G27+F28</f>
        <v>0.0</v>
      </c>
      <c r="H28" s="7">
        <f>IF(AND(Parameters!$E$5=1,Parameters!$E$26=1),SUMPRODUCT(--($A$5:A28&lt;A28),--(MOD(A28-$A$5:A28,Parameters!$E$28)=0),$F$5:F28,POWER(Parameters!$E$27,IF(A28-$A$5:A28=0,1,A28-$A$5:A28))),0)</f>
        <v>0.0</v>
      </c>
      <c r="I28" s="7">
        <f>Parameters!$E$23*I27+B28*Parameters!$E$22</f>
        <v>0.0</v>
      </c>
      <c r="J28" s="7">
        <f>E28*Parameters!$E$14*(1-Parameters!$E$15)</f>
        <v>1900.0</v>
      </c>
      <c r="K28" s="7">
        <f>H28*Parameters!$E$29</f>
        <v>0.0</v>
      </c>
      <c r="L28" s="7">
        <f>I28*Parameters!$E$24</f>
        <v>0.0</v>
      </c>
      <c r="M28" s="7">
        <f>J28+K28+L28</f>
        <v>1900.0</v>
      </c>
      <c r="N28" s="7">
        <f>C28*Parameters!$E$17+D28*Parameters!$E$18+E28*Parameters!$E$16+I28*Parameters!$E$25+G28*Parameters!$E$30</f>
        <v>300.0</v>
      </c>
      <c r="O28" s="7">
        <f>B28*Parameters!$E$19</f>
        <v>1000</v>
      </c>
      <c r="P28" s="7">
        <f>M28-N28-O28</f>
        <v>600.0</v>
      </c>
      <c r="Q28" s="7">
        <f>Parameters!$E$21</f>
        <v>1000</v>
      </c>
      <c r="R28" s="7">
        <f>P28-Q28</f>
        <v>-400.0</v>
      </c>
      <c r="S28" s="7">
        <f>IF(A28&lt;1+Parameters!$E$31,0,INDEX($M$5:$M$40,A28-Parameters!$E$31))</f>
        <v>1900.0</v>
      </c>
      <c r="T28" s="7">
        <f>T27+M28-S28</f>
        <v>1900.0</v>
      </c>
      <c r="U28" s="7">
        <f>S28-N28-O28-Q28</f>
        <v>-400.0</v>
      </c>
      <c r="V28" s="7">
        <f>V27+U28</f>
        <v>-11500.0</v>
      </c>
      <c r="W28" s="7">
        <f>(1-Parameters!$E$7)*(C28-E28)+(1-Parameters!$E$8)*(D28+E28)</f>
        <v>1000.0</v>
      </c>
      <c r="X28" s="7">
        <f>Parameters!$E$7*(C28-E28)+Parameters!$E$8*Parameters!$E$9*(D28+E28)</f>
        <v>0.0</v>
      </c>
      <c r="Y28" s="7">
        <f>Parameters!$E$8*(1-Parameters!$E$9)*(D28+E28)</f>
        <v>0.0</v>
      </c>
      <c r="Z28" s="7">
        <f>POWER(1/(1+Parameters!$E$32),A28-1)*(M28-N28)</f>
        <v>1272.7068619167337</v>
      </c>
    </row>
    <row r="29" spans="1:26">
      <c r="A29" s="7">
        <v>25</v>
      </c>
      <c r="B29" s="7">
        <f>Parameters!$E$20</f>
        <v>1000</v>
      </c>
      <c r="C29" s="7">
        <f>X28+B29</f>
        <v>1000.0</v>
      </c>
      <c r="D29" s="7">
        <f>Y28</f>
        <v>0.0</v>
      </c>
      <c r="E29" s="7">
        <f>Parameters!$E$6*C29</f>
        <v>100.0</v>
      </c>
      <c r="F29" s="7">
        <f>IF(Parameters!$E$5=1,E29,0)</f>
        <v>0.0</v>
      </c>
      <c r="G29" s="7">
        <f>Parameters!$E$27*G28+F29</f>
        <v>0.0</v>
      </c>
      <c r="H29" s="7">
        <f>IF(AND(Parameters!$E$5=1,Parameters!$E$26=1),SUMPRODUCT(--($A$5:A29&lt;A29),--(MOD(A29-$A$5:A29,Parameters!$E$28)=0),$F$5:F29,POWER(Parameters!$E$27,IF(A29-$A$5:A29=0,1,A29-$A$5:A29))),0)</f>
        <v>0.0</v>
      </c>
      <c r="I29" s="7">
        <f>Parameters!$E$23*I28+B29*Parameters!$E$22</f>
        <v>0.0</v>
      </c>
      <c r="J29" s="7">
        <f>E29*Parameters!$E$14*(1-Parameters!$E$15)</f>
        <v>1900.0</v>
      </c>
      <c r="K29" s="7">
        <f>H29*Parameters!$E$29</f>
        <v>0.0</v>
      </c>
      <c r="L29" s="7">
        <f>I29*Parameters!$E$24</f>
        <v>0.0</v>
      </c>
      <c r="M29" s="7">
        <f>J29+K29+L29</f>
        <v>1900.0</v>
      </c>
      <c r="N29" s="7">
        <f>C29*Parameters!$E$17+D29*Parameters!$E$18+E29*Parameters!$E$16+I29*Parameters!$E$25+G29*Parameters!$E$30</f>
        <v>300.0</v>
      </c>
      <c r="O29" s="7">
        <f>B29*Parameters!$E$19</f>
        <v>1000</v>
      </c>
      <c r="P29" s="7">
        <f>M29-N29-O29</f>
        <v>600.0</v>
      </c>
      <c r="Q29" s="7">
        <f>Parameters!$E$21</f>
        <v>1000</v>
      </c>
      <c r="R29" s="7">
        <f>P29-Q29</f>
        <v>-400.0</v>
      </c>
      <c r="S29" s="7">
        <f>IF(A29&lt;1+Parameters!$E$31,0,INDEX($M$5:$M$40,A29-Parameters!$E$31))</f>
        <v>1900.0</v>
      </c>
      <c r="T29" s="7">
        <f>T28+M29-S29</f>
        <v>1900.0</v>
      </c>
      <c r="U29" s="7">
        <f>S29-N29-O29-Q29</f>
        <v>-400.0</v>
      </c>
      <c r="V29" s="7">
        <f>V28+U29</f>
        <v>-11900.0</v>
      </c>
      <c r="W29" s="7">
        <f>(1-Parameters!$E$7)*(C29-E29)+(1-Parameters!$E$8)*(D29+E29)</f>
        <v>1000.0</v>
      </c>
      <c r="X29" s="7">
        <f>Parameters!$E$7*(C29-E29)+Parameters!$E$8*Parameters!$E$9*(D29+E29)</f>
        <v>0.0</v>
      </c>
      <c r="Y29" s="7">
        <f>Parameters!$E$8*(1-Parameters!$E$9)*(D29+E29)</f>
        <v>0.0</v>
      </c>
      <c r="Z29" s="7">
        <f>POWER(1/(1+Parameters!$E$32),A29-1)*(M29-N29)</f>
        <v>1260.1058038779543</v>
      </c>
    </row>
    <row r="30" spans="1:26">
      <c r="A30" s="7">
        <v>26</v>
      </c>
      <c r="B30" s="7">
        <f>Parameters!$E$20</f>
        <v>1000</v>
      </c>
      <c r="C30" s="7">
        <f>X29+B30</f>
        <v>1000.0</v>
      </c>
      <c r="D30" s="7">
        <f>Y29</f>
        <v>0.0</v>
      </c>
      <c r="E30" s="7">
        <f>Parameters!$E$6*C30</f>
        <v>100.0</v>
      </c>
      <c r="F30" s="7">
        <f>IF(Parameters!$E$5=1,E30,0)</f>
        <v>0.0</v>
      </c>
      <c r="G30" s="7">
        <f>Parameters!$E$27*G29+F30</f>
        <v>0.0</v>
      </c>
      <c r="H30" s="7">
        <f>IF(AND(Parameters!$E$5=1,Parameters!$E$26=1),SUMPRODUCT(--($A$5:A30&lt;A30),--(MOD(A30-$A$5:A30,Parameters!$E$28)=0),$F$5:F30,POWER(Parameters!$E$27,IF(A30-$A$5:A30=0,1,A30-$A$5:A30))),0)</f>
        <v>0.0</v>
      </c>
      <c r="I30" s="7">
        <f>Parameters!$E$23*I29+B30*Parameters!$E$22</f>
        <v>0.0</v>
      </c>
      <c r="J30" s="7">
        <f>E30*Parameters!$E$14*(1-Parameters!$E$15)</f>
        <v>1900.0</v>
      </c>
      <c r="K30" s="7">
        <f>H30*Parameters!$E$29</f>
        <v>0.0</v>
      </c>
      <c r="L30" s="7">
        <f>I30*Parameters!$E$24</f>
        <v>0.0</v>
      </c>
      <c r="M30" s="7">
        <f>J30+K30+L30</f>
        <v>1900.0</v>
      </c>
      <c r="N30" s="7">
        <f>C30*Parameters!$E$17+D30*Parameters!$E$18+E30*Parameters!$E$16+I30*Parameters!$E$25+G30*Parameters!$E$30</f>
        <v>300.0</v>
      </c>
      <c r="O30" s="7">
        <f>B30*Parameters!$E$19</f>
        <v>1000</v>
      </c>
      <c r="P30" s="7">
        <f>M30-N30-O30</f>
        <v>600.0</v>
      </c>
      <c r="Q30" s="7">
        <f>Parameters!$E$21</f>
        <v>1000</v>
      </c>
      <c r="R30" s="7">
        <f>P30-Q30</f>
        <v>-400.0</v>
      </c>
      <c r="S30" s="7">
        <f>IF(A30&lt;1+Parameters!$E$31,0,INDEX($M$5:$M$40,A30-Parameters!$E$31))</f>
        <v>1900.0</v>
      </c>
      <c r="T30" s="7">
        <f>T29+M30-S30</f>
        <v>1900.0</v>
      </c>
      <c r="U30" s="7">
        <f>S30-N30-O30-Q30</f>
        <v>-400.0</v>
      </c>
      <c r="V30" s="7">
        <f>V29+U30</f>
        <v>-12300.0</v>
      </c>
      <c r="W30" s="7">
        <f>(1-Parameters!$E$7)*(C30-E30)+(1-Parameters!$E$8)*(D30+E30)</f>
        <v>1000.0</v>
      </c>
      <c r="X30" s="7">
        <f>Parameters!$E$7*(C30-E30)+Parameters!$E$8*Parameters!$E$9*(D30+E30)</f>
        <v>0.0</v>
      </c>
      <c r="Y30" s="7">
        <f>Parameters!$E$8*(1-Parameters!$E$9)*(D30+E30)</f>
        <v>0.0</v>
      </c>
      <c r="Z30" s="7">
        <f>POWER(1/(1+Parameters!$E$32),A30-1)*(M30-N30)</f>
        <v>1247.6295087900535</v>
      </c>
    </row>
    <row r="31" spans="1:26">
      <c r="A31" s="7">
        <v>27</v>
      </c>
      <c r="B31" s="7">
        <f>Parameters!$E$20</f>
        <v>1000</v>
      </c>
      <c r="C31" s="7">
        <f>X30+B31</f>
        <v>1000.0</v>
      </c>
      <c r="D31" s="7">
        <f>Y30</f>
        <v>0.0</v>
      </c>
      <c r="E31" s="7">
        <f>Parameters!$E$6*C31</f>
        <v>100.0</v>
      </c>
      <c r="F31" s="7">
        <f>IF(Parameters!$E$5=1,E31,0)</f>
        <v>0.0</v>
      </c>
      <c r="G31" s="7">
        <f>Parameters!$E$27*G30+F31</f>
        <v>0.0</v>
      </c>
      <c r="H31" s="7">
        <f>IF(AND(Parameters!$E$5=1,Parameters!$E$26=1),SUMPRODUCT(--($A$5:A31&lt;A31),--(MOD(A31-$A$5:A31,Parameters!$E$28)=0),$F$5:F31,POWER(Parameters!$E$27,IF(A31-$A$5:A31=0,1,A31-$A$5:A31))),0)</f>
        <v>0.0</v>
      </c>
      <c r="I31" s="7">
        <f>Parameters!$E$23*I30+B31*Parameters!$E$22</f>
        <v>0.0</v>
      </c>
      <c r="J31" s="7">
        <f>E31*Parameters!$E$14*(1-Parameters!$E$15)</f>
        <v>1900.0</v>
      </c>
      <c r="K31" s="7">
        <f>H31*Parameters!$E$29</f>
        <v>0.0</v>
      </c>
      <c r="L31" s="7">
        <f>I31*Parameters!$E$24</f>
        <v>0.0</v>
      </c>
      <c r="M31" s="7">
        <f>J31+K31+L31</f>
        <v>1900.0</v>
      </c>
      <c r="N31" s="7">
        <f>C31*Parameters!$E$17+D31*Parameters!$E$18+E31*Parameters!$E$16+I31*Parameters!$E$25+G31*Parameters!$E$30</f>
        <v>300.0</v>
      </c>
      <c r="O31" s="7">
        <f>B31*Parameters!$E$19</f>
        <v>1000</v>
      </c>
      <c r="P31" s="7">
        <f>M31-N31-O31</f>
        <v>600.0</v>
      </c>
      <c r="Q31" s="7">
        <f>Parameters!$E$21</f>
        <v>1000</v>
      </c>
      <c r="R31" s="7">
        <f>P31-Q31</f>
        <v>-400.0</v>
      </c>
      <c r="S31" s="7">
        <f>IF(A31&lt;1+Parameters!$E$31,0,INDEX($M$5:$M$40,A31-Parameters!$E$31))</f>
        <v>1900.0</v>
      </c>
      <c r="T31" s="7">
        <f>T30+M31-S31</f>
        <v>1900.0</v>
      </c>
      <c r="U31" s="7">
        <f>S31-N31-O31-Q31</f>
        <v>-400.0</v>
      </c>
      <c r="V31" s="7">
        <f>V30+U31</f>
        <v>-12700.0</v>
      </c>
      <c r="W31" s="7">
        <f>(1-Parameters!$E$7)*(C31-E31)+(1-Parameters!$E$8)*(D31+E31)</f>
        <v>1000.0</v>
      </c>
      <c r="X31" s="7">
        <f>Parameters!$E$7*(C31-E31)+Parameters!$E$8*Parameters!$E$9*(D31+E31)</f>
        <v>0.0</v>
      </c>
      <c r="Y31" s="7">
        <f>Parameters!$E$8*(1-Parameters!$E$9)*(D31+E31)</f>
        <v>0.0</v>
      </c>
      <c r="Z31" s="7">
        <f>POWER(1/(1+Parameters!$E$32),A31-1)*(M31-N31)</f>
        <v>1235.2767413762906</v>
      </c>
    </row>
    <row r="32" spans="1:26">
      <c r="A32" s="7">
        <v>28</v>
      </c>
      <c r="B32" s="7">
        <f>Parameters!$E$20</f>
        <v>1000</v>
      </c>
      <c r="C32" s="7">
        <f>X31+B32</f>
        <v>1000.0</v>
      </c>
      <c r="D32" s="7">
        <f>Y31</f>
        <v>0.0</v>
      </c>
      <c r="E32" s="7">
        <f>Parameters!$E$6*C32</f>
        <v>100.0</v>
      </c>
      <c r="F32" s="7">
        <f>IF(Parameters!$E$5=1,E32,0)</f>
        <v>0.0</v>
      </c>
      <c r="G32" s="7">
        <f>Parameters!$E$27*G31+F32</f>
        <v>0.0</v>
      </c>
      <c r="H32" s="7">
        <f>IF(AND(Parameters!$E$5=1,Parameters!$E$26=1),SUMPRODUCT(--($A$5:A32&lt;A32),--(MOD(A32-$A$5:A32,Parameters!$E$28)=0),$F$5:F32,POWER(Parameters!$E$27,IF(A32-$A$5:A32=0,1,A32-$A$5:A32))),0)</f>
        <v>0.0</v>
      </c>
      <c r="I32" s="7">
        <f>Parameters!$E$23*I31+B32*Parameters!$E$22</f>
        <v>0.0</v>
      </c>
      <c r="J32" s="7">
        <f>E32*Parameters!$E$14*(1-Parameters!$E$15)</f>
        <v>1900.0</v>
      </c>
      <c r="K32" s="7">
        <f>H32*Parameters!$E$29</f>
        <v>0.0</v>
      </c>
      <c r="L32" s="7">
        <f>I32*Parameters!$E$24</f>
        <v>0.0</v>
      </c>
      <c r="M32" s="7">
        <f>J32+K32+L32</f>
        <v>1900.0</v>
      </c>
      <c r="N32" s="7">
        <f>C32*Parameters!$E$17+D32*Parameters!$E$18+E32*Parameters!$E$16+I32*Parameters!$E$25+G32*Parameters!$E$30</f>
        <v>300.0</v>
      </c>
      <c r="O32" s="7">
        <f>B32*Parameters!$E$19</f>
        <v>1000</v>
      </c>
      <c r="P32" s="7">
        <f>M32-N32-O32</f>
        <v>600.0</v>
      </c>
      <c r="Q32" s="7">
        <f>Parameters!$E$21</f>
        <v>1000</v>
      </c>
      <c r="R32" s="7">
        <f>P32-Q32</f>
        <v>-400.0</v>
      </c>
      <c r="S32" s="7">
        <f>IF(A32&lt;1+Parameters!$E$31,0,INDEX($M$5:$M$40,A32-Parameters!$E$31))</f>
        <v>1900.0</v>
      </c>
      <c r="T32" s="7">
        <f>T31+M32-S32</f>
        <v>1900.0</v>
      </c>
      <c r="U32" s="7">
        <f>S32-N32-O32-Q32</f>
        <v>-400.0</v>
      </c>
      <c r="V32" s="7">
        <f>V31+U32</f>
        <v>-13100.0</v>
      </c>
      <c r="W32" s="7">
        <f>(1-Parameters!$E$7)*(C32-E32)+(1-Parameters!$E$8)*(D32+E32)</f>
        <v>1000.0</v>
      </c>
      <c r="X32" s="7">
        <f>Parameters!$E$7*(C32-E32)+Parameters!$E$8*Parameters!$E$9*(D32+E32)</f>
        <v>0.0</v>
      </c>
      <c r="Y32" s="7">
        <f>Parameters!$E$8*(1-Parameters!$E$9)*(D32+E32)</f>
        <v>0.0</v>
      </c>
      <c r="Z32" s="7">
        <f>POWER(1/(1+Parameters!$E$32),A32-1)*(M32-N32)</f>
        <v>1223.0462785903867</v>
      </c>
    </row>
    <row r="33" spans="1:26">
      <c r="A33" s="7">
        <v>29</v>
      </c>
      <c r="B33" s="7">
        <f>Parameters!$E$20</f>
        <v>1000</v>
      </c>
      <c r="C33" s="7">
        <f>X32+B33</f>
        <v>1000.0</v>
      </c>
      <c r="D33" s="7">
        <f>Y32</f>
        <v>0.0</v>
      </c>
      <c r="E33" s="7">
        <f>Parameters!$E$6*C33</f>
        <v>100.0</v>
      </c>
      <c r="F33" s="7">
        <f>IF(Parameters!$E$5=1,E33,0)</f>
        <v>0.0</v>
      </c>
      <c r="G33" s="7">
        <f>Parameters!$E$27*G32+F33</f>
        <v>0.0</v>
      </c>
      <c r="H33" s="7">
        <f>IF(AND(Parameters!$E$5=1,Parameters!$E$26=1),SUMPRODUCT(--($A$5:A33&lt;A33),--(MOD(A33-$A$5:A33,Parameters!$E$28)=0),$F$5:F33,POWER(Parameters!$E$27,IF(A33-$A$5:A33=0,1,A33-$A$5:A33))),0)</f>
        <v>0.0</v>
      </c>
      <c r="I33" s="7">
        <f>Parameters!$E$23*I32+B33*Parameters!$E$22</f>
        <v>0.0</v>
      </c>
      <c r="J33" s="7">
        <f>E33*Parameters!$E$14*(1-Parameters!$E$15)</f>
        <v>1900.0</v>
      </c>
      <c r="K33" s="7">
        <f>H33*Parameters!$E$29</f>
        <v>0.0</v>
      </c>
      <c r="L33" s="7">
        <f>I33*Parameters!$E$24</f>
        <v>0.0</v>
      </c>
      <c r="M33" s="7">
        <f>J33+K33+L33</f>
        <v>1900.0</v>
      </c>
      <c r="N33" s="7">
        <f>C33*Parameters!$E$17+D33*Parameters!$E$18+E33*Parameters!$E$16+I33*Parameters!$E$25+G33*Parameters!$E$30</f>
        <v>300.0</v>
      </c>
      <c r="O33" s="7">
        <f>B33*Parameters!$E$19</f>
        <v>1000</v>
      </c>
      <c r="P33" s="7">
        <f>M33-N33-O33</f>
        <v>600.0</v>
      </c>
      <c r="Q33" s="7">
        <f>Parameters!$E$21</f>
        <v>1000</v>
      </c>
      <c r="R33" s="7">
        <f>P33-Q33</f>
        <v>-400.0</v>
      </c>
      <c r="S33" s="7">
        <f>IF(A33&lt;1+Parameters!$E$31,0,INDEX($M$5:$M$40,A33-Parameters!$E$31))</f>
        <v>1900.0</v>
      </c>
      <c r="T33" s="7">
        <f>T32+M33-S33</f>
        <v>1900.0</v>
      </c>
      <c r="U33" s="7">
        <f>S33-N33-O33-Q33</f>
        <v>-400.0</v>
      </c>
      <c r="V33" s="7">
        <f>V32+U33</f>
        <v>-13500.0</v>
      </c>
      <c r="W33" s="7">
        <f>(1-Parameters!$E$7)*(C33-E33)+(1-Parameters!$E$8)*(D33+E33)</f>
        <v>1000.0</v>
      </c>
      <c r="X33" s="7">
        <f>Parameters!$E$7*(C33-E33)+Parameters!$E$8*Parameters!$E$9*(D33+E33)</f>
        <v>0.0</v>
      </c>
      <c r="Y33" s="7">
        <f>Parameters!$E$8*(1-Parameters!$E$9)*(D33+E33)</f>
        <v>0.0</v>
      </c>
      <c r="Z33" s="7">
        <f>POWER(1/(1+Parameters!$E$32),A33-1)*(M33-N33)</f>
        <v>1210.9369094954325</v>
      </c>
    </row>
    <row r="34" spans="1:26">
      <c r="A34" s="7">
        <v>30</v>
      </c>
      <c r="B34" s="7">
        <f>Parameters!$E$20</f>
        <v>1000</v>
      </c>
      <c r="C34" s="7">
        <f>X33+B34</f>
        <v>1000.0</v>
      </c>
      <c r="D34" s="7">
        <f>Y33</f>
        <v>0.0</v>
      </c>
      <c r="E34" s="7">
        <f>Parameters!$E$6*C34</f>
        <v>100.0</v>
      </c>
      <c r="F34" s="7">
        <f>IF(Parameters!$E$5=1,E34,0)</f>
        <v>0.0</v>
      </c>
      <c r="G34" s="7">
        <f>Parameters!$E$27*G33+F34</f>
        <v>0.0</v>
      </c>
      <c r="H34" s="7">
        <f>IF(AND(Parameters!$E$5=1,Parameters!$E$26=1),SUMPRODUCT(--($A$5:A34&lt;A34),--(MOD(A34-$A$5:A34,Parameters!$E$28)=0),$F$5:F34,POWER(Parameters!$E$27,IF(A34-$A$5:A34=0,1,A34-$A$5:A34))),0)</f>
        <v>0.0</v>
      </c>
      <c r="I34" s="7">
        <f>Parameters!$E$23*I33+B34*Parameters!$E$22</f>
        <v>0.0</v>
      </c>
      <c r="J34" s="7">
        <f>E34*Parameters!$E$14*(1-Parameters!$E$15)</f>
        <v>1900.0</v>
      </c>
      <c r="K34" s="7">
        <f>H34*Parameters!$E$29</f>
        <v>0.0</v>
      </c>
      <c r="L34" s="7">
        <f>I34*Parameters!$E$24</f>
        <v>0.0</v>
      </c>
      <c r="M34" s="7">
        <f>J34+K34+L34</f>
        <v>1900.0</v>
      </c>
      <c r="N34" s="7">
        <f>C34*Parameters!$E$17+D34*Parameters!$E$18+E34*Parameters!$E$16+I34*Parameters!$E$25+G34*Parameters!$E$30</f>
        <v>300.0</v>
      </c>
      <c r="O34" s="7">
        <f>B34*Parameters!$E$19</f>
        <v>1000</v>
      </c>
      <c r="P34" s="7">
        <f>M34-N34-O34</f>
        <v>600.0</v>
      </c>
      <c r="Q34" s="7">
        <f>Parameters!$E$21</f>
        <v>1000</v>
      </c>
      <c r="R34" s="7">
        <f>P34-Q34</f>
        <v>-400.0</v>
      </c>
      <c r="S34" s="7">
        <f>IF(A34&lt;1+Parameters!$E$31,0,INDEX($M$5:$M$40,A34-Parameters!$E$31))</f>
        <v>1900.0</v>
      </c>
      <c r="T34" s="7">
        <f>T33+M34-S34</f>
        <v>1900.0</v>
      </c>
      <c r="U34" s="7">
        <f>S34-N34-O34-Q34</f>
        <v>-400.0</v>
      </c>
      <c r="V34" s="7">
        <f>V33+U34</f>
        <v>-13900.0</v>
      </c>
      <c r="W34" s="7">
        <f>(1-Parameters!$E$7)*(C34-E34)+(1-Parameters!$E$8)*(D34+E34)</f>
        <v>1000.0</v>
      </c>
      <c r="X34" s="7">
        <f>Parameters!$E$7*(C34-E34)+Parameters!$E$8*Parameters!$E$9*(D34+E34)</f>
        <v>0.0</v>
      </c>
      <c r="Y34" s="7">
        <f>Parameters!$E$8*(1-Parameters!$E$9)*(D34+E34)</f>
        <v>0.0</v>
      </c>
      <c r="Z34" s="7">
        <f>POWER(1/(1+Parameters!$E$32),A34-1)*(M34-N34)</f>
        <v>1198.9474351439926</v>
      </c>
    </row>
    <row r="35" spans="1:26">
      <c r="A35" s="7">
        <v>31</v>
      </c>
      <c r="B35" s="7">
        <f>Parameters!$E$20</f>
        <v>1000</v>
      </c>
      <c r="C35" s="7">
        <f>X34+B35</f>
        <v>1000.0</v>
      </c>
      <c r="D35" s="7">
        <f>Y34</f>
        <v>0.0</v>
      </c>
      <c r="E35" s="7">
        <f>Parameters!$E$6*C35</f>
        <v>100.0</v>
      </c>
      <c r="F35" s="7">
        <f>IF(Parameters!$E$5=1,E35,0)</f>
        <v>0.0</v>
      </c>
      <c r="G35" s="7">
        <f>Parameters!$E$27*G34+F35</f>
        <v>0.0</v>
      </c>
      <c r="H35" s="7">
        <f>IF(AND(Parameters!$E$5=1,Parameters!$E$26=1),SUMPRODUCT(--($A$5:A35&lt;A35),--(MOD(A35-$A$5:A35,Parameters!$E$28)=0),$F$5:F35,POWER(Parameters!$E$27,IF(A35-$A$5:A35=0,1,A35-$A$5:A35))),0)</f>
        <v>0.0</v>
      </c>
      <c r="I35" s="7">
        <f>Parameters!$E$23*I34+B35*Parameters!$E$22</f>
        <v>0.0</v>
      </c>
      <c r="J35" s="7">
        <f>E35*Parameters!$E$14*(1-Parameters!$E$15)</f>
        <v>1900.0</v>
      </c>
      <c r="K35" s="7">
        <f>H35*Parameters!$E$29</f>
        <v>0.0</v>
      </c>
      <c r="L35" s="7">
        <f>I35*Parameters!$E$24</f>
        <v>0.0</v>
      </c>
      <c r="M35" s="7">
        <f>J35+K35+L35</f>
        <v>1900.0</v>
      </c>
      <c r="N35" s="7">
        <f>C35*Parameters!$E$17+D35*Parameters!$E$18+E35*Parameters!$E$16+I35*Parameters!$E$25+G35*Parameters!$E$30</f>
        <v>300.0</v>
      </c>
      <c r="O35" s="7">
        <f>B35*Parameters!$E$19</f>
        <v>1000</v>
      </c>
      <c r="P35" s="7">
        <f>M35-N35-O35</f>
        <v>600.0</v>
      </c>
      <c r="Q35" s="7">
        <f>Parameters!$E$21</f>
        <v>1000</v>
      </c>
      <c r="R35" s="7">
        <f>P35-Q35</f>
        <v>-400.0</v>
      </c>
      <c r="S35" s="7">
        <f>IF(A35&lt;1+Parameters!$E$31,0,INDEX($M$5:$M$40,A35-Parameters!$E$31))</f>
        <v>1900.0</v>
      </c>
      <c r="T35" s="7">
        <f>T34+M35-S35</f>
        <v>1900.0</v>
      </c>
      <c r="U35" s="7">
        <f>S35-N35-O35-Q35</f>
        <v>-400.0</v>
      </c>
      <c r="V35" s="7">
        <f>V34+U35</f>
        <v>-14300.0</v>
      </c>
      <c r="W35" s="7">
        <f>(1-Parameters!$E$7)*(C35-E35)+(1-Parameters!$E$8)*(D35+E35)</f>
        <v>1000.0</v>
      </c>
      <c r="X35" s="7">
        <f>Parameters!$E$7*(C35-E35)+Parameters!$E$8*Parameters!$E$9*(D35+E35)</f>
        <v>0.0</v>
      </c>
      <c r="Y35" s="7">
        <f>Parameters!$E$8*(1-Parameters!$E$9)*(D35+E35)</f>
        <v>0.0</v>
      </c>
      <c r="Z35" s="7">
        <f>POWER(1/(1+Parameters!$E$32),A35-1)*(M35-N35)</f>
        <v>1187.0766684593984</v>
      </c>
    </row>
    <row r="36" spans="1:26">
      <c r="A36" s="7">
        <v>32</v>
      </c>
      <c r="B36" s="7">
        <f>Parameters!$E$20</f>
        <v>1000</v>
      </c>
      <c r="C36" s="7">
        <f>X35+B36</f>
        <v>1000.0</v>
      </c>
      <c r="D36" s="7">
        <f>Y35</f>
        <v>0.0</v>
      </c>
      <c r="E36" s="7">
        <f>Parameters!$E$6*C36</f>
        <v>100.0</v>
      </c>
      <c r="F36" s="7">
        <f>IF(Parameters!$E$5=1,E36,0)</f>
        <v>0.0</v>
      </c>
      <c r="G36" s="7">
        <f>Parameters!$E$27*G35+F36</f>
        <v>0.0</v>
      </c>
      <c r="H36" s="7">
        <f>IF(AND(Parameters!$E$5=1,Parameters!$E$26=1),SUMPRODUCT(--($A$5:A36&lt;A36),--(MOD(A36-$A$5:A36,Parameters!$E$28)=0),$F$5:F36,POWER(Parameters!$E$27,IF(A36-$A$5:A36=0,1,A36-$A$5:A36))),0)</f>
        <v>0.0</v>
      </c>
      <c r="I36" s="7">
        <f>Parameters!$E$23*I35+B36*Parameters!$E$22</f>
        <v>0.0</v>
      </c>
      <c r="J36" s="7">
        <f>E36*Parameters!$E$14*(1-Parameters!$E$15)</f>
        <v>1900.0</v>
      </c>
      <c r="K36" s="7">
        <f>H36*Parameters!$E$29</f>
        <v>0.0</v>
      </c>
      <c r="L36" s="7">
        <f>I36*Parameters!$E$24</f>
        <v>0.0</v>
      </c>
      <c r="M36" s="7">
        <f>J36+K36+L36</f>
        <v>1900.0</v>
      </c>
      <c r="N36" s="7">
        <f>C36*Parameters!$E$17+D36*Parameters!$E$18+E36*Parameters!$E$16+I36*Parameters!$E$25+G36*Parameters!$E$30</f>
        <v>300.0</v>
      </c>
      <c r="O36" s="7">
        <f>B36*Parameters!$E$19</f>
        <v>1000</v>
      </c>
      <c r="P36" s="7">
        <f>M36-N36-O36</f>
        <v>600.0</v>
      </c>
      <c r="Q36" s="7">
        <f>Parameters!$E$21</f>
        <v>1000</v>
      </c>
      <c r="R36" s="7">
        <f>P36-Q36</f>
        <v>-400.0</v>
      </c>
      <c r="S36" s="7">
        <f>IF(A36&lt;1+Parameters!$E$31,0,INDEX($M$5:$M$40,A36-Parameters!$E$31))</f>
        <v>1900.0</v>
      </c>
      <c r="T36" s="7">
        <f>T35+M36-S36</f>
        <v>1900.0</v>
      </c>
      <c r="U36" s="7">
        <f>S36-N36-O36-Q36</f>
        <v>-400.0</v>
      </c>
      <c r="V36" s="7">
        <f>V35+U36</f>
        <v>-14700.0</v>
      </c>
      <c r="W36" s="7">
        <f>(1-Parameters!$E$7)*(C36-E36)+(1-Parameters!$E$8)*(D36+E36)</f>
        <v>1000.0</v>
      </c>
      <c r="X36" s="7">
        <f>Parameters!$E$7*(C36-E36)+Parameters!$E$8*Parameters!$E$9*(D36+E36)</f>
        <v>0.0</v>
      </c>
      <c r="Y36" s="7">
        <f>Parameters!$E$8*(1-Parameters!$E$9)*(D36+E36)</f>
        <v>0.0</v>
      </c>
      <c r="Z36" s="7">
        <f>POWER(1/(1+Parameters!$E$32),A36-1)*(M36-N36)</f>
        <v>1175.3234341182165</v>
      </c>
    </row>
    <row r="37" spans="1:26">
      <c r="A37" s="7">
        <v>33</v>
      </c>
      <c r="B37" s="7">
        <f>Parameters!$E$20</f>
        <v>1000</v>
      </c>
      <c r="C37" s="7">
        <f>X36+B37</f>
        <v>1000.0</v>
      </c>
      <c r="D37" s="7">
        <f>Y36</f>
        <v>0.0</v>
      </c>
      <c r="E37" s="7">
        <f>Parameters!$E$6*C37</f>
        <v>100.0</v>
      </c>
      <c r="F37" s="7">
        <f>IF(Parameters!$E$5=1,E37,0)</f>
        <v>0.0</v>
      </c>
      <c r="G37" s="7">
        <f>Parameters!$E$27*G36+F37</f>
        <v>0.0</v>
      </c>
      <c r="H37" s="7">
        <f>IF(AND(Parameters!$E$5=1,Parameters!$E$26=1),SUMPRODUCT(--($A$5:A37&lt;A37),--(MOD(A37-$A$5:A37,Parameters!$E$28)=0),$F$5:F37,POWER(Parameters!$E$27,IF(A37-$A$5:A37=0,1,A37-$A$5:A37))),0)</f>
        <v>0.0</v>
      </c>
      <c r="I37" s="7">
        <f>Parameters!$E$23*I36+B37*Parameters!$E$22</f>
        <v>0.0</v>
      </c>
      <c r="J37" s="7">
        <f>E37*Parameters!$E$14*(1-Parameters!$E$15)</f>
        <v>1900.0</v>
      </c>
      <c r="K37" s="7">
        <f>H37*Parameters!$E$29</f>
        <v>0.0</v>
      </c>
      <c r="L37" s="7">
        <f>I37*Parameters!$E$24</f>
        <v>0.0</v>
      </c>
      <c r="M37" s="7">
        <f>J37+K37+L37</f>
        <v>1900.0</v>
      </c>
      <c r="N37" s="7">
        <f>C37*Parameters!$E$17+D37*Parameters!$E$18+E37*Parameters!$E$16+I37*Parameters!$E$25+G37*Parameters!$E$30</f>
        <v>300.0</v>
      </c>
      <c r="O37" s="7">
        <f>B37*Parameters!$E$19</f>
        <v>1000</v>
      </c>
      <c r="P37" s="7">
        <f>M37-N37-O37</f>
        <v>600.0</v>
      </c>
      <c r="Q37" s="7">
        <f>Parameters!$E$21</f>
        <v>1000</v>
      </c>
      <c r="R37" s="7">
        <f>P37-Q37</f>
        <v>-400.0</v>
      </c>
      <c r="S37" s="7">
        <f>IF(A37&lt;1+Parameters!$E$31,0,INDEX($M$5:$M$40,A37-Parameters!$E$31))</f>
        <v>1900.0</v>
      </c>
      <c r="T37" s="7">
        <f>T36+M37-S37</f>
        <v>1900.0</v>
      </c>
      <c r="U37" s="7">
        <f>S37-N37-O37-Q37</f>
        <v>-400.0</v>
      </c>
      <c r="V37" s="7">
        <f>V36+U37</f>
        <v>-15100.0</v>
      </c>
      <c r="W37" s="7">
        <f>(1-Parameters!$E$7)*(C37-E37)+(1-Parameters!$E$8)*(D37+E37)</f>
        <v>1000.0</v>
      </c>
      <c r="X37" s="7">
        <f>Parameters!$E$7*(C37-E37)+Parameters!$E$8*Parameters!$E$9*(D37+E37)</f>
        <v>0.0</v>
      </c>
      <c r="Y37" s="7">
        <f>Parameters!$E$8*(1-Parameters!$E$9)*(D37+E37)</f>
        <v>0.0</v>
      </c>
      <c r="Z37" s="7">
        <f>POWER(1/(1+Parameters!$E$32),A37-1)*(M37-N37)</f>
        <v>1163.6865684338777</v>
      </c>
    </row>
    <row r="38" spans="1:26">
      <c r="A38" s="7">
        <v>34</v>
      </c>
      <c r="B38" s="7">
        <f>Parameters!$E$20</f>
        <v>1000</v>
      </c>
      <c r="C38" s="7">
        <f>X37+B38</f>
        <v>1000.0</v>
      </c>
      <c r="D38" s="7">
        <f>Y37</f>
        <v>0.0</v>
      </c>
      <c r="E38" s="7">
        <f>Parameters!$E$6*C38</f>
        <v>100.0</v>
      </c>
      <c r="F38" s="7">
        <f>IF(Parameters!$E$5=1,E38,0)</f>
        <v>0.0</v>
      </c>
      <c r="G38" s="7">
        <f>Parameters!$E$27*G37+F38</f>
        <v>0.0</v>
      </c>
      <c r="H38" s="7">
        <f>IF(AND(Parameters!$E$5=1,Parameters!$E$26=1),SUMPRODUCT(--($A$5:A38&lt;A38),--(MOD(A38-$A$5:A38,Parameters!$E$28)=0),$F$5:F38,POWER(Parameters!$E$27,IF(A38-$A$5:A38=0,1,A38-$A$5:A38))),0)</f>
        <v>0.0</v>
      </c>
      <c r="I38" s="7">
        <f>Parameters!$E$23*I37+B38*Parameters!$E$22</f>
        <v>0.0</v>
      </c>
      <c r="J38" s="7">
        <f>E38*Parameters!$E$14*(1-Parameters!$E$15)</f>
        <v>1900.0</v>
      </c>
      <c r="K38" s="7">
        <f>H38*Parameters!$E$29</f>
        <v>0.0</v>
      </c>
      <c r="L38" s="7">
        <f>I38*Parameters!$E$24</f>
        <v>0.0</v>
      </c>
      <c r="M38" s="7">
        <f>J38+K38+L38</f>
        <v>1900.0</v>
      </c>
      <c r="N38" s="7">
        <f>C38*Parameters!$E$17+D38*Parameters!$E$18+E38*Parameters!$E$16+I38*Parameters!$E$25+G38*Parameters!$E$30</f>
        <v>300.0</v>
      </c>
      <c r="O38" s="7">
        <f>B38*Parameters!$E$19</f>
        <v>1000</v>
      </c>
      <c r="P38" s="7">
        <f>M38-N38-O38</f>
        <v>600.0</v>
      </c>
      <c r="Q38" s="7">
        <f>Parameters!$E$21</f>
        <v>1000</v>
      </c>
      <c r="R38" s="7">
        <f>P38-Q38</f>
        <v>-400.0</v>
      </c>
      <c r="S38" s="7">
        <f>IF(A38&lt;1+Parameters!$E$31,0,INDEX($M$5:$M$40,A38-Parameters!$E$31))</f>
        <v>1900.0</v>
      </c>
      <c r="T38" s="7">
        <f>T37+M38-S38</f>
        <v>1900.0</v>
      </c>
      <c r="U38" s="7">
        <f>S38-N38-O38-Q38</f>
        <v>-400.0</v>
      </c>
      <c r="V38" s="7">
        <f>V37+U38</f>
        <v>-15500.0</v>
      </c>
      <c r="W38" s="7">
        <f>(1-Parameters!$E$7)*(C38-E38)+(1-Parameters!$E$8)*(D38+E38)</f>
        <v>1000.0</v>
      </c>
      <c r="X38" s="7">
        <f>Parameters!$E$7*(C38-E38)+Parameters!$E$8*Parameters!$E$9*(D38+E38)</f>
        <v>0.0</v>
      </c>
      <c r="Y38" s="7">
        <f>Parameters!$E$8*(1-Parameters!$E$9)*(D38+E38)</f>
        <v>0.0</v>
      </c>
      <c r="Z38" s="7">
        <f>POWER(1/(1+Parameters!$E$32),A38-1)*(M38-N38)</f>
        <v>1152.164919241463</v>
      </c>
    </row>
    <row r="39" spans="1:26">
      <c r="A39" s="7">
        <v>35</v>
      </c>
      <c r="B39" s="7">
        <f>Parameters!$E$20</f>
        <v>1000</v>
      </c>
      <c r="C39" s="7">
        <f>X38+B39</f>
        <v>1000.0</v>
      </c>
      <c r="D39" s="7">
        <f>Y38</f>
        <v>0.0</v>
      </c>
      <c r="E39" s="7">
        <f>Parameters!$E$6*C39</f>
        <v>100.0</v>
      </c>
      <c r="F39" s="7">
        <f>IF(Parameters!$E$5=1,E39,0)</f>
        <v>0.0</v>
      </c>
      <c r="G39" s="7">
        <f>Parameters!$E$27*G38+F39</f>
        <v>0.0</v>
      </c>
      <c r="H39" s="7">
        <f>IF(AND(Parameters!$E$5=1,Parameters!$E$26=1),SUMPRODUCT(--($A$5:A39&lt;A39),--(MOD(A39-$A$5:A39,Parameters!$E$28)=0),$F$5:F39,POWER(Parameters!$E$27,IF(A39-$A$5:A39=0,1,A39-$A$5:A39))),0)</f>
        <v>0.0</v>
      </c>
      <c r="I39" s="7">
        <f>Parameters!$E$23*I38+B39*Parameters!$E$22</f>
        <v>0.0</v>
      </c>
      <c r="J39" s="7">
        <f>E39*Parameters!$E$14*(1-Parameters!$E$15)</f>
        <v>1900.0</v>
      </c>
      <c r="K39" s="7">
        <f>H39*Parameters!$E$29</f>
        <v>0.0</v>
      </c>
      <c r="L39" s="7">
        <f>I39*Parameters!$E$24</f>
        <v>0.0</v>
      </c>
      <c r="M39" s="7">
        <f>J39+K39+L39</f>
        <v>1900.0</v>
      </c>
      <c r="N39" s="7">
        <f>C39*Parameters!$E$17+D39*Parameters!$E$18+E39*Parameters!$E$16+I39*Parameters!$E$25+G39*Parameters!$E$30</f>
        <v>300.0</v>
      </c>
      <c r="O39" s="7">
        <f>B39*Parameters!$E$19</f>
        <v>1000</v>
      </c>
      <c r="P39" s="7">
        <f>M39-N39-O39</f>
        <v>600.0</v>
      </c>
      <c r="Q39" s="7">
        <f>Parameters!$E$21</f>
        <v>1000</v>
      </c>
      <c r="R39" s="7">
        <f>P39-Q39</f>
        <v>-400.0</v>
      </c>
      <c r="S39" s="7">
        <f>IF(A39&lt;1+Parameters!$E$31,0,INDEX($M$5:$M$40,A39-Parameters!$E$31))</f>
        <v>1900.0</v>
      </c>
      <c r="T39" s="7">
        <f>T38+M39-S39</f>
        <v>1900.0</v>
      </c>
      <c r="U39" s="7">
        <f>S39-N39-O39-Q39</f>
        <v>-400.0</v>
      </c>
      <c r="V39" s="7">
        <f>V38+U39</f>
        <v>-15900.0</v>
      </c>
      <c r="W39" s="7">
        <f>(1-Parameters!$E$7)*(C39-E39)+(1-Parameters!$E$8)*(D39+E39)</f>
        <v>1000.0</v>
      </c>
      <c r="X39" s="7">
        <f>Parameters!$E$7*(C39-E39)+Parameters!$E$8*Parameters!$E$9*(D39+E39)</f>
        <v>0.0</v>
      </c>
      <c r="Y39" s="7">
        <f>Parameters!$E$8*(1-Parameters!$E$9)*(D39+E39)</f>
        <v>0.0</v>
      </c>
      <c r="Z39" s="7">
        <f>POWER(1/(1+Parameters!$E$32),A39-1)*(M39-N39)</f>
        <v>1140.7573457836265</v>
      </c>
    </row>
    <row r="40" spans="1:26">
      <c r="A40" s="7">
        <v>36</v>
      </c>
      <c r="B40" s="7">
        <f>Parameters!$E$20</f>
        <v>1000</v>
      </c>
      <c r="C40" s="7">
        <f>X39+B40</f>
        <v>1000.0</v>
      </c>
      <c r="D40" s="7">
        <f>Y39</f>
        <v>0.0</v>
      </c>
      <c r="E40" s="7">
        <f>Parameters!$E$6*C40</f>
        <v>100.0</v>
      </c>
      <c r="F40" s="7">
        <f>IF(Parameters!$E$5=1,E40,0)</f>
        <v>0.0</v>
      </c>
      <c r="G40" s="7">
        <f>Parameters!$E$27*G39+F40</f>
        <v>0.0</v>
      </c>
      <c r="H40" s="7">
        <f>IF(AND(Parameters!$E$5=1,Parameters!$E$26=1),SUMPRODUCT(--($A$5:A40&lt;A40),--(MOD(A40-$A$5:A40,Parameters!$E$28)=0),$F$5:F40,POWER(Parameters!$E$27,IF(A40-$A$5:A40=0,1,A40-$A$5:A40))),0)</f>
        <v>0.0</v>
      </c>
      <c r="I40" s="7">
        <f>Parameters!$E$23*I39+B40*Parameters!$E$22</f>
        <v>0.0</v>
      </c>
      <c r="J40" s="7">
        <f>E40*Parameters!$E$14*(1-Parameters!$E$15)</f>
        <v>1900.0</v>
      </c>
      <c r="K40" s="7">
        <f>H40*Parameters!$E$29</f>
        <v>0.0</v>
      </c>
      <c r="L40" s="7">
        <f>I40*Parameters!$E$24</f>
        <v>0.0</v>
      </c>
      <c r="M40" s="7">
        <f>J40+K40+L40</f>
        <v>1900.0</v>
      </c>
      <c r="N40" s="7">
        <f>C40*Parameters!$E$17+D40*Parameters!$E$18+E40*Parameters!$E$16+I40*Parameters!$E$25+G40*Parameters!$E$30</f>
        <v>300.0</v>
      </c>
      <c r="O40" s="7">
        <f>B40*Parameters!$E$19</f>
        <v>1000</v>
      </c>
      <c r="P40" s="7">
        <f>M40-N40-O40</f>
        <v>600.0</v>
      </c>
      <c r="Q40" s="7">
        <f>Parameters!$E$21</f>
        <v>1000</v>
      </c>
      <c r="R40" s="7">
        <f>P40-Q40</f>
        <v>-400.0</v>
      </c>
      <c r="S40" s="7">
        <f>IF(A40&lt;1+Parameters!$E$31,0,INDEX($M$5:$M$40,A40-Parameters!$E$31))</f>
        <v>1900.0</v>
      </c>
      <c r="T40" s="7">
        <f>T39+M40-S40</f>
        <v>1900.0</v>
      </c>
      <c r="U40" s="7">
        <f>S40-N40-O40-Q40</f>
        <v>-400.0</v>
      </c>
      <c r="V40" s="7">
        <f>V39+U40</f>
        <v>-16300.0</v>
      </c>
      <c r="W40" s="7">
        <f>(1-Parameters!$E$7)*(C40-E40)+(1-Parameters!$E$8)*(D40+E40)</f>
        <v>1000.0</v>
      </c>
      <c r="X40" s="7">
        <f>Parameters!$E$7*(C40-E40)+Parameters!$E$8*Parameters!$E$9*(D40+E40)</f>
        <v>0.0</v>
      </c>
      <c r="Y40" s="7">
        <f>Parameters!$E$8*(1-Parameters!$E$9)*(D40+E40)</f>
        <v>0.0</v>
      </c>
      <c r="Z40" s="7">
        <f>POWER(1/(1+Parameters!$E$32),A40-1)*(M40-N40)</f>
        <v>1129.46271859765</v>
      </c>
    </row>
    <row r="43" spans="1:26">
      <c r="A43" s="1" t="s">
        <v>189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45" customHeight="1">
      <c r="A44" s="4" t="s">
        <v>164</v>
      </c>
      <c r="B44" s="4" t="s">
        <v>165</v>
      </c>
      <c r="C44" s="4" t="s">
        <v>166</v>
      </c>
      <c r="D44" s="4" t="s">
        <v>167</v>
      </c>
      <c r="E44" s="4" t="s">
        <v>168</v>
      </c>
      <c r="F44" s="4" t="s">
        <v>169</v>
      </c>
      <c r="G44" s="4" t="s">
        <v>170</v>
      </c>
      <c r="H44" s="4" t="s">
        <v>171</v>
      </c>
      <c r="I44" s="4" t="s">
        <v>172</v>
      </c>
      <c r="J44" s="4" t="s">
        <v>173</v>
      </c>
      <c r="K44" s="4" t="s">
        <v>174</v>
      </c>
      <c r="L44" s="4" t="s">
        <v>175</v>
      </c>
      <c r="M44" s="4" t="s">
        <v>176</v>
      </c>
      <c r="N44" s="4" t="s">
        <v>177</v>
      </c>
      <c r="O44" s="4" t="s">
        <v>99</v>
      </c>
      <c r="P44" s="4" t="s">
        <v>178</v>
      </c>
      <c r="Q44" s="4" t="s">
        <v>179</v>
      </c>
      <c r="R44" s="4" t="s">
        <v>180</v>
      </c>
      <c r="S44" s="4" t="s">
        <v>181</v>
      </c>
      <c r="T44" s="4" t="s">
        <v>182</v>
      </c>
      <c r="U44" s="4" t="s">
        <v>183</v>
      </c>
      <c r="V44" s="4" t="s">
        <v>184</v>
      </c>
      <c r="W44" s="4" t="s">
        <v>185</v>
      </c>
      <c r="X44" s="4" t="s">
        <v>186</v>
      </c>
      <c r="Y44" s="4" t="s">
        <v>187</v>
      </c>
      <c r="Z44" s="4" t="s">
        <v>188</v>
      </c>
    </row>
    <row r="45" spans="1:26">
      <c r="A45" s="7">
        <v>1</v>
      </c>
      <c r="B45" s="7">
        <f>1</f>
        <v>1</v>
      </c>
      <c r="C45" s="7">
        <f>B45</f>
        <v>1</v>
      </c>
      <c r="D45" s="7">
        <f>0</f>
        <v>0.0</v>
      </c>
      <c r="E45" s="7">
        <f>Parameters!$E$6*C45</f>
        <v>0.1</v>
      </c>
      <c r="F45" s="7">
        <f>IF(Parameters!$E$5=1,E45,0)</f>
        <v>0.0</v>
      </c>
      <c r="G45" s="7">
        <f>F45</f>
        <v>0.0</v>
      </c>
      <c r="H45" s="7">
        <f>IF(AND(Parameters!$E$5=1,Parameters!$E$26=1),SUMPRODUCT(--($A$45:A45&lt;A45),--(MOD(A45-$A$45:A45,Parameters!$E$28)=0),$F$45:F45,POWER(Parameters!$E$27,IF(A45-$A$45:A45=0,1,A45-$A$45:A45))),0)</f>
        <v>0.0</v>
      </c>
      <c r="I45" s="7">
        <f>B45*Parameters!$E$22</f>
        <v>0.0</v>
      </c>
      <c r="J45" s="7">
        <f>E45*Parameters!$E$14*(1-Parameters!$E$15)</f>
        <v>1.9</v>
      </c>
      <c r="K45" s="7">
        <f>H45*Parameters!$E$29</f>
        <v>0.0</v>
      </c>
      <c r="L45" s="7">
        <f>I45*Parameters!$E$24</f>
        <v>0.0</v>
      </c>
      <c r="M45" s="7">
        <f>J45+K45+L45</f>
        <v>1.9</v>
      </c>
      <c r="N45" s="7">
        <f>C45*Parameters!$E$17+D45*Parameters!$E$18+E45*Parameters!$E$16+I45*Parameters!$E$25+G45*Parameters!$E$30</f>
        <v>0.30000000000000004</v>
      </c>
      <c r="O45" s="7">
        <f>0</f>
        <v>0</v>
      </c>
      <c r="P45" s="7">
        <f>M45-N45-O45</f>
        <v>1.5999999999999999</v>
      </c>
      <c r="Q45" s="7">
        <f>0</f>
        <v>0</v>
      </c>
      <c r="R45" s="7">
        <f>P45-Q45</f>
        <v>1.5999999999999999</v>
      </c>
      <c r="S45" s="7">
        <f>IF(A45&lt;1+Parameters!$E$31,0,INDEX($M$45:$M$80,A45-Parameters!$E$31))</f>
        <v>0.0</v>
      </c>
      <c r="T45" s="7">
        <f>M45-S45</f>
        <v>1.9</v>
      </c>
      <c r="U45" s="7">
        <f>S45-N45-O45-Q45</f>
        <v>-0.30000000000000004</v>
      </c>
      <c r="V45" s="7">
        <f>U45</f>
        <v>-0.30000000000000004</v>
      </c>
      <c r="W45" s="7">
        <f>(1-Parameters!$E$7)*(C45-E45)+(1-Parameters!$E$8)*(D45+E45)</f>
        <v>1.0</v>
      </c>
      <c r="X45" s="7">
        <f>Parameters!$E$7*(C45-E45)+Parameters!$E$8*Parameters!$E$9*(D45+E45)</f>
        <v>0.0</v>
      </c>
      <c r="Y45" s="7">
        <f>Parameters!$E$8*(1-Parameters!$E$9)*(D45+E45)</f>
        <v>0.0</v>
      </c>
      <c r="Z45" s="7">
        <f>POWER(1/(1+Parameters!$E$32),A45-1)*(M45-N45)</f>
        <v>1.5999999999999999</v>
      </c>
    </row>
    <row r="46" spans="1:26">
      <c r="A46" s="7">
        <v>2</v>
      </c>
      <c r="B46" s="7">
        <f>0</f>
        <v>0</v>
      </c>
      <c r="C46" s="7">
        <f>X45+B46</f>
        <v>0.0</v>
      </c>
      <c r="D46" s="7">
        <f>Y45</f>
        <v>0.0</v>
      </c>
      <c r="E46" s="7">
        <f>Parameters!$E$6*C46</f>
        <v>0.0</v>
      </c>
      <c r="F46" s="7">
        <f>IF(Parameters!$E$5=1,E46,0)</f>
        <v>0.0</v>
      </c>
      <c r="G46" s="7">
        <f>Parameters!$E$27*G45+F46</f>
        <v>0.0</v>
      </c>
      <c r="H46" s="7">
        <f>IF(AND(Parameters!$E$5=1,Parameters!$E$26=1),SUMPRODUCT(--($A$45:A46&lt;A46),--(MOD(A46-$A$45:A46,Parameters!$E$28)=0),$F$45:F46,POWER(Parameters!$E$27,IF(A46-$A$45:A46=0,1,A46-$A$45:A46))),0)</f>
        <v>0.0</v>
      </c>
      <c r="I46" s="7">
        <f>Parameters!$E$23*I45+B46*Parameters!$E$22</f>
        <v>0.0</v>
      </c>
      <c r="J46" s="7">
        <f>E46*Parameters!$E$14*(1-Parameters!$E$15)</f>
        <v>0.0</v>
      </c>
      <c r="K46" s="7">
        <f>H46*Parameters!$E$29</f>
        <v>0.0</v>
      </c>
      <c r="L46" s="7">
        <f>I46*Parameters!$E$24</f>
        <v>0.0</v>
      </c>
      <c r="M46" s="7">
        <f>J46+K46+L46</f>
        <v>0.0</v>
      </c>
      <c r="N46" s="7">
        <f>C46*Parameters!$E$17+D46*Parameters!$E$18+E46*Parameters!$E$16+I46*Parameters!$E$25+G46*Parameters!$E$30</f>
        <v>0.0</v>
      </c>
      <c r="O46" s="7">
        <f>0</f>
        <v>0</v>
      </c>
      <c r="P46" s="7">
        <f>M46-N46-O46</f>
        <v>0.0</v>
      </c>
      <c r="Q46" s="7">
        <f>0</f>
        <v>0</v>
      </c>
      <c r="R46" s="7">
        <f>P46-Q46</f>
        <v>0.0</v>
      </c>
      <c r="S46" s="7">
        <f>IF(A46&lt;1+Parameters!$E$31,0,INDEX($M$45:$M$80,A46-Parameters!$E$31))</f>
        <v>1.9</v>
      </c>
      <c r="T46" s="7">
        <f>T45+M46-S46</f>
        <v>0.0</v>
      </c>
      <c r="U46" s="7">
        <f>S46-N46-O46-Q46</f>
        <v>1.9</v>
      </c>
      <c r="V46" s="7">
        <f>V45+U46</f>
        <v>1.5999999999999999</v>
      </c>
      <c r="W46" s="7">
        <f>(1-Parameters!$E$7)*(C46-E46)+(1-Parameters!$E$8)*(D46+E46)</f>
        <v>0.0</v>
      </c>
      <c r="X46" s="7">
        <f>Parameters!$E$7*(C46-E46)+Parameters!$E$8*Parameters!$E$9*(D46+E46)</f>
        <v>0.0</v>
      </c>
      <c r="Y46" s="7">
        <f>Parameters!$E$8*(1-Parameters!$E$9)*(D46+E46)</f>
        <v>0.0</v>
      </c>
      <c r="Z46" s="7">
        <f>POWER(1/(1+Parameters!$E$32),A46-1)*(M46-N46)</f>
        <v>0.0</v>
      </c>
    </row>
    <row r="47" spans="1:26">
      <c r="A47" s="7">
        <v>3</v>
      </c>
      <c r="B47" s="7">
        <f>0</f>
        <v>0</v>
      </c>
      <c r="C47" s="7">
        <f>X46+B47</f>
        <v>0.0</v>
      </c>
      <c r="D47" s="7">
        <f>Y46</f>
        <v>0.0</v>
      </c>
      <c r="E47" s="7">
        <f>Parameters!$E$6*C47</f>
        <v>0.0</v>
      </c>
      <c r="F47" s="7">
        <f>IF(Parameters!$E$5=1,E47,0)</f>
        <v>0.0</v>
      </c>
      <c r="G47" s="7">
        <f>Parameters!$E$27*G46+F47</f>
        <v>0.0</v>
      </c>
      <c r="H47" s="7">
        <f>IF(AND(Parameters!$E$5=1,Parameters!$E$26=1),SUMPRODUCT(--($A$45:A47&lt;A47),--(MOD(A47-$A$45:A47,Parameters!$E$28)=0),$F$45:F47,POWER(Parameters!$E$27,IF(A47-$A$45:A47=0,1,A47-$A$45:A47))),0)</f>
        <v>0.0</v>
      </c>
      <c r="I47" s="7">
        <f>Parameters!$E$23*I46+B47*Parameters!$E$22</f>
        <v>0.0</v>
      </c>
      <c r="J47" s="7">
        <f>E47*Parameters!$E$14*(1-Parameters!$E$15)</f>
        <v>0.0</v>
      </c>
      <c r="K47" s="7">
        <f>H47*Parameters!$E$29</f>
        <v>0.0</v>
      </c>
      <c r="L47" s="7">
        <f>I47*Parameters!$E$24</f>
        <v>0.0</v>
      </c>
      <c r="M47" s="7">
        <f>J47+K47+L47</f>
        <v>0.0</v>
      </c>
      <c r="N47" s="7">
        <f>C47*Parameters!$E$17+D47*Parameters!$E$18+E47*Parameters!$E$16+I47*Parameters!$E$25+G47*Parameters!$E$30</f>
        <v>0.0</v>
      </c>
      <c r="O47" s="7">
        <f>0</f>
        <v>0</v>
      </c>
      <c r="P47" s="7">
        <f>M47-N47-O47</f>
        <v>0.0</v>
      </c>
      <c r="Q47" s="7">
        <f>0</f>
        <v>0</v>
      </c>
      <c r="R47" s="7">
        <f>P47-Q47</f>
        <v>0.0</v>
      </c>
      <c r="S47" s="7">
        <f>IF(A47&lt;1+Parameters!$E$31,0,INDEX($M$45:$M$80,A47-Parameters!$E$31))</f>
        <v>0.0</v>
      </c>
      <c r="T47" s="7">
        <f>T46+M47-S47</f>
        <v>0.0</v>
      </c>
      <c r="U47" s="7">
        <f>S47-N47-O47-Q47</f>
        <v>0.0</v>
      </c>
      <c r="V47" s="7">
        <f>V46+U47</f>
        <v>1.5999999999999999</v>
      </c>
      <c r="W47" s="7">
        <f>(1-Parameters!$E$7)*(C47-E47)+(1-Parameters!$E$8)*(D47+E47)</f>
        <v>0.0</v>
      </c>
      <c r="X47" s="7">
        <f>Parameters!$E$7*(C47-E47)+Parameters!$E$8*Parameters!$E$9*(D47+E47)</f>
        <v>0.0</v>
      </c>
      <c r="Y47" s="7">
        <f>Parameters!$E$8*(1-Parameters!$E$9)*(D47+E47)</f>
        <v>0.0</v>
      </c>
      <c r="Z47" s="7">
        <f>POWER(1/(1+Parameters!$E$32),A47-1)*(M47-N47)</f>
        <v>0.0</v>
      </c>
    </row>
    <row r="48" spans="1:26">
      <c r="A48" s="7">
        <v>4</v>
      </c>
      <c r="B48" s="7">
        <f>0</f>
        <v>0</v>
      </c>
      <c r="C48" s="7">
        <f>X47+B48</f>
        <v>0.0</v>
      </c>
      <c r="D48" s="7">
        <f>Y47</f>
        <v>0.0</v>
      </c>
      <c r="E48" s="7">
        <f>Parameters!$E$6*C48</f>
        <v>0.0</v>
      </c>
      <c r="F48" s="7">
        <f>IF(Parameters!$E$5=1,E48,0)</f>
        <v>0.0</v>
      </c>
      <c r="G48" s="7">
        <f>Parameters!$E$27*G47+F48</f>
        <v>0.0</v>
      </c>
      <c r="H48" s="7">
        <f>IF(AND(Parameters!$E$5=1,Parameters!$E$26=1),SUMPRODUCT(--($A$45:A48&lt;A48),--(MOD(A48-$A$45:A48,Parameters!$E$28)=0),$F$45:F48,POWER(Parameters!$E$27,IF(A48-$A$45:A48=0,1,A48-$A$45:A48))),0)</f>
        <v>0.0</v>
      </c>
      <c r="I48" s="7">
        <f>Parameters!$E$23*I47+B48*Parameters!$E$22</f>
        <v>0.0</v>
      </c>
      <c r="J48" s="7">
        <f>E48*Parameters!$E$14*(1-Parameters!$E$15)</f>
        <v>0.0</v>
      </c>
      <c r="K48" s="7">
        <f>H48*Parameters!$E$29</f>
        <v>0.0</v>
      </c>
      <c r="L48" s="7">
        <f>I48*Parameters!$E$24</f>
        <v>0.0</v>
      </c>
      <c r="M48" s="7">
        <f>J48+K48+L48</f>
        <v>0.0</v>
      </c>
      <c r="N48" s="7">
        <f>C48*Parameters!$E$17+D48*Parameters!$E$18+E48*Parameters!$E$16+I48*Parameters!$E$25+G48*Parameters!$E$30</f>
        <v>0.0</v>
      </c>
      <c r="O48" s="7">
        <f>0</f>
        <v>0</v>
      </c>
      <c r="P48" s="7">
        <f>M48-N48-O48</f>
        <v>0.0</v>
      </c>
      <c r="Q48" s="7">
        <f>0</f>
        <v>0</v>
      </c>
      <c r="R48" s="7">
        <f>P48-Q48</f>
        <v>0.0</v>
      </c>
      <c r="S48" s="7">
        <f>IF(A48&lt;1+Parameters!$E$31,0,INDEX($M$45:$M$80,A48-Parameters!$E$31))</f>
        <v>0.0</v>
      </c>
      <c r="T48" s="7">
        <f>T47+M48-S48</f>
        <v>0.0</v>
      </c>
      <c r="U48" s="7">
        <f>S48-N48-O48-Q48</f>
        <v>0.0</v>
      </c>
      <c r="V48" s="7">
        <f>V47+U48</f>
        <v>1.5999999999999999</v>
      </c>
      <c r="W48" s="7">
        <f>(1-Parameters!$E$7)*(C48-E48)+(1-Parameters!$E$8)*(D48+E48)</f>
        <v>0.0</v>
      </c>
      <c r="X48" s="7">
        <f>Parameters!$E$7*(C48-E48)+Parameters!$E$8*Parameters!$E$9*(D48+E48)</f>
        <v>0.0</v>
      </c>
      <c r="Y48" s="7">
        <f>Parameters!$E$8*(1-Parameters!$E$9)*(D48+E48)</f>
        <v>0.0</v>
      </c>
      <c r="Z48" s="7">
        <f>POWER(1/(1+Parameters!$E$32),A48-1)*(M48-N48)</f>
        <v>0.0</v>
      </c>
    </row>
    <row r="49" spans="1:26">
      <c r="A49" s="7">
        <v>5</v>
      </c>
      <c r="B49" s="7">
        <f>0</f>
        <v>0</v>
      </c>
      <c r="C49" s="7">
        <f>X48+B49</f>
        <v>0.0</v>
      </c>
      <c r="D49" s="7">
        <f>Y48</f>
        <v>0.0</v>
      </c>
      <c r="E49" s="7">
        <f>Parameters!$E$6*C49</f>
        <v>0.0</v>
      </c>
      <c r="F49" s="7">
        <f>IF(Parameters!$E$5=1,E49,0)</f>
        <v>0.0</v>
      </c>
      <c r="G49" s="7">
        <f>Parameters!$E$27*G48+F49</f>
        <v>0.0</v>
      </c>
      <c r="H49" s="7">
        <f>IF(AND(Parameters!$E$5=1,Parameters!$E$26=1),SUMPRODUCT(--($A$45:A49&lt;A49),--(MOD(A49-$A$45:A49,Parameters!$E$28)=0),$F$45:F49,POWER(Parameters!$E$27,IF(A49-$A$45:A49=0,1,A49-$A$45:A49))),0)</f>
        <v>0.0</v>
      </c>
      <c r="I49" s="7">
        <f>Parameters!$E$23*I48+B49*Parameters!$E$22</f>
        <v>0.0</v>
      </c>
      <c r="J49" s="7">
        <f>E49*Parameters!$E$14*(1-Parameters!$E$15)</f>
        <v>0.0</v>
      </c>
      <c r="K49" s="7">
        <f>H49*Parameters!$E$29</f>
        <v>0.0</v>
      </c>
      <c r="L49" s="7">
        <f>I49*Parameters!$E$24</f>
        <v>0.0</v>
      </c>
      <c r="M49" s="7">
        <f>J49+K49+L49</f>
        <v>0.0</v>
      </c>
      <c r="N49" s="7">
        <f>C49*Parameters!$E$17+D49*Parameters!$E$18+E49*Parameters!$E$16+I49*Parameters!$E$25+G49*Parameters!$E$30</f>
        <v>0.0</v>
      </c>
      <c r="O49" s="7">
        <f>0</f>
        <v>0</v>
      </c>
      <c r="P49" s="7">
        <f>M49-N49-O49</f>
        <v>0.0</v>
      </c>
      <c r="Q49" s="7">
        <f>0</f>
        <v>0</v>
      </c>
      <c r="R49" s="7">
        <f>P49-Q49</f>
        <v>0.0</v>
      </c>
      <c r="S49" s="7">
        <f>IF(A49&lt;1+Parameters!$E$31,0,INDEX($M$45:$M$80,A49-Parameters!$E$31))</f>
        <v>0.0</v>
      </c>
      <c r="T49" s="7">
        <f>T48+M49-S49</f>
        <v>0.0</v>
      </c>
      <c r="U49" s="7">
        <f>S49-N49-O49-Q49</f>
        <v>0.0</v>
      </c>
      <c r="V49" s="7">
        <f>V48+U49</f>
        <v>1.5999999999999999</v>
      </c>
      <c r="W49" s="7">
        <f>(1-Parameters!$E$7)*(C49-E49)+(1-Parameters!$E$8)*(D49+E49)</f>
        <v>0.0</v>
      </c>
      <c r="X49" s="7">
        <f>Parameters!$E$7*(C49-E49)+Parameters!$E$8*Parameters!$E$9*(D49+E49)</f>
        <v>0.0</v>
      </c>
      <c r="Y49" s="7">
        <f>Parameters!$E$8*(1-Parameters!$E$9)*(D49+E49)</f>
        <v>0.0</v>
      </c>
      <c r="Z49" s="7">
        <f>POWER(1/(1+Parameters!$E$32),A49-1)*(M49-N49)</f>
        <v>0.0</v>
      </c>
    </row>
    <row r="50" spans="1:26">
      <c r="A50" s="7">
        <v>6</v>
      </c>
      <c r="B50" s="7">
        <f>0</f>
        <v>0</v>
      </c>
      <c r="C50" s="7">
        <f>X49+B50</f>
        <v>0.0</v>
      </c>
      <c r="D50" s="7">
        <f>Y49</f>
        <v>0.0</v>
      </c>
      <c r="E50" s="7">
        <f>Parameters!$E$6*C50</f>
        <v>0.0</v>
      </c>
      <c r="F50" s="7">
        <f>IF(Parameters!$E$5=1,E50,0)</f>
        <v>0.0</v>
      </c>
      <c r="G50" s="7">
        <f>Parameters!$E$27*G49+F50</f>
        <v>0.0</v>
      </c>
      <c r="H50" s="7">
        <f>IF(AND(Parameters!$E$5=1,Parameters!$E$26=1),SUMPRODUCT(--($A$45:A50&lt;A50),--(MOD(A50-$A$45:A50,Parameters!$E$28)=0),$F$45:F50,POWER(Parameters!$E$27,IF(A50-$A$45:A50=0,1,A50-$A$45:A50))),0)</f>
        <v>0.0</v>
      </c>
      <c r="I50" s="7">
        <f>Parameters!$E$23*I49+B50*Parameters!$E$22</f>
        <v>0.0</v>
      </c>
      <c r="J50" s="7">
        <f>E50*Parameters!$E$14*(1-Parameters!$E$15)</f>
        <v>0.0</v>
      </c>
      <c r="K50" s="7">
        <f>H50*Parameters!$E$29</f>
        <v>0.0</v>
      </c>
      <c r="L50" s="7">
        <f>I50*Parameters!$E$24</f>
        <v>0.0</v>
      </c>
      <c r="M50" s="7">
        <f>J50+K50+L50</f>
        <v>0.0</v>
      </c>
      <c r="N50" s="7">
        <f>C50*Parameters!$E$17+D50*Parameters!$E$18+E50*Parameters!$E$16+I50*Parameters!$E$25+G50*Parameters!$E$30</f>
        <v>0.0</v>
      </c>
      <c r="O50" s="7">
        <f>0</f>
        <v>0</v>
      </c>
      <c r="P50" s="7">
        <f>M50-N50-O50</f>
        <v>0.0</v>
      </c>
      <c r="Q50" s="7">
        <f>0</f>
        <v>0</v>
      </c>
      <c r="R50" s="7">
        <f>P50-Q50</f>
        <v>0.0</v>
      </c>
      <c r="S50" s="7">
        <f>IF(A50&lt;1+Parameters!$E$31,0,INDEX($M$45:$M$80,A50-Parameters!$E$31))</f>
        <v>0.0</v>
      </c>
      <c r="T50" s="7">
        <f>T49+M50-S50</f>
        <v>0.0</v>
      </c>
      <c r="U50" s="7">
        <f>S50-N50-O50-Q50</f>
        <v>0.0</v>
      </c>
      <c r="V50" s="7">
        <f>V49+U50</f>
        <v>1.5999999999999999</v>
      </c>
      <c r="W50" s="7">
        <f>(1-Parameters!$E$7)*(C50-E50)+(1-Parameters!$E$8)*(D50+E50)</f>
        <v>0.0</v>
      </c>
      <c r="X50" s="7">
        <f>Parameters!$E$7*(C50-E50)+Parameters!$E$8*Parameters!$E$9*(D50+E50)</f>
        <v>0.0</v>
      </c>
      <c r="Y50" s="7">
        <f>Parameters!$E$8*(1-Parameters!$E$9)*(D50+E50)</f>
        <v>0.0</v>
      </c>
      <c r="Z50" s="7">
        <f>POWER(1/(1+Parameters!$E$32),A50-1)*(M50-N50)</f>
        <v>0.0</v>
      </c>
    </row>
    <row r="51" spans="1:26">
      <c r="A51" s="7">
        <v>7</v>
      </c>
      <c r="B51" s="7">
        <f>0</f>
        <v>0</v>
      </c>
      <c r="C51" s="7">
        <f>X50+B51</f>
        <v>0.0</v>
      </c>
      <c r="D51" s="7">
        <f>Y50</f>
        <v>0.0</v>
      </c>
      <c r="E51" s="7">
        <f>Parameters!$E$6*C51</f>
        <v>0.0</v>
      </c>
      <c r="F51" s="7">
        <f>IF(Parameters!$E$5=1,E51,0)</f>
        <v>0.0</v>
      </c>
      <c r="G51" s="7">
        <f>Parameters!$E$27*G50+F51</f>
        <v>0.0</v>
      </c>
      <c r="H51" s="7">
        <f>IF(AND(Parameters!$E$5=1,Parameters!$E$26=1),SUMPRODUCT(--($A$45:A51&lt;A51),--(MOD(A51-$A$45:A51,Parameters!$E$28)=0),$F$45:F51,POWER(Parameters!$E$27,IF(A51-$A$45:A51=0,1,A51-$A$45:A51))),0)</f>
        <v>0.0</v>
      </c>
      <c r="I51" s="7">
        <f>Parameters!$E$23*I50+B51*Parameters!$E$22</f>
        <v>0.0</v>
      </c>
      <c r="J51" s="7">
        <f>E51*Parameters!$E$14*(1-Parameters!$E$15)</f>
        <v>0.0</v>
      </c>
      <c r="K51" s="7">
        <f>H51*Parameters!$E$29</f>
        <v>0.0</v>
      </c>
      <c r="L51" s="7">
        <f>I51*Parameters!$E$24</f>
        <v>0.0</v>
      </c>
      <c r="M51" s="7">
        <f>J51+K51+L51</f>
        <v>0.0</v>
      </c>
      <c r="N51" s="7">
        <f>C51*Parameters!$E$17+D51*Parameters!$E$18+E51*Parameters!$E$16+I51*Parameters!$E$25+G51*Parameters!$E$30</f>
        <v>0.0</v>
      </c>
      <c r="O51" s="7">
        <f>0</f>
        <v>0</v>
      </c>
      <c r="P51" s="7">
        <f>M51-N51-O51</f>
        <v>0.0</v>
      </c>
      <c r="Q51" s="7">
        <f>0</f>
        <v>0</v>
      </c>
      <c r="R51" s="7">
        <f>P51-Q51</f>
        <v>0.0</v>
      </c>
      <c r="S51" s="7">
        <f>IF(A51&lt;1+Parameters!$E$31,0,INDEX($M$45:$M$80,A51-Parameters!$E$31))</f>
        <v>0.0</v>
      </c>
      <c r="T51" s="7">
        <f>T50+M51-S51</f>
        <v>0.0</v>
      </c>
      <c r="U51" s="7">
        <f>S51-N51-O51-Q51</f>
        <v>0.0</v>
      </c>
      <c r="V51" s="7">
        <f>V50+U51</f>
        <v>1.5999999999999999</v>
      </c>
      <c r="W51" s="7">
        <f>(1-Parameters!$E$7)*(C51-E51)+(1-Parameters!$E$8)*(D51+E51)</f>
        <v>0.0</v>
      </c>
      <c r="X51" s="7">
        <f>Parameters!$E$7*(C51-E51)+Parameters!$E$8*Parameters!$E$9*(D51+E51)</f>
        <v>0.0</v>
      </c>
      <c r="Y51" s="7">
        <f>Parameters!$E$8*(1-Parameters!$E$9)*(D51+E51)</f>
        <v>0.0</v>
      </c>
      <c r="Z51" s="7">
        <f>POWER(1/(1+Parameters!$E$32),A51-1)*(M51-N51)</f>
        <v>0.0</v>
      </c>
    </row>
    <row r="52" spans="1:26">
      <c r="A52" s="7">
        <v>8</v>
      </c>
      <c r="B52" s="7">
        <f>0</f>
        <v>0</v>
      </c>
      <c r="C52" s="7">
        <f>X51+B52</f>
        <v>0.0</v>
      </c>
      <c r="D52" s="7">
        <f>Y51</f>
        <v>0.0</v>
      </c>
      <c r="E52" s="7">
        <f>Parameters!$E$6*C52</f>
        <v>0.0</v>
      </c>
      <c r="F52" s="7">
        <f>IF(Parameters!$E$5=1,E52,0)</f>
        <v>0.0</v>
      </c>
      <c r="G52" s="7">
        <f>Parameters!$E$27*G51+F52</f>
        <v>0.0</v>
      </c>
      <c r="H52" s="7">
        <f>IF(AND(Parameters!$E$5=1,Parameters!$E$26=1),SUMPRODUCT(--($A$45:A52&lt;A52),--(MOD(A52-$A$45:A52,Parameters!$E$28)=0),$F$45:F52,POWER(Parameters!$E$27,IF(A52-$A$45:A52=0,1,A52-$A$45:A52))),0)</f>
        <v>0.0</v>
      </c>
      <c r="I52" s="7">
        <f>Parameters!$E$23*I51+B52*Parameters!$E$22</f>
        <v>0.0</v>
      </c>
      <c r="J52" s="7">
        <f>E52*Parameters!$E$14*(1-Parameters!$E$15)</f>
        <v>0.0</v>
      </c>
      <c r="K52" s="7">
        <f>H52*Parameters!$E$29</f>
        <v>0.0</v>
      </c>
      <c r="L52" s="7">
        <f>I52*Parameters!$E$24</f>
        <v>0.0</v>
      </c>
      <c r="M52" s="7">
        <f>J52+K52+L52</f>
        <v>0.0</v>
      </c>
      <c r="N52" s="7">
        <f>C52*Parameters!$E$17+D52*Parameters!$E$18+E52*Parameters!$E$16+I52*Parameters!$E$25+G52*Parameters!$E$30</f>
        <v>0.0</v>
      </c>
      <c r="O52" s="7">
        <f>0</f>
        <v>0</v>
      </c>
      <c r="P52" s="7">
        <f>M52-N52-O52</f>
        <v>0.0</v>
      </c>
      <c r="Q52" s="7">
        <f>0</f>
        <v>0</v>
      </c>
      <c r="R52" s="7">
        <f>P52-Q52</f>
        <v>0.0</v>
      </c>
      <c r="S52" s="7">
        <f>IF(A52&lt;1+Parameters!$E$31,0,INDEX($M$45:$M$80,A52-Parameters!$E$31))</f>
        <v>0.0</v>
      </c>
      <c r="T52" s="7">
        <f>T51+M52-S52</f>
        <v>0.0</v>
      </c>
      <c r="U52" s="7">
        <f>S52-N52-O52-Q52</f>
        <v>0.0</v>
      </c>
      <c r="V52" s="7">
        <f>V51+U52</f>
        <v>1.5999999999999999</v>
      </c>
      <c r="W52" s="7">
        <f>(1-Parameters!$E$7)*(C52-E52)+(1-Parameters!$E$8)*(D52+E52)</f>
        <v>0.0</v>
      </c>
      <c r="X52" s="7">
        <f>Parameters!$E$7*(C52-E52)+Parameters!$E$8*Parameters!$E$9*(D52+E52)</f>
        <v>0.0</v>
      </c>
      <c r="Y52" s="7">
        <f>Parameters!$E$8*(1-Parameters!$E$9)*(D52+E52)</f>
        <v>0.0</v>
      </c>
      <c r="Z52" s="7">
        <f>POWER(1/(1+Parameters!$E$32),A52-1)*(M52-N52)</f>
        <v>0.0</v>
      </c>
    </row>
    <row r="53" spans="1:26">
      <c r="A53" s="7">
        <v>9</v>
      </c>
      <c r="B53" s="7">
        <f>0</f>
        <v>0</v>
      </c>
      <c r="C53" s="7">
        <f>X52+B53</f>
        <v>0.0</v>
      </c>
      <c r="D53" s="7">
        <f>Y52</f>
        <v>0.0</v>
      </c>
      <c r="E53" s="7">
        <f>Parameters!$E$6*C53</f>
        <v>0.0</v>
      </c>
      <c r="F53" s="7">
        <f>IF(Parameters!$E$5=1,E53,0)</f>
        <v>0.0</v>
      </c>
      <c r="G53" s="7">
        <f>Parameters!$E$27*G52+F53</f>
        <v>0.0</v>
      </c>
      <c r="H53" s="7">
        <f>IF(AND(Parameters!$E$5=1,Parameters!$E$26=1),SUMPRODUCT(--($A$45:A53&lt;A53),--(MOD(A53-$A$45:A53,Parameters!$E$28)=0),$F$45:F53,POWER(Parameters!$E$27,IF(A53-$A$45:A53=0,1,A53-$A$45:A53))),0)</f>
        <v>0.0</v>
      </c>
      <c r="I53" s="7">
        <f>Parameters!$E$23*I52+B53*Parameters!$E$22</f>
        <v>0.0</v>
      </c>
      <c r="J53" s="7">
        <f>E53*Parameters!$E$14*(1-Parameters!$E$15)</f>
        <v>0.0</v>
      </c>
      <c r="K53" s="7">
        <f>H53*Parameters!$E$29</f>
        <v>0.0</v>
      </c>
      <c r="L53" s="7">
        <f>I53*Parameters!$E$24</f>
        <v>0.0</v>
      </c>
      <c r="M53" s="7">
        <f>J53+K53+L53</f>
        <v>0.0</v>
      </c>
      <c r="N53" s="7">
        <f>C53*Parameters!$E$17+D53*Parameters!$E$18+E53*Parameters!$E$16+I53*Parameters!$E$25+G53*Parameters!$E$30</f>
        <v>0.0</v>
      </c>
      <c r="O53" s="7">
        <f>0</f>
        <v>0</v>
      </c>
      <c r="P53" s="7">
        <f>M53-N53-O53</f>
        <v>0.0</v>
      </c>
      <c r="Q53" s="7">
        <f>0</f>
        <v>0</v>
      </c>
      <c r="R53" s="7">
        <f>P53-Q53</f>
        <v>0.0</v>
      </c>
      <c r="S53" s="7">
        <f>IF(A53&lt;1+Parameters!$E$31,0,INDEX($M$45:$M$80,A53-Parameters!$E$31))</f>
        <v>0.0</v>
      </c>
      <c r="T53" s="7">
        <f>T52+M53-S53</f>
        <v>0.0</v>
      </c>
      <c r="U53" s="7">
        <f>S53-N53-O53-Q53</f>
        <v>0.0</v>
      </c>
      <c r="V53" s="7">
        <f>V52+U53</f>
        <v>1.5999999999999999</v>
      </c>
      <c r="W53" s="7">
        <f>(1-Parameters!$E$7)*(C53-E53)+(1-Parameters!$E$8)*(D53+E53)</f>
        <v>0.0</v>
      </c>
      <c r="X53" s="7">
        <f>Parameters!$E$7*(C53-E53)+Parameters!$E$8*Parameters!$E$9*(D53+E53)</f>
        <v>0.0</v>
      </c>
      <c r="Y53" s="7">
        <f>Parameters!$E$8*(1-Parameters!$E$9)*(D53+E53)</f>
        <v>0.0</v>
      </c>
      <c r="Z53" s="7">
        <f>POWER(1/(1+Parameters!$E$32),A53-1)*(M53-N53)</f>
        <v>0.0</v>
      </c>
    </row>
    <row r="54" spans="1:26">
      <c r="A54" s="7">
        <v>10</v>
      </c>
      <c r="B54" s="7">
        <f>0</f>
        <v>0</v>
      </c>
      <c r="C54" s="7">
        <f>X53+B54</f>
        <v>0.0</v>
      </c>
      <c r="D54" s="7">
        <f>Y53</f>
        <v>0.0</v>
      </c>
      <c r="E54" s="7">
        <f>Parameters!$E$6*C54</f>
        <v>0.0</v>
      </c>
      <c r="F54" s="7">
        <f>IF(Parameters!$E$5=1,E54,0)</f>
        <v>0.0</v>
      </c>
      <c r="G54" s="7">
        <f>Parameters!$E$27*G53+F54</f>
        <v>0.0</v>
      </c>
      <c r="H54" s="7">
        <f>IF(AND(Parameters!$E$5=1,Parameters!$E$26=1),SUMPRODUCT(--($A$45:A54&lt;A54),--(MOD(A54-$A$45:A54,Parameters!$E$28)=0),$F$45:F54,POWER(Parameters!$E$27,IF(A54-$A$45:A54=0,1,A54-$A$45:A54))),0)</f>
        <v>0.0</v>
      </c>
      <c r="I54" s="7">
        <f>Parameters!$E$23*I53+B54*Parameters!$E$22</f>
        <v>0.0</v>
      </c>
      <c r="J54" s="7">
        <f>E54*Parameters!$E$14*(1-Parameters!$E$15)</f>
        <v>0.0</v>
      </c>
      <c r="K54" s="7">
        <f>H54*Parameters!$E$29</f>
        <v>0.0</v>
      </c>
      <c r="L54" s="7">
        <f>I54*Parameters!$E$24</f>
        <v>0.0</v>
      </c>
      <c r="M54" s="7">
        <f>J54+K54+L54</f>
        <v>0.0</v>
      </c>
      <c r="N54" s="7">
        <f>C54*Parameters!$E$17+D54*Parameters!$E$18+E54*Parameters!$E$16+I54*Parameters!$E$25+G54*Parameters!$E$30</f>
        <v>0.0</v>
      </c>
      <c r="O54" s="7">
        <f>0</f>
        <v>0</v>
      </c>
      <c r="P54" s="7">
        <f>M54-N54-O54</f>
        <v>0.0</v>
      </c>
      <c r="Q54" s="7">
        <f>0</f>
        <v>0</v>
      </c>
      <c r="R54" s="7">
        <f>P54-Q54</f>
        <v>0.0</v>
      </c>
      <c r="S54" s="7">
        <f>IF(A54&lt;1+Parameters!$E$31,0,INDEX($M$45:$M$80,A54-Parameters!$E$31))</f>
        <v>0.0</v>
      </c>
      <c r="T54" s="7">
        <f>T53+M54-S54</f>
        <v>0.0</v>
      </c>
      <c r="U54" s="7">
        <f>S54-N54-O54-Q54</f>
        <v>0.0</v>
      </c>
      <c r="V54" s="7">
        <f>V53+U54</f>
        <v>1.5999999999999999</v>
      </c>
      <c r="W54" s="7">
        <f>(1-Parameters!$E$7)*(C54-E54)+(1-Parameters!$E$8)*(D54+E54)</f>
        <v>0.0</v>
      </c>
      <c r="X54" s="7">
        <f>Parameters!$E$7*(C54-E54)+Parameters!$E$8*Parameters!$E$9*(D54+E54)</f>
        <v>0.0</v>
      </c>
      <c r="Y54" s="7">
        <f>Parameters!$E$8*(1-Parameters!$E$9)*(D54+E54)</f>
        <v>0.0</v>
      </c>
      <c r="Z54" s="7">
        <f>POWER(1/(1+Parameters!$E$32),A54-1)*(M54-N54)</f>
        <v>0.0</v>
      </c>
    </row>
    <row r="55" spans="1:26">
      <c r="A55" s="7">
        <v>11</v>
      </c>
      <c r="B55" s="7">
        <f>0</f>
        <v>0</v>
      </c>
      <c r="C55" s="7">
        <f>X54+B55</f>
        <v>0.0</v>
      </c>
      <c r="D55" s="7">
        <f>Y54</f>
        <v>0.0</v>
      </c>
      <c r="E55" s="7">
        <f>Parameters!$E$6*C55</f>
        <v>0.0</v>
      </c>
      <c r="F55" s="7">
        <f>IF(Parameters!$E$5=1,E55,0)</f>
        <v>0.0</v>
      </c>
      <c r="G55" s="7">
        <f>Parameters!$E$27*G54+F55</f>
        <v>0.0</v>
      </c>
      <c r="H55" s="7">
        <f>IF(AND(Parameters!$E$5=1,Parameters!$E$26=1),SUMPRODUCT(--($A$45:A55&lt;A55),--(MOD(A55-$A$45:A55,Parameters!$E$28)=0),$F$45:F55,POWER(Parameters!$E$27,IF(A55-$A$45:A55=0,1,A55-$A$45:A55))),0)</f>
        <v>0.0</v>
      </c>
      <c r="I55" s="7">
        <f>Parameters!$E$23*I54+B55*Parameters!$E$22</f>
        <v>0.0</v>
      </c>
      <c r="J55" s="7">
        <f>E55*Parameters!$E$14*(1-Parameters!$E$15)</f>
        <v>0.0</v>
      </c>
      <c r="K55" s="7">
        <f>H55*Parameters!$E$29</f>
        <v>0.0</v>
      </c>
      <c r="L55" s="7">
        <f>I55*Parameters!$E$24</f>
        <v>0.0</v>
      </c>
      <c r="M55" s="7">
        <f>J55+K55+L55</f>
        <v>0.0</v>
      </c>
      <c r="N55" s="7">
        <f>C55*Parameters!$E$17+D55*Parameters!$E$18+E55*Parameters!$E$16+I55*Parameters!$E$25+G55*Parameters!$E$30</f>
        <v>0.0</v>
      </c>
      <c r="O55" s="7">
        <f>0</f>
        <v>0</v>
      </c>
      <c r="P55" s="7">
        <f>M55-N55-O55</f>
        <v>0.0</v>
      </c>
      <c r="Q55" s="7">
        <f>0</f>
        <v>0</v>
      </c>
      <c r="R55" s="7">
        <f>P55-Q55</f>
        <v>0.0</v>
      </c>
      <c r="S55" s="7">
        <f>IF(A55&lt;1+Parameters!$E$31,0,INDEX($M$45:$M$80,A55-Parameters!$E$31))</f>
        <v>0.0</v>
      </c>
      <c r="T55" s="7">
        <f>T54+M55-S55</f>
        <v>0.0</v>
      </c>
      <c r="U55" s="7">
        <f>S55-N55-O55-Q55</f>
        <v>0.0</v>
      </c>
      <c r="V55" s="7">
        <f>V54+U55</f>
        <v>1.5999999999999999</v>
      </c>
      <c r="W55" s="7">
        <f>(1-Parameters!$E$7)*(C55-E55)+(1-Parameters!$E$8)*(D55+E55)</f>
        <v>0.0</v>
      </c>
      <c r="X55" s="7">
        <f>Parameters!$E$7*(C55-E55)+Parameters!$E$8*Parameters!$E$9*(D55+E55)</f>
        <v>0.0</v>
      </c>
      <c r="Y55" s="7">
        <f>Parameters!$E$8*(1-Parameters!$E$9)*(D55+E55)</f>
        <v>0.0</v>
      </c>
      <c r="Z55" s="7">
        <f>POWER(1/(1+Parameters!$E$32),A55-1)*(M55-N55)</f>
        <v>0.0</v>
      </c>
    </row>
    <row r="56" spans="1:26">
      <c r="A56" s="7">
        <v>12</v>
      </c>
      <c r="B56" s="7">
        <f>0</f>
        <v>0</v>
      </c>
      <c r="C56" s="7">
        <f>X55+B56</f>
        <v>0.0</v>
      </c>
      <c r="D56" s="7">
        <f>Y55</f>
        <v>0.0</v>
      </c>
      <c r="E56" s="7">
        <f>Parameters!$E$6*C56</f>
        <v>0.0</v>
      </c>
      <c r="F56" s="7">
        <f>IF(Parameters!$E$5=1,E56,0)</f>
        <v>0.0</v>
      </c>
      <c r="G56" s="7">
        <f>Parameters!$E$27*G55+F56</f>
        <v>0.0</v>
      </c>
      <c r="H56" s="7">
        <f>IF(AND(Parameters!$E$5=1,Parameters!$E$26=1),SUMPRODUCT(--($A$45:A56&lt;A56),--(MOD(A56-$A$45:A56,Parameters!$E$28)=0),$F$45:F56,POWER(Parameters!$E$27,IF(A56-$A$45:A56=0,1,A56-$A$45:A56))),0)</f>
        <v>0.0</v>
      </c>
      <c r="I56" s="7">
        <f>Parameters!$E$23*I55+B56*Parameters!$E$22</f>
        <v>0.0</v>
      </c>
      <c r="J56" s="7">
        <f>E56*Parameters!$E$14*(1-Parameters!$E$15)</f>
        <v>0.0</v>
      </c>
      <c r="K56" s="7">
        <f>H56*Parameters!$E$29</f>
        <v>0.0</v>
      </c>
      <c r="L56" s="7">
        <f>I56*Parameters!$E$24</f>
        <v>0.0</v>
      </c>
      <c r="M56" s="7">
        <f>J56+K56+L56</f>
        <v>0.0</v>
      </c>
      <c r="N56" s="7">
        <f>C56*Parameters!$E$17+D56*Parameters!$E$18+E56*Parameters!$E$16+I56*Parameters!$E$25+G56*Parameters!$E$30</f>
        <v>0.0</v>
      </c>
      <c r="O56" s="7">
        <f>0</f>
        <v>0</v>
      </c>
      <c r="P56" s="7">
        <f>M56-N56-O56</f>
        <v>0.0</v>
      </c>
      <c r="Q56" s="7">
        <f>0</f>
        <v>0</v>
      </c>
      <c r="R56" s="7">
        <f>P56-Q56</f>
        <v>0.0</v>
      </c>
      <c r="S56" s="7">
        <f>IF(A56&lt;1+Parameters!$E$31,0,INDEX($M$45:$M$80,A56-Parameters!$E$31))</f>
        <v>0.0</v>
      </c>
      <c r="T56" s="7">
        <f>T55+M56-S56</f>
        <v>0.0</v>
      </c>
      <c r="U56" s="7">
        <f>S56-N56-O56-Q56</f>
        <v>0.0</v>
      </c>
      <c r="V56" s="7">
        <f>V55+U56</f>
        <v>1.5999999999999999</v>
      </c>
      <c r="W56" s="7">
        <f>(1-Parameters!$E$7)*(C56-E56)+(1-Parameters!$E$8)*(D56+E56)</f>
        <v>0.0</v>
      </c>
      <c r="X56" s="7">
        <f>Parameters!$E$7*(C56-E56)+Parameters!$E$8*Parameters!$E$9*(D56+E56)</f>
        <v>0.0</v>
      </c>
      <c r="Y56" s="7">
        <f>Parameters!$E$8*(1-Parameters!$E$9)*(D56+E56)</f>
        <v>0.0</v>
      </c>
      <c r="Z56" s="7">
        <f>POWER(1/(1+Parameters!$E$32),A56-1)*(M56-N56)</f>
        <v>0.0</v>
      </c>
    </row>
    <row r="57" spans="1:26">
      <c r="A57" s="7">
        <v>13</v>
      </c>
      <c r="B57" s="7">
        <f>0</f>
        <v>0</v>
      </c>
      <c r="C57" s="7">
        <f>X56+B57</f>
        <v>0.0</v>
      </c>
      <c r="D57" s="7">
        <f>Y56</f>
        <v>0.0</v>
      </c>
      <c r="E57" s="7">
        <f>Parameters!$E$6*C57</f>
        <v>0.0</v>
      </c>
      <c r="F57" s="7">
        <f>IF(Parameters!$E$5=1,E57,0)</f>
        <v>0.0</v>
      </c>
      <c r="G57" s="7">
        <f>Parameters!$E$27*G56+F57</f>
        <v>0.0</v>
      </c>
      <c r="H57" s="7">
        <f>IF(AND(Parameters!$E$5=1,Parameters!$E$26=1),SUMPRODUCT(--($A$45:A57&lt;A57),--(MOD(A57-$A$45:A57,Parameters!$E$28)=0),$F$45:F57,POWER(Parameters!$E$27,IF(A57-$A$45:A57=0,1,A57-$A$45:A57))),0)</f>
        <v>0.0</v>
      </c>
      <c r="I57" s="7">
        <f>Parameters!$E$23*I56+B57*Parameters!$E$22</f>
        <v>0.0</v>
      </c>
      <c r="J57" s="7">
        <f>E57*Parameters!$E$14*(1-Parameters!$E$15)</f>
        <v>0.0</v>
      </c>
      <c r="K57" s="7">
        <f>H57*Parameters!$E$29</f>
        <v>0.0</v>
      </c>
      <c r="L57" s="7">
        <f>I57*Parameters!$E$24</f>
        <v>0.0</v>
      </c>
      <c r="M57" s="7">
        <f>J57+K57+L57</f>
        <v>0.0</v>
      </c>
      <c r="N57" s="7">
        <f>C57*Parameters!$E$17+D57*Parameters!$E$18+E57*Parameters!$E$16+I57*Parameters!$E$25+G57*Parameters!$E$30</f>
        <v>0.0</v>
      </c>
      <c r="O57" s="7">
        <f>0</f>
        <v>0</v>
      </c>
      <c r="P57" s="7">
        <f>M57-N57-O57</f>
        <v>0.0</v>
      </c>
      <c r="Q57" s="7">
        <f>0</f>
        <v>0</v>
      </c>
      <c r="R57" s="7">
        <f>P57-Q57</f>
        <v>0.0</v>
      </c>
      <c r="S57" s="7">
        <f>IF(A57&lt;1+Parameters!$E$31,0,INDEX($M$45:$M$80,A57-Parameters!$E$31))</f>
        <v>0.0</v>
      </c>
      <c r="T57" s="7">
        <f>T56+M57-S57</f>
        <v>0.0</v>
      </c>
      <c r="U57" s="7">
        <f>S57-N57-O57-Q57</f>
        <v>0.0</v>
      </c>
      <c r="V57" s="7">
        <f>V56+U57</f>
        <v>1.5999999999999999</v>
      </c>
      <c r="W57" s="7">
        <f>(1-Parameters!$E$7)*(C57-E57)+(1-Parameters!$E$8)*(D57+E57)</f>
        <v>0.0</v>
      </c>
      <c r="X57" s="7">
        <f>Parameters!$E$7*(C57-E57)+Parameters!$E$8*Parameters!$E$9*(D57+E57)</f>
        <v>0.0</v>
      </c>
      <c r="Y57" s="7">
        <f>Parameters!$E$8*(1-Parameters!$E$9)*(D57+E57)</f>
        <v>0.0</v>
      </c>
      <c r="Z57" s="7">
        <f>POWER(1/(1+Parameters!$E$32),A57-1)*(M57-N57)</f>
        <v>0.0</v>
      </c>
    </row>
    <row r="58" spans="1:26">
      <c r="A58" s="7">
        <v>14</v>
      </c>
      <c r="B58" s="7">
        <f>0</f>
        <v>0</v>
      </c>
      <c r="C58" s="7">
        <f>X57+B58</f>
        <v>0.0</v>
      </c>
      <c r="D58" s="7">
        <f>Y57</f>
        <v>0.0</v>
      </c>
      <c r="E58" s="7">
        <f>Parameters!$E$6*C58</f>
        <v>0.0</v>
      </c>
      <c r="F58" s="7">
        <f>IF(Parameters!$E$5=1,E58,0)</f>
        <v>0.0</v>
      </c>
      <c r="G58" s="7">
        <f>Parameters!$E$27*G57+F58</f>
        <v>0.0</v>
      </c>
      <c r="H58" s="7">
        <f>IF(AND(Parameters!$E$5=1,Parameters!$E$26=1),SUMPRODUCT(--($A$45:A58&lt;A58),--(MOD(A58-$A$45:A58,Parameters!$E$28)=0),$F$45:F58,POWER(Parameters!$E$27,IF(A58-$A$45:A58=0,1,A58-$A$45:A58))),0)</f>
        <v>0.0</v>
      </c>
      <c r="I58" s="7">
        <f>Parameters!$E$23*I57+B58*Parameters!$E$22</f>
        <v>0.0</v>
      </c>
      <c r="J58" s="7">
        <f>E58*Parameters!$E$14*(1-Parameters!$E$15)</f>
        <v>0.0</v>
      </c>
      <c r="K58" s="7">
        <f>H58*Parameters!$E$29</f>
        <v>0.0</v>
      </c>
      <c r="L58" s="7">
        <f>I58*Parameters!$E$24</f>
        <v>0.0</v>
      </c>
      <c r="M58" s="7">
        <f>J58+K58+L58</f>
        <v>0.0</v>
      </c>
      <c r="N58" s="7">
        <f>C58*Parameters!$E$17+D58*Parameters!$E$18+E58*Parameters!$E$16+I58*Parameters!$E$25+G58*Parameters!$E$30</f>
        <v>0.0</v>
      </c>
      <c r="O58" s="7">
        <f>0</f>
        <v>0</v>
      </c>
      <c r="P58" s="7">
        <f>M58-N58-O58</f>
        <v>0.0</v>
      </c>
      <c r="Q58" s="7">
        <f>0</f>
        <v>0</v>
      </c>
      <c r="R58" s="7">
        <f>P58-Q58</f>
        <v>0.0</v>
      </c>
      <c r="S58" s="7">
        <f>IF(A58&lt;1+Parameters!$E$31,0,INDEX($M$45:$M$80,A58-Parameters!$E$31))</f>
        <v>0.0</v>
      </c>
      <c r="T58" s="7">
        <f>T57+M58-S58</f>
        <v>0.0</v>
      </c>
      <c r="U58" s="7">
        <f>S58-N58-O58-Q58</f>
        <v>0.0</v>
      </c>
      <c r="V58" s="7">
        <f>V57+U58</f>
        <v>1.5999999999999999</v>
      </c>
      <c r="W58" s="7">
        <f>(1-Parameters!$E$7)*(C58-E58)+(1-Parameters!$E$8)*(D58+E58)</f>
        <v>0.0</v>
      </c>
      <c r="X58" s="7">
        <f>Parameters!$E$7*(C58-E58)+Parameters!$E$8*Parameters!$E$9*(D58+E58)</f>
        <v>0.0</v>
      </c>
      <c r="Y58" s="7">
        <f>Parameters!$E$8*(1-Parameters!$E$9)*(D58+E58)</f>
        <v>0.0</v>
      </c>
      <c r="Z58" s="7">
        <f>POWER(1/(1+Parameters!$E$32),A58-1)*(M58-N58)</f>
        <v>0.0</v>
      </c>
    </row>
    <row r="59" spans="1:26">
      <c r="A59" s="7">
        <v>15</v>
      </c>
      <c r="B59" s="7">
        <f>0</f>
        <v>0</v>
      </c>
      <c r="C59" s="7">
        <f>X58+B59</f>
        <v>0.0</v>
      </c>
      <c r="D59" s="7">
        <f>Y58</f>
        <v>0.0</v>
      </c>
      <c r="E59" s="7">
        <f>Parameters!$E$6*C59</f>
        <v>0.0</v>
      </c>
      <c r="F59" s="7">
        <f>IF(Parameters!$E$5=1,E59,0)</f>
        <v>0.0</v>
      </c>
      <c r="G59" s="7">
        <f>Parameters!$E$27*G58+F59</f>
        <v>0.0</v>
      </c>
      <c r="H59" s="7">
        <f>IF(AND(Parameters!$E$5=1,Parameters!$E$26=1),SUMPRODUCT(--($A$45:A59&lt;A59),--(MOD(A59-$A$45:A59,Parameters!$E$28)=0),$F$45:F59,POWER(Parameters!$E$27,IF(A59-$A$45:A59=0,1,A59-$A$45:A59))),0)</f>
        <v>0.0</v>
      </c>
      <c r="I59" s="7">
        <f>Parameters!$E$23*I58+B59*Parameters!$E$22</f>
        <v>0.0</v>
      </c>
      <c r="J59" s="7">
        <f>E59*Parameters!$E$14*(1-Parameters!$E$15)</f>
        <v>0.0</v>
      </c>
      <c r="K59" s="7">
        <f>H59*Parameters!$E$29</f>
        <v>0.0</v>
      </c>
      <c r="L59" s="7">
        <f>I59*Parameters!$E$24</f>
        <v>0.0</v>
      </c>
      <c r="M59" s="7">
        <f>J59+K59+L59</f>
        <v>0.0</v>
      </c>
      <c r="N59" s="7">
        <f>C59*Parameters!$E$17+D59*Parameters!$E$18+E59*Parameters!$E$16+I59*Parameters!$E$25+G59*Parameters!$E$30</f>
        <v>0.0</v>
      </c>
      <c r="O59" s="7">
        <f>0</f>
        <v>0</v>
      </c>
      <c r="P59" s="7">
        <f>M59-N59-O59</f>
        <v>0.0</v>
      </c>
      <c r="Q59" s="7">
        <f>0</f>
        <v>0</v>
      </c>
      <c r="R59" s="7">
        <f>P59-Q59</f>
        <v>0.0</v>
      </c>
      <c r="S59" s="7">
        <f>IF(A59&lt;1+Parameters!$E$31,0,INDEX($M$45:$M$80,A59-Parameters!$E$31))</f>
        <v>0.0</v>
      </c>
      <c r="T59" s="7">
        <f>T58+M59-S59</f>
        <v>0.0</v>
      </c>
      <c r="U59" s="7">
        <f>S59-N59-O59-Q59</f>
        <v>0.0</v>
      </c>
      <c r="V59" s="7">
        <f>V58+U59</f>
        <v>1.5999999999999999</v>
      </c>
      <c r="W59" s="7">
        <f>(1-Parameters!$E$7)*(C59-E59)+(1-Parameters!$E$8)*(D59+E59)</f>
        <v>0.0</v>
      </c>
      <c r="X59" s="7">
        <f>Parameters!$E$7*(C59-E59)+Parameters!$E$8*Parameters!$E$9*(D59+E59)</f>
        <v>0.0</v>
      </c>
      <c r="Y59" s="7">
        <f>Parameters!$E$8*(1-Parameters!$E$9)*(D59+E59)</f>
        <v>0.0</v>
      </c>
      <c r="Z59" s="7">
        <f>POWER(1/(1+Parameters!$E$32),A59-1)*(M59-N59)</f>
        <v>0.0</v>
      </c>
    </row>
    <row r="60" spans="1:26">
      <c r="A60" s="7">
        <v>16</v>
      </c>
      <c r="B60" s="7">
        <f>0</f>
        <v>0</v>
      </c>
      <c r="C60" s="7">
        <f>X59+B60</f>
        <v>0.0</v>
      </c>
      <c r="D60" s="7">
        <f>Y59</f>
        <v>0.0</v>
      </c>
      <c r="E60" s="7">
        <f>Parameters!$E$6*C60</f>
        <v>0.0</v>
      </c>
      <c r="F60" s="7">
        <f>IF(Parameters!$E$5=1,E60,0)</f>
        <v>0.0</v>
      </c>
      <c r="G60" s="7">
        <f>Parameters!$E$27*G59+F60</f>
        <v>0.0</v>
      </c>
      <c r="H60" s="7">
        <f>IF(AND(Parameters!$E$5=1,Parameters!$E$26=1),SUMPRODUCT(--($A$45:A60&lt;A60),--(MOD(A60-$A$45:A60,Parameters!$E$28)=0),$F$45:F60,POWER(Parameters!$E$27,IF(A60-$A$45:A60=0,1,A60-$A$45:A60))),0)</f>
        <v>0.0</v>
      </c>
      <c r="I60" s="7">
        <f>Parameters!$E$23*I59+B60*Parameters!$E$22</f>
        <v>0.0</v>
      </c>
      <c r="J60" s="7">
        <f>E60*Parameters!$E$14*(1-Parameters!$E$15)</f>
        <v>0.0</v>
      </c>
      <c r="K60" s="7">
        <f>H60*Parameters!$E$29</f>
        <v>0.0</v>
      </c>
      <c r="L60" s="7">
        <f>I60*Parameters!$E$24</f>
        <v>0.0</v>
      </c>
      <c r="M60" s="7">
        <f>J60+K60+L60</f>
        <v>0.0</v>
      </c>
      <c r="N60" s="7">
        <f>C60*Parameters!$E$17+D60*Parameters!$E$18+E60*Parameters!$E$16+I60*Parameters!$E$25+G60*Parameters!$E$30</f>
        <v>0.0</v>
      </c>
      <c r="O60" s="7">
        <f>0</f>
        <v>0</v>
      </c>
      <c r="P60" s="7">
        <f>M60-N60-O60</f>
        <v>0.0</v>
      </c>
      <c r="Q60" s="7">
        <f>0</f>
        <v>0</v>
      </c>
      <c r="R60" s="7">
        <f>P60-Q60</f>
        <v>0.0</v>
      </c>
      <c r="S60" s="7">
        <f>IF(A60&lt;1+Parameters!$E$31,0,INDEX($M$45:$M$80,A60-Parameters!$E$31))</f>
        <v>0.0</v>
      </c>
      <c r="T60" s="7">
        <f>T59+M60-S60</f>
        <v>0.0</v>
      </c>
      <c r="U60" s="7">
        <f>S60-N60-O60-Q60</f>
        <v>0.0</v>
      </c>
      <c r="V60" s="7">
        <f>V59+U60</f>
        <v>1.5999999999999999</v>
      </c>
      <c r="W60" s="7">
        <f>(1-Parameters!$E$7)*(C60-E60)+(1-Parameters!$E$8)*(D60+E60)</f>
        <v>0.0</v>
      </c>
      <c r="X60" s="7">
        <f>Parameters!$E$7*(C60-E60)+Parameters!$E$8*Parameters!$E$9*(D60+E60)</f>
        <v>0.0</v>
      </c>
      <c r="Y60" s="7">
        <f>Parameters!$E$8*(1-Parameters!$E$9)*(D60+E60)</f>
        <v>0.0</v>
      </c>
      <c r="Z60" s="7">
        <f>POWER(1/(1+Parameters!$E$32),A60-1)*(M60-N60)</f>
        <v>0.0</v>
      </c>
    </row>
    <row r="61" spans="1:26">
      <c r="A61" s="7">
        <v>17</v>
      </c>
      <c r="B61" s="7">
        <f>0</f>
        <v>0</v>
      </c>
      <c r="C61" s="7">
        <f>X60+B61</f>
        <v>0.0</v>
      </c>
      <c r="D61" s="7">
        <f>Y60</f>
        <v>0.0</v>
      </c>
      <c r="E61" s="7">
        <f>Parameters!$E$6*C61</f>
        <v>0.0</v>
      </c>
      <c r="F61" s="7">
        <f>IF(Parameters!$E$5=1,E61,0)</f>
        <v>0.0</v>
      </c>
      <c r="G61" s="7">
        <f>Parameters!$E$27*G60+F61</f>
        <v>0.0</v>
      </c>
      <c r="H61" s="7">
        <f>IF(AND(Parameters!$E$5=1,Parameters!$E$26=1),SUMPRODUCT(--($A$45:A61&lt;A61),--(MOD(A61-$A$45:A61,Parameters!$E$28)=0),$F$45:F61,POWER(Parameters!$E$27,IF(A61-$A$45:A61=0,1,A61-$A$45:A61))),0)</f>
        <v>0.0</v>
      </c>
      <c r="I61" s="7">
        <f>Parameters!$E$23*I60+B61*Parameters!$E$22</f>
        <v>0.0</v>
      </c>
      <c r="J61" s="7">
        <f>E61*Parameters!$E$14*(1-Parameters!$E$15)</f>
        <v>0.0</v>
      </c>
      <c r="K61" s="7">
        <f>H61*Parameters!$E$29</f>
        <v>0.0</v>
      </c>
      <c r="L61" s="7">
        <f>I61*Parameters!$E$24</f>
        <v>0.0</v>
      </c>
      <c r="M61" s="7">
        <f>J61+K61+L61</f>
        <v>0.0</v>
      </c>
      <c r="N61" s="7">
        <f>C61*Parameters!$E$17+D61*Parameters!$E$18+E61*Parameters!$E$16+I61*Parameters!$E$25+G61*Parameters!$E$30</f>
        <v>0.0</v>
      </c>
      <c r="O61" s="7">
        <f>0</f>
        <v>0</v>
      </c>
      <c r="P61" s="7">
        <f>M61-N61-O61</f>
        <v>0.0</v>
      </c>
      <c r="Q61" s="7">
        <f>0</f>
        <v>0</v>
      </c>
      <c r="R61" s="7">
        <f>P61-Q61</f>
        <v>0.0</v>
      </c>
      <c r="S61" s="7">
        <f>IF(A61&lt;1+Parameters!$E$31,0,INDEX($M$45:$M$80,A61-Parameters!$E$31))</f>
        <v>0.0</v>
      </c>
      <c r="T61" s="7">
        <f>T60+M61-S61</f>
        <v>0.0</v>
      </c>
      <c r="U61" s="7">
        <f>S61-N61-O61-Q61</f>
        <v>0.0</v>
      </c>
      <c r="V61" s="7">
        <f>V60+U61</f>
        <v>1.5999999999999999</v>
      </c>
      <c r="W61" s="7">
        <f>(1-Parameters!$E$7)*(C61-E61)+(1-Parameters!$E$8)*(D61+E61)</f>
        <v>0.0</v>
      </c>
      <c r="X61" s="7">
        <f>Parameters!$E$7*(C61-E61)+Parameters!$E$8*Parameters!$E$9*(D61+E61)</f>
        <v>0.0</v>
      </c>
      <c r="Y61" s="7">
        <f>Parameters!$E$8*(1-Parameters!$E$9)*(D61+E61)</f>
        <v>0.0</v>
      </c>
      <c r="Z61" s="7">
        <f>POWER(1/(1+Parameters!$E$32),A61-1)*(M61-N61)</f>
        <v>0.0</v>
      </c>
    </row>
    <row r="62" spans="1:26">
      <c r="A62" s="7">
        <v>18</v>
      </c>
      <c r="B62" s="7">
        <f>0</f>
        <v>0</v>
      </c>
      <c r="C62" s="7">
        <f>X61+B62</f>
        <v>0.0</v>
      </c>
      <c r="D62" s="7">
        <f>Y61</f>
        <v>0.0</v>
      </c>
      <c r="E62" s="7">
        <f>Parameters!$E$6*C62</f>
        <v>0.0</v>
      </c>
      <c r="F62" s="7">
        <f>IF(Parameters!$E$5=1,E62,0)</f>
        <v>0.0</v>
      </c>
      <c r="G62" s="7">
        <f>Parameters!$E$27*G61+F62</f>
        <v>0.0</v>
      </c>
      <c r="H62" s="7">
        <f>IF(AND(Parameters!$E$5=1,Parameters!$E$26=1),SUMPRODUCT(--($A$45:A62&lt;A62),--(MOD(A62-$A$45:A62,Parameters!$E$28)=0),$F$45:F62,POWER(Parameters!$E$27,IF(A62-$A$45:A62=0,1,A62-$A$45:A62))),0)</f>
        <v>0.0</v>
      </c>
      <c r="I62" s="7">
        <f>Parameters!$E$23*I61+B62*Parameters!$E$22</f>
        <v>0.0</v>
      </c>
      <c r="J62" s="7">
        <f>E62*Parameters!$E$14*(1-Parameters!$E$15)</f>
        <v>0.0</v>
      </c>
      <c r="K62" s="7">
        <f>H62*Parameters!$E$29</f>
        <v>0.0</v>
      </c>
      <c r="L62" s="7">
        <f>I62*Parameters!$E$24</f>
        <v>0.0</v>
      </c>
      <c r="M62" s="7">
        <f>J62+K62+L62</f>
        <v>0.0</v>
      </c>
      <c r="N62" s="7">
        <f>C62*Parameters!$E$17+D62*Parameters!$E$18+E62*Parameters!$E$16+I62*Parameters!$E$25+G62*Parameters!$E$30</f>
        <v>0.0</v>
      </c>
      <c r="O62" s="7">
        <f>0</f>
        <v>0</v>
      </c>
      <c r="P62" s="7">
        <f>M62-N62-O62</f>
        <v>0.0</v>
      </c>
      <c r="Q62" s="7">
        <f>0</f>
        <v>0</v>
      </c>
      <c r="R62" s="7">
        <f>P62-Q62</f>
        <v>0.0</v>
      </c>
      <c r="S62" s="7">
        <f>IF(A62&lt;1+Parameters!$E$31,0,INDEX($M$45:$M$80,A62-Parameters!$E$31))</f>
        <v>0.0</v>
      </c>
      <c r="T62" s="7">
        <f>T61+M62-S62</f>
        <v>0.0</v>
      </c>
      <c r="U62" s="7">
        <f>S62-N62-O62-Q62</f>
        <v>0.0</v>
      </c>
      <c r="V62" s="7">
        <f>V61+U62</f>
        <v>1.5999999999999999</v>
      </c>
      <c r="W62" s="7">
        <f>(1-Parameters!$E$7)*(C62-E62)+(1-Parameters!$E$8)*(D62+E62)</f>
        <v>0.0</v>
      </c>
      <c r="X62" s="7">
        <f>Parameters!$E$7*(C62-E62)+Parameters!$E$8*Parameters!$E$9*(D62+E62)</f>
        <v>0.0</v>
      </c>
      <c r="Y62" s="7">
        <f>Parameters!$E$8*(1-Parameters!$E$9)*(D62+E62)</f>
        <v>0.0</v>
      </c>
      <c r="Z62" s="7">
        <f>POWER(1/(1+Parameters!$E$32),A62-1)*(M62-N62)</f>
        <v>0.0</v>
      </c>
    </row>
    <row r="63" spans="1:26">
      <c r="A63" s="7">
        <v>19</v>
      </c>
      <c r="B63" s="7">
        <f>0</f>
        <v>0</v>
      </c>
      <c r="C63" s="7">
        <f>X62+B63</f>
        <v>0.0</v>
      </c>
      <c r="D63" s="7">
        <f>Y62</f>
        <v>0.0</v>
      </c>
      <c r="E63" s="7">
        <f>Parameters!$E$6*C63</f>
        <v>0.0</v>
      </c>
      <c r="F63" s="7">
        <f>IF(Parameters!$E$5=1,E63,0)</f>
        <v>0.0</v>
      </c>
      <c r="G63" s="7">
        <f>Parameters!$E$27*G62+F63</f>
        <v>0.0</v>
      </c>
      <c r="H63" s="7">
        <f>IF(AND(Parameters!$E$5=1,Parameters!$E$26=1),SUMPRODUCT(--($A$45:A63&lt;A63),--(MOD(A63-$A$45:A63,Parameters!$E$28)=0),$F$45:F63,POWER(Parameters!$E$27,IF(A63-$A$45:A63=0,1,A63-$A$45:A63))),0)</f>
        <v>0.0</v>
      </c>
      <c r="I63" s="7">
        <f>Parameters!$E$23*I62+B63*Parameters!$E$22</f>
        <v>0.0</v>
      </c>
      <c r="J63" s="7">
        <f>E63*Parameters!$E$14*(1-Parameters!$E$15)</f>
        <v>0.0</v>
      </c>
      <c r="K63" s="7">
        <f>H63*Parameters!$E$29</f>
        <v>0.0</v>
      </c>
      <c r="L63" s="7">
        <f>I63*Parameters!$E$24</f>
        <v>0.0</v>
      </c>
      <c r="M63" s="7">
        <f>J63+K63+L63</f>
        <v>0.0</v>
      </c>
      <c r="N63" s="7">
        <f>C63*Parameters!$E$17+D63*Parameters!$E$18+E63*Parameters!$E$16+I63*Parameters!$E$25+G63*Parameters!$E$30</f>
        <v>0.0</v>
      </c>
      <c r="O63" s="7">
        <f>0</f>
        <v>0</v>
      </c>
      <c r="P63" s="7">
        <f>M63-N63-O63</f>
        <v>0.0</v>
      </c>
      <c r="Q63" s="7">
        <f>0</f>
        <v>0</v>
      </c>
      <c r="R63" s="7">
        <f>P63-Q63</f>
        <v>0.0</v>
      </c>
      <c r="S63" s="7">
        <f>IF(A63&lt;1+Parameters!$E$31,0,INDEX($M$45:$M$80,A63-Parameters!$E$31))</f>
        <v>0.0</v>
      </c>
      <c r="T63" s="7">
        <f>T62+M63-S63</f>
        <v>0.0</v>
      </c>
      <c r="U63" s="7">
        <f>S63-N63-O63-Q63</f>
        <v>0.0</v>
      </c>
      <c r="V63" s="7">
        <f>V62+U63</f>
        <v>1.5999999999999999</v>
      </c>
      <c r="W63" s="7">
        <f>(1-Parameters!$E$7)*(C63-E63)+(1-Parameters!$E$8)*(D63+E63)</f>
        <v>0.0</v>
      </c>
      <c r="X63" s="7">
        <f>Parameters!$E$7*(C63-E63)+Parameters!$E$8*Parameters!$E$9*(D63+E63)</f>
        <v>0.0</v>
      </c>
      <c r="Y63" s="7">
        <f>Parameters!$E$8*(1-Parameters!$E$9)*(D63+E63)</f>
        <v>0.0</v>
      </c>
      <c r="Z63" s="7">
        <f>POWER(1/(1+Parameters!$E$32),A63-1)*(M63-N63)</f>
        <v>0.0</v>
      </c>
    </row>
    <row r="64" spans="1:26">
      <c r="A64" s="7">
        <v>20</v>
      </c>
      <c r="B64" s="7">
        <f>0</f>
        <v>0</v>
      </c>
      <c r="C64" s="7">
        <f>X63+B64</f>
        <v>0.0</v>
      </c>
      <c r="D64" s="7">
        <f>Y63</f>
        <v>0.0</v>
      </c>
      <c r="E64" s="7">
        <f>Parameters!$E$6*C64</f>
        <v>0.0</v>
      </c>
      <c r="F64" s="7">
        <f>IF(Parameters!$E$5=1,E64,0)</f>
        <v>0.0</v>
      </c>
      <c r="G64" s="7">
        <f>Parameters!$E$27*G63+F64</f>
        <v>0.0</v>
      </c>
      <c r="H64" s="7">
        <f>IF(AND(Parameters!$E$5=1,Parameters!$E$26=1),SUMPRODUCT(--($A$45:A64&lt;A64),--(MOD(A64-$A$45:A64,Parameters!$E$28)=0),$F$45:F64,POWER(Parameters!$E$27,IF(A64-$A$45:A64=0,1,A64-$A$45:A64))),0)</f>
        <v>0.0</v>
      </c>
      <c r="I64" s="7">
        <f>Parameters!$E$23*I63+B64*Parameters!$E$22</f>
        <v>0.0</v>
      </c>
      <c r="J64" s="7">
        <f>E64*Parameters!$E$14*(1-Parameters!$E$15)</f>
        <v>0.0</v>
      </c>
      <c r="K64" s="7">
        <f>H64*Parameters!$E$29</f>
        <v>0.0</v>
      </c>
      <c r="L64" s="7">
        <f>I64*Parameters!$E$24</f>
        <v>0.0</v>
      </c>
      <c r="M64" s="7">
        <f>J64+K64+L64</f>
        <v>0.0</v>
      </c>
      <c r="N64" s="7">
        <f>C64*Parameters!$E$17+D64*Parameters!$E$18+E64*Parameters!$E$16+I64*Parameters!$E$25+G64*Parameters!$E$30</f>
        <v>0.0</v>
      </c>
      <c r="O64" s="7">
        <f>0</f>
        <v>0</v>
      </c>
      <c r="P64" s="7">
        <f>M64-N64-O64</f>
        <v>0.0</v>
      </c>
      <c r="Q64" s="7">
        <f>0</f>
        <v>0</v>
      </c>
      <c r="R64" s="7">
        <f>P64-Q64</f>
        <v>0.0</v>
      </c>
      <c r="S64" s="7">
        <f>IF(A64&lt;1+Parameters!$E$31,0,INDEX($M$45:$M$80,A64-Parameters!$E$31))</f>
        <v>0.0</v>
      </c>
      <c r="T64" s="7">
        <f>T63+M64-S64</f>
        <v>0.0</v>
      </c>
      <c r="U64" s="7">
        <f>S64-N64-O64-Q64</f>
        <v>0.0</v>
      </c>
      <c r="V64" s="7">
        <f>V63+U64</f>
        <v>1.5999999999999999</v>
      </c>
      <c r="W64" s="7">
        <f>(1-Parameters!$E$7)*(C64-E64)+(1-Parameters!$E$8)*(D64+E64)</f>
        <v>0.0</v>
      </c>
      <c r="X64" s="7">
        <f>Parameters!$E$7*(C64-E64)+Parameters!$E$8*Parameters!$E$9*(D64+E64)</f>
        <v>0.0</v>
      </c>
      <c r="Y64" s="7">
        <f>Parameters!$E$8*(1-Parameters!$E$9)*(D64+E64)</f>
        <v>0.0</v>
      </c>
      <c r="Z64" s="7">
        <f>POWER(1/(1+Parameters!$E$32),A64-1)*(M64-N64)</f>
        <v>0.0</v>
      </c>
    </row>
    <row r="65" spans="1:26">
      <c r="A65" s="7">
        <v>21</v>
      </c>
      <c r="B65" s="7">
        <f>0</f>
        <v>0</v>
      </c>
      <c r="C65" s="7">
        <f>X64+B65</f>
        <v>0.0</v>
      </c>
      <c r="D65" s="7">
        <f>Y64</f>
        <v>0.0</v>
      </c>
      <c r="E65" s="7">
        <f>Parameters!$E$6*C65</f>
        <v>0.0</v>
      </c>
      <c r="F65" s="7">
        <f>IF(Parameters!$E$5=1,E65,0)</f>
        <v>0.0</v>
      </c>
      <c r="G65" s="7">
        <f>Parameters!$E$27*G64+F65</f>
        <v>0.0</v>
      </c>
      <c r="H65" s="7">
        <f>IF(AND(Parameters!$E$5=1,Parameters!$E$26=1),SUMPRODUCT(--($A$45:A65&lt;A65),--(MOD(A65-$A$45:A65,Parameters!$E$28)=0),$F$45:F65,POWER(Parameters!$E$27,IF(A65-$A$45:A65=0,1,A65-$A$45:A65))),0)</f>
        <v>0.0</v>
      </c>
      <c r="I65" s="7">
        <f>Parameters!$E$23*I64+B65*Parameters!$E$22</f>
        <v>0.0</v>
      </c>
      <c r="J65" s="7">
        <f>E65*Parameters!$E$14*(1-Parameters!$E$15)</f>
        <v>0.0</v>
      </c>
      <c r="K65" s="7">
        <f>H65*Parameters!$E$29</f>
        <v>0.0</v>
      </c>
      <c r="L65" s="7">
        <f>I65*Parameters!$E$24</f>
        <v>0.0</v>
      </c>
      <c r="M65" s="7">
        <f>J65+K65+L65</f>
        <v>0.0</v>
      </c>
      <c r="N65" s="7">
        <f>C65*Parameters!$E$17+D65*Parameters!$E$18+E65*Parameters!$E$16+I65*Parameters!$E$25+G65*Parameters!$E$30</f>
        <v>0.0</v>
      </c>
      <c r="O65" s="7">
        <f>0</f>
        <v>0</v>
      </c>
      <c r="P65" s="7">
        <f>M65-N65-O65</f>
        <v>0.0</v>
      </c>
      <c r="Q65" s="7">
        <f>0</f>
        <v>0</v>
      </c>
      <c r="R65" s="7">
        <f>P65-Q65</f>
        <v>0.0</v>
      </c>
      <c r="S65" s="7">
        <f>IF(A65&lt;1+Parameters!$E$31,0,INDEX($M$45:$M$80,A65-Parameters!$E$31))</f>
        <v>0.0</v>
      </c>
      <c r="T65" s="7">
        <f>T64+M65-S65</f>
        <v>0.0</v>
      </c>
      <c r="U65" s="7">
        <f>S65-N65-O65-Q65</f>
        <v>0.0</v>
      </c>
      <c r="V65" s="7">
        <f>V64+U65</f>
        <v>1.5999999999999999</v>
      </c>
      <c r="W65" s="7">
        <f>(1-Parameters!$E$7)*(C65-E65)+(1-Parameters!$E$8)*(D65+E65)</f>
        <v>0.0</v>
      </c>
      <c r="X65" s="7">
        <f>Parameters!$E$7*(C65-E65)+Parameters!$E$8*Parameters!$E$9*(D65+E65)</f>
        <v>0.0</v>
      </c>
      <c r="Y65" s="7">
        <f>Parameters!$E$8*(1-Parameters!$E$9)*(D65+E65)</f>
        <v>0.0</v>
      </c>
      <c r="Z65" s="7">
        <f>POWER(1/(1+Parameters!$E$32),A65-1)*(M65-N65)</f>
        <v>0.0</v>
      </c>
    </row>
    <row r="66" spans="1:26">
      <c r="A66" s="7">
        <v>22</v>
      </c>
      <c r="B66" s="7">
        <f>0</f>
        <v>0</v>
      </c>
      <c r="C66" s="7">
        <f>X65+B66</f>
        <v>0.0</v>
      </c>
      <c r="D66" s="7">
        <f>Y65</f>
        <v>0.0</v>
      </c>
      <c r="E66" s="7">
        <f>Parameters!$E$6*C66</f>
        <v>0.0</v>
      </c>
      <c r="F66" s="7">
        <f>IF(Parameters!$E$5=1,E66,0)</f>
        <v>0.0</v>
      </c>
      <c r="G66" s="7">
        <f>Parameters!$E$27*G65+F66</f>
        <v>0.0</v>
      </c>
      <c r="H66" s="7">
        <f>IF(AND(Parameters!$E$5=1,Parameters!$E$26=1),SUMPRODUCT(--($A$45:A66&lt;A66),--(MOD(A66-$A$45:A66,Parameters!$E$28)=0),$F$45:F66,POWER(Parameters!$E$27,IF(A66-$A$45:A66=0,1,A66-$A$45:A66))),0)</f>
        <v>0.0</v>
      </c>
      <c r="I66" s="7">
        <f>Parameters!$E$23*I65+B66*Parameters!$E$22</f>
        <v>0.0</v>
      </c>
      <c r="J66" s="7">
        <f>E66*Parameters!$E$14*(1-Parameters!$E$15)</f>
        <v>0.0</v>
      </c>
      <c r="K66" s="7">
        <f>H66*Parameters!$E$29</f>
        <v>0.0</v>
      </c>
      <c r="L66" s="7">
        <f>I66*Parameters!$E$24</f>
        <v>0.0</v>
      </c>
      <c r="M66" s="7">
        <f>J66+K66+L66</f>
        <v>0.0</v>
      </c>
      <c r="N66" s="7">
        <f>C66*Parameters!$E$17+D66*Parameters!$E$18+E66*Parameters!$E$16+I66*Parameters!$E$25+G66*Parameters!$E$30</f>
        <v>0.0</v>
      </c>
      <c r="O66" s="7">
        <f>0</f>
        <v>0</v>
      </c>
      <c r="P66" s="7">
        <f>M66-N66-O66</f>
        <v>0.0</v>
      </c>
      <c r="Q66" s="7">
        <f>0</f>
        <v>0</v>
      </c>
      <c r="R66" s="7">
        <f>P66-Q66</f>
        <v>0.0</v>
      </c>
      <c r="S66" s="7">
        <f>IF(A66&lt;1+Parameters!$E$31,0,INDEX($M$45:$M$80,A66-Parameters!$E$31))</f>
        <v>0.0</v>
      </c>
      <c r="T66" s="7">
        <f>T65+M66-S66</f>
        <v>0.0</v>
      </c>
      <c r="U66" s="7">
        <f>S66-N66-O66-Q66</f>
        <v>0.0</v>
      </c>
      <c r="V66" s="7">
        <f>V65+U66</f>
        <v>1.5999999999999999</v>
      </c>
      <c r="W66" s="7">
        <f>(1-Parameters!$E$7)*(C66-E66)+(1-Parameters!$E$8)*(D66+E66)</f>
        <v>0.0</v>
      </c>
      <c r="X66" s="7">
        <f>Parameters!$E$7*(C66-E66)+Parameters!$E$8*Parameters!$E$9*(D66+E66)</f>
        <v>0.0</v>
      </c>
      <c r="Y66" s="7">
        <f>Parameters!$E$8*(1-Parameters!$E$9)*(D66+E66)</f>
        <v>0.0</v>
      </c>
      <c r="Z66" s="7">
        <f>POWER(1/(1+Parameters!$E$32),A66-1)*(M66-N66)</f>
        <v>0.0</v>
      </c>
    </row>
    <row r="67" spans="1:26">
      <c r="A67" s="7">
        <v>23</v>
      </c>
      <c r="B67" s="7">
        <f>0</f>
        <v>0</v>
      </c>
      <c r="C67" s="7">
        <f>X66+B67</f>
        <v>0.0</v>
      </c>
      <c r="D67" s="7">
        <f>Y66</f>
        <v>0.0</v>
      </c>
      <c r="E67" s="7">
        <f>Parameters!$E$6*C67</f>
        <v>0.0</v>
      </c>
      <c r="F67" s="7">
        <f>IF(Parameters!$E$5=1,E67,0)</f>
        <v>0.0</v>
      </c>
      <c r="G67" s="7">
        <f>Parameters!$E$27*G66+F67</f>
        <v>0.0</v>
      </c>
      <c r="H67" s="7">
        <f>IF(AND(Parameters!$E$5=1,Parameters!$E$26=1),SUMPRODUCT(--($A$45:A67&lt;A67),--(MOD(A67-$A$45:A67,Parameters!$E$28)=0),$F$45:F67,POWER(Parameters!$E$27,IF(A67-$A$45:A67=0,1,A67-$A$45:A67))),0)</f>
        <v>0.0</v>
      </c>
      <c r="I67" s="7">
        <f>Parameters!$E$23*I66+B67*Parameters!$E$22</f>
        <v>0.0</v>
      </c>
      <c r="J67" s="7">
        <f>E67*Parameters!$E$14*(1-Parameters!$E$15)</f>
        <v>0.0</v>
      </c>
      <c r="K67" s="7">
        <f>H67*Parameters!$E$29</f>
        <v>0.0</v>
      </c>
      <c r="L67" s="7">
        <f>I67*Parameters!$E$24</f>
        <v>0.0</v>
      </c>
      <c r="M67" s="7">
        <f>J67+K67+L67</f>
        <v>0.0</v>
      </c>
      <c r="N67" s="7">
        <f>C67*Parameters!$E$17+D67*Parameters!$E$18+E67*Parameters!$E$16+I67*Parameters!$E$25+G67*Parameters!$E$30</f>
        <v>0.0</v>
      </c>
      <c r="O67" s="7">
        <f>0</f>
        <v>0</v>
      </c>
      <c r="P67" s="7">
        <f>M67-N67-O67</f>
        <v>0.0</v>
      </c>
      <c r="Q67" s="7">
        <f>0</f>
        <v>0</v>
      </c>
      <c r="R67" s="7">
        <f>P67-Q67</f>
        <v>0.0</v>
      </c>
      <c r="S67" s="7">
        <f>IF(A67&lt;1+Parameters!$E$31,0,INDEX($M$45:$M$80,A67-Parameters!$E$31))</f>
        <v>0.0</v>
      </c>
      <c r="T67" s="7">
        <f>T66+M67-S67</f>
        <v>0.0</v>
      </c>
      <c r="U67" s="7">
        <f>S67-N67-O67-Q67</f>
        <v>0.0</v>
      </c>
      <c r="V67" s="7">
        <f>V66+U67</f>
        <v>1.5999999999999999</v>
      </c>
      <c r="W67" s="7">
        <f>(1-Parameters!$E$7)*(C67-E67)+(1-Parameters!$E$8)*(D67+E67)</f>
        <v>0.0</v>
      </c>
      <c r="X67" s="7">
        <f>Parameters!$E$7*(C67-E67)+Parameters!$E$8*Parameters!$E$9*(D67+E67)</f>
        <v>0.0</v>
      </c>
      <c r="Y67" s="7">
        <f>Parameters!$E$8*(1-Parameters!$E$9)*(D67+E67)</f>
        <v>0.0</v>
      </c>
      <c r="Z67" s="7">
        <f>POWER(1/(1+Parameters!$E$32),A67-1)*(M67-N67)</f>
        <v>0.0</v>
      </c>
    </row>
    <row r="68" spans="1:26">
      <c r="A68" s="7">
        <v>24</v>
      </c>
      <c r="B68" s="7">
        <f>0</f>
        <v>0</v>
      </c>
      <c r="C68" s="7">
        <f>X67+B68</f>
        <v>0.0</v>
      </c>
      <c r="D68" s="7">
        <f>Y67</f>
        <v>0.0</v>
      </c>
      <c r="E68" s="7">
        <f>Parameters!$E$6*C68</f>
        <v>0.0</v>
      </c>
      <c r="F68" s="7">
        <f>IF(Parameters!$E$5=1,E68,0)</f>
        <v>0.0</v>
      </c>
      <c r="G68" s="7">
        <f>Parameters!$E$27*G67+F68</f>
        <v>0.0</v>
      </c>
      <c r="H68" s="7">
        <f>IF(AND(Parameters!$E$5=1,Parameters!$E$26=1),SUMPRODUCT(--($A$45:A68&lt;A68),--(MOD(A68-$A$45:A68,Parameters!$E$28)=0),$F$45:F68,POWER(Parameters!$E$27,IF(A68-$A$45:A68=0,1,A68-$A$45:A68))),0)</f>
        <v>0.0</v>
      </c>
      <c r="I68" s="7">
        <f>Parameters!$E$23*I67+B68*Parameters!$E$22</f>
        <v>0.0</v>
      </c>
      <c r="J68" s="7">
        <f>E68*Parameters!$E$14*(1-Parameters!$E$15)</f>
        <v>0.0</v>
      </c>
      <c r="K68" s="7">
        <f>H68*Parameters!$E$29</f>
        <v>0.0</v>
      </c>
      <c r="L68" s="7">
        <f>I68*Parameters!$E$24</f>
        <v>0.0</v>
      </c>
      <c r="M68" s="7">
        <f>J68+K68+L68</f>
        <v>0.0</v>
      </c>
      <c r="N68" s="7">
        <f>C68*Parameters!$E$17+D68*Parameters!$E$18+E68*Parameters!$E$16+I68*Parameters!$E$25+G68*Parameters!$E$30</f>
        <v>0.0</v>
      </c>
      <c r="O68" s="7">
        <f>0</f>
        <v>0</v>
      </c>
      <c r="P68" s="7">
        <f>M68-N68-O68</f>
        <v>0.0</v>
      </c>
      <c r="Q68" s="7">
        <f>0</f>
        <v>0</v>
      </c>
      <c r="R68" s="7">
        <f>P68-Q68</f>
        <v>0.0</v>
      </c>
      <c r="S68" s="7">
        <f>IF(A68&lt;1+Parameters!$E$31,0,INDEX($M$45:$M$80,A68-Parameters!$E$31))</f>
        <v>0.0</v>
      </c>
      <c r="T68" s="7">
        <f>T67+M68-S68</f>
        <v>0.0</v>
      </c>
      <c r="U68" s="7">
        <f>S68-N68-O68-Q68</f>
        <v>0.0</v>
      </c>
      <c r="V68" s="7">
        <f>V67+U68</f>
        <v>1.5999999999999999</v>
      </c>
      <c r="W68" s="7">
        <f>(1-Parameters!$E$7)*(C68-E68)+(1-Parameters!$E$8)*(D68+E68)</f>
        <v>0.0</v>
      </c>
      <c r="X68" s="7">
        <f>Parameters!$E$7*(C68-E68)+Parameters!$E$8*Parameters!$E$9*(D68+E68)</f>
        <v>0.0</v>
      </c>
      <c r="Y68" s="7">
        <f>Parameters!$E$8*(1-Parameters!$E$9)*(D68+E68)</f>
        <v>0.0</v>
      </c>
      <c r="Z68" s="7">
        <f>POWER(1/(1+Parameters!$E$32),A68-1)*(M68-N68)</f>
        <v>0.0</v>
      </c>
    </row>
    <row r="69" spans="1:26">
      <c r="A69" s="7">
        <v>25</v>
      </c>
      <c r="B69" s="7">
        <f>0</f>
        <v>0</v>
      </c>
      <c r="C69" s="7">
        <f>X68+B69</f>
        <v>0.0</v>
      </c>
      <c r="D69" s="7">
        <f>Y68</f>
        <v>0.0</v>
      </c>
      <c r="E69" s="7">
        <f>Parameters!$E$6*C69</f>
        <v>0.0</v>
      </c>
      <c r="F69" s="7">
        <f>IF(Parameters!$E$5=1,E69,0)</f>
        <v>0.0</v>
      </c>
      <c r="G69" s="7">
        <f>Parameters!$E$27*G68+F69</f>
        <v>0.0</v>
      </c>
      <c r="H69" s="7">
        <f>IF(AND(Parameters!$E$5=1,Parameters!$E$26=1),SUMPRODUCT(--($A$45:A69&lt;A69),--(MOD(A69-$A$45:A69,Parameters!$E$28)=0),$F$45:F69,POWER(Parameters!$E$27,IF(A69-$A$45:A69=0,1,A69-$A$45:A69))),0)</f>
        <v>0.0</v>
      </c>
      <c r="I69" s="7">
        <f>Parameters!$E$23*I68+B69*Parameters!$E$22</f>
        <v>0.0</v>
      </c>
      <c r="J69" s="7">
        <f>E69*Parameters!$E$14*(1-Parameters!$E$15)</f>
        <v>0.0</v>
      </c>
      <c r="K69" s="7">
        <f>H69*Parameters!$E$29</f>
        <v>0.0</v>
      </c>
      <c r="L69" s="7">
        <f>I69*Parameters!$E$24</f>
        <v>0.0</v>
      </c>
      <c r="M69" s="7">
        <f>J69+K69+L69</f>
        <v>0.0</v>
      </c>
      <c r="N69" s="7">
        <f>C69*Parameters!$E$17+D69*Parameters!$E$18+E69*Parameters!$E$16+I69*Parameters!$E$25+G69*Parameters!$E$30</f>
        <v>0.0</v>
      </c>
      <c r="O69" s="7">
        <f>0</f>
        <v>0</v>
      </c>
      <c r="P69" s="7">
        <f>M69-N69-O69</f>
        <v>0.0</v>
      </c>
      <c r="Q69" s="7">
        <f>0</f>
        <v>0</v>
      </c>
      <c r="R69" s="7">
        <f>P69-Q69</f>
        <v>0.0</v>
      </c>
      <c r="S69" s="7">
        <f>IF(A69&lt;1+Parameters!$E$31,0,INDEX($M$45:$M$80,A69-Parameters!$E$31))</f>
        <v>0.0</v>
      </c>
      <c r="T69" s="7">
        <f>T68+M69-S69</f>
        <v>0.0</v>
      </c>
      <c r="U69" s="7">
        <f>S69-N69-O69-Q69</f>
        <v>0.0</v>
      </c>
      <c r="V69" s="7">
        <f>V68+U69</f>
        <v>1.5999999999999999</v>
      </c>
      <c r="W69" s="7">
        <f>(1-Parameters!$E$7)*(C69-E69)+(1-Parameters!$E$8)*(D69+E69)</f>
        <v>0.0</v>
      </c>
      <c r="X69" s="7">
        <f>Parameters!$E$7*(C69-E69)+Parameters!$E$8*Parameters!$E$9*(D69+E69)</f>
        <v>0.0</v>
      </c>
      <c r="Y69" s="7">
        <f>Parameters!$E$8*(1-Parameters!$E$9)*(D69+E69)</f>
        <v>0.0</v>
      </c>
      <c r="Z69" s="7">
        <f>POWER(1/(1+Parameters!$E$32),A69-1)*(M69-N69)</f>
        <v>0.0</v>
      </c>
    </row>
    <row r="70" spans="1:26">
      <c r="A70" s="7">
        <v>26</v>
      </c>
      <c r="B70" s="7">
        <f>0</f>
        <v>0</v>
      </c>
      <c r="C70" s="7">
        <f>X69+B70</f>
        <v>0.0</v>
      </c>
      <c r="D70" s="7">
        <f>Y69</f>
        <v>0.0</v>
      </c>
      <c r="E70" s="7">
        <f>Parameters!$E$6*C70</f>
        <v>0.0</v>
      </c>
      <c r="F70" s="7">
        <f>IF(Parameters!$E$5=1,E70,0)</f>
        <v>0.0</v>
      </c>
      <c r="G70" s="7">
        <f>Parameters!$E$27*G69+F70</f>
        <v>0.0</v>
      </c>
      <c r="H70" s="7">
        <f>IF(AND(Parameters!$E$5=1,Parameters!$E$26=1),SUMPRODUCT(--($A$45:A70&lt;A70),--(MOD(A70-$A$45:A70,Parameters!$E$28)=0),$F$45:F70,POWER(Parameters!$E$27,IF(A70-$A$45:A70=0,1,A70-$A$45:A70))),0)</f>
        <v>0.0</v>
      </c>
      <c r="I70" s="7">
        <f>Parameters!$E$23*I69+B70*Parameters!$E$22</f>
        <v>0.0</v>
      </c>
      <c r="J70" s="7">
        <f>E70*Parameters!$E$14*(1-Parameters!$E$15)</f>
        <v>0.0</v>
      </c>
      <c r="K70" s="7">
        <f>H70*Parameters!$E$29</f>
        <v>0.0</v>
      </c>
      <c r="L70" s="7">
        <f>I70*Parameters!$E$24</f>
        <v>0.0</v>
      </c>
      <c r="M70" s="7">
        <f>J70+K70+L70</f>
        <v>0.0</v>
      </c>
      <c r="N70" s="7">
        <f>C70*Parameters!$E$17+D70*Parameters!$E$18+E70*Parameters!$E$16+I70*Parameters!$E$25+G70*Parameters!$E$30</f>
        <v>0.0</v>
      </c>
      <c r="O70" s="7">
        <f>0</f>
        <v>0</v>
      </c>
      <c r="P70" s="7">
        <f>M70-N70-O70</f>
        <v>0.0</v>
      </c>
      <c r="Q70" s="7">
        <f>0</f>
        <v>0</v>
      </c>
      <c r="R70" s="7">
        <f>P70-Q70</f>
        <v>0.0</v>
      </c>
      <c r="S70" s="7">
        <f>IF(A70&lt;1+Parameters!$E$31,0,INDEX($M$45:$M$80,A70-Parameters!$E$31))</f>
        <v>0.0</v>
      </c>
      <c r="T70" s="7">
        <f>T69+M70-S70</f>
        <v>0.0</v>
      </c>
      <c r="U70" s="7">
        <f>S70-N70-O70-Q70</f>
        <v>0.0</v>
      </c>
      <c r="V70" s="7">
        <f>V69+U70</f>
        <v>1.5999999999999999</v>
      </c>
      <c r="W70" s="7">
        <f>(1-Parameters!$E$7)*(C70-E70)+(1-Parameters!$E$8)*(D70+E70)</f>
        <v>0.0</v>
      </c>
      <c r="X70" s="7">
        <f>Parameters!$E$7*(C70-E70)+Parameters!$E$8*Parameters!$E$9*(D70+E70)</f>
        <v>0.0</v>
      </c>
      <c r="Y70" s="7">
        <f>Parameters!$E$8*(1-Parameters!$E$9)*(D70+E70)</f>
        <v>0.0</v>
      </c>
      <c r="Z70" s="7">
        <f>POWER(1/(1+Parameters!$E$32),A70-1)*(M70-N70)</f>
        <v>0.0</v>
      </c>
    </row>
    <row r="71" spans="1:26">
      <c r="A71" s="7">
        <v>27</v>
      </c>
      <c r="B71" s="7">
        <f>0</f>
        <v>0</v>
      </c>
      <c r="C71" s="7">
        <f>X70+B71</f>
        <v>0.0</v>
      </c>
      <c r="D71" s="7">
        <f>Y70</f>
        <v>0.0</v>
      </c>
      <c r="E71" s="7">
        <f>Parameters!$E$6*C71</f>
        <v>0.0</v>
      </c>
      <c r="F71" s="7">
        <f>IF(Parameters!$E$5=1,E71,0)</f>
        <v>0.0</v>
      </c>
      <c r="G71" s="7">
        <f>Parameters!$E$27*G70+F71</f>
        <v>0.0</v>
      </c>
      <c r="H71" s="7">
        <f>IF(AND(Parameters!$E$5=1,Parameters!$E$26=1),SUMPRODUCT(--($A$45:A71&lt;A71),--(MOD(A71-$A$45:A71,Parameters!$E$28)=0),$F$45:F71,POWER(Parameters!$E$27,IF(A71-$A$45:A71=0,1,A71-$A$45:A71))),0)</f>
        <v>0.0</v>
      </c>
      <c r="I71" s="7">
        <f>Parameters!$E$23*I70+B71*Parameters!$E$22</f>
        <v>0.0</v>
      </c>
      <c r="J71" s="7">
        <f>E71*Parameters!$E$14*(1-Parameters!$E$15)</f>
        <v>0.0</v>
      </c>
      <c r="K71" s="7">
        <f>H71*Parameters!$E$29</f>
        <v>0.0</v>
      </c>
      <c r="L71" s="7">
        <f>I71*Parameters!$E$24</f>
        <v>0.0</v>
      </c>
      <c r="M71" s="7">
        <f>J71+K71+L71</f>
        <v>0.0</v>
      </c>
      <c r="N71" s="7">
        <f>C71*Parameters!$E$17+D71*Parameters!$E$18+E71*Parameters!$E$16+I71*Parameters!$E$25+G71*Parameters!$E$30</f>
        <v>0.0</v>
      </c>
      <c r="O71" s="7">
        <f>0</f>
        <v>0</v>
      </c>
      <c r="P71" s="7">
        <f>M71-N71-O71</f>
        <v>0.0</v>
      </c>
      <c r="Q71" s="7">
        <f>0</f>
        <v>0</v>
      </c>
      <c r="R71" s="7">
        <f>P71-Q71</f>
        <v>0.0</v>
      </c>
      <c r="S71" s="7">
        <f>IF(A71&lt;1+Parameters!$E$31,0,INDEX($M$45:$M$80,A71-Parameters!$E$31))</f>
        <v>0.0</v>
      </c>
      <c r="T71" s="7">
        <f>T70+M71-S71</f>
        <v>0.0</v>
      </c>
      <c r="U71" s="7">
        <f>S71-N71-O71-Q71</f>
        <v>0.0</v>
      </c>
      <c r="V71" s="7">
        <f>V70+U71</f>
        <v>1.5999999999999999</v>
      </c>
      <c r="W71" s="7">
        <f>(1-Parameters!$E$7)*(C71-E71)+(1-Parameters!$E$8)*(D71+E71)</f>
        <v>0.0</v>
      </c>
      <c r="X71" s="7">
        <f>Parameters!$E$7*(C71-E71)+Parameters!$E$8*Parameters!$E$9*(D71+E71)</f>
        <v>0.0</v>
      </c>
      <c r="Y71" s="7">
        <f>Parameters!$E$8*(1-Parameters!$E$9)*(D71+E71)</f>
        <v>0.0</v>
      </c>
      <c r="Z71" s="7">
        <f>POWER(1/(1+Parameters!$E$32),A71-1)*(M71-N71)</f>
        <v>0.0</v>
      </c>
    </row>
    <row r="72" spans="1:26">
      <c r="A72" s="7">
        <v>28</v>
      </c>
      <c r="B72" s="7">
        <f>0</f>
        <v>0</v>
      </c>
      <c r="C72" s="7">
        <f>X71+B72</f>
        <v>0.0</v>
      </c>
      <c r="D72" s="7">
        <f>Y71</f>
        <v>0.0</v>
      </c>
      <c r="E72" s="7">
        <f>Parameters!$E$6*C72</f>
        <v>0.0</v>
      </c>
      <c r="F72" s="7">
        <f>IF(Parameters!$E$5=1,E72,0)</f>
        <v>0.0</v>
      </c>
      <c r="G72" s="7">
        <f>Parameters!$E$27*G71+F72</f>
        <v>0.0</v>
      </c>
      <c r="H72" s="7">
        <f>IF(AND(Parameters!$E$5=1,Parameters!$E$26=1),SUMPRODUCT(--($A$45:A72&lt;A72),--(MOD(A72-$A$45:A72,Parameters!$E$28)=0),$F$45:F72,POWER(Parameters!$E$27,IF(A72-$A$45:A72=0,1,A72-$A$45:A72))),0)</f>
        <v>0.0</v>
      </c>
      <c r="I72" s="7">
        <f>Parameters!$E$23*I71+B72*Parameters!$E$22</f>
        <v>0.0</v>
      </c>
      <c r="J72" s="7">
        <f>E72*Parameters!$E$14*(1-Parameters!$E$15)</f>
        <v>0.0</v>
      </c>
      <c r="K72" s="7">
        <f>H72*Parameters!$E$29</f>
        <v>0.0</v>
      </c>
      <c r="L72" s="7">
        <f>I72*Parameters!$E$24</f>
        <v>0.0</v>
      </c>
      <c r="M72" s="7">
        <f>J72+K72+L72</f>
        <v>0.0</v>
      </c>
      <c r="N72" s="7">
        <f>C72*Parameters!$E$17+D72*Parameters!$E$18+E72*Parameters!$E$16+I72*Parameters!$E$25+G72*Parameters!$E$30</f>
        <v>0.0</v>
      </c>
      <c r="O72" s="7">
        <f>0</f>
        <v>0</v>
      </c>
      <c r="P72" s="7">
        <f>M72-N72-O72</f>
        <v>0.0</v>
      </c>
      <c r="Q72" s="7">
        <f>0</f>
        <v>0</v>
      </c>
      <c r="R72" s="7">
        <f>P72-Q72</f>
        <v>0.0</v>
      </c>
      <c r="S72" s="7">
        <f>IF(A72&lt;1+Parameters!$E$31,0,INDEX($M$45:$M$80,A72-Parameters!$E$31))</f>
        <v>0.0</v>
      </c>
      <c r="T72" s="7">
        <f>T71+M72-S72</f>
        <v>0.0</v>
      </c>
      <c r="U72" s="7">
        <f>S72-N72-O72-Q72</f>
        <v>0.0</v>
      </c>
      <c r="V72" s="7">
        <f>V71+U72</f>
        <v>1.5999999999999999</v>
      </c>
      <c r="W72" s="7">
        <f>(1-Parameters!$E$7)*(C72-E72)+(1-Parameters!$E$8)*(D72+E72)</f>
        <v>0.0</v>
      </c>
      <c r="X72" s="7">
        <f>Parameters!$E$7*(C72-E72)+Parameters!$E$8*Parameters!$E$9*(D72+E72)</f>
        <v>0.0</v>
      </c>
      <c r="Y72" s="7">
        <f>Parameters!$E$8*(1-Parameters!$E$9)*(D72+E72)</f>
        <v>0.0</v>
      </c>
      <c r="Z72" s="7">
        <f>POWER(1/(1+Parameters!$E$32),A72-1)*(M72-N72)</f>
        <v>0.0</v>
      </c>
    </row>
    <row r="73" spans="1:26">
      <c r="A73" s="7">
        <v>29</v>
      </c>
      <c r="B73" s="7">
        <f>0</f>
        <v>0</v>
      </c>
      <c r="C73" s="7">
        <f>X72+B73</f>
        <v>0.0</v>
      </c>
      <c r="D73" s="7">
        <f>Y72</f>
        <v>0.0</v>
      </c>
      <c r="E73" s="7">
        <f>Parameters!$E$6*C73</f>
        <v>0.0</v>
      </c>
      <c r="F73" s="7">
        <f>IF(Parameters!$E$5=1,E73,0)</f>
        <v>0.0</v>
      </c>
      <c r="G73" s="7">
        <f>Parameters!$E$27*G72+F73</f>
        <v>0.0</v>
      </c>
      <c r="H73" s="7">
        <f>IF(AND(Parameters!$E$5=1,Parameters!$E$26=1),SUMPRODUCT(--($A$45:A73&lt;A73),--(MOD(A73-$A$45:A73,Parameters!$E$28)=0),$F$45:F73,POWER(Parameters!$E$27,IF(A73-$A$45:A73=0,1,A73-$A$45:A73))),0)</f>
        <v>0.0</v>
      </c>
      <c r="I73" s="7">
        <f>Parameters!$E$23*I72+B73*Parameters!$E$22</f>
        <v>0.0</v>
      </c>
      <c r="J73" s="7">
        <f>E73*Parameters!$E$14*(1-Parameters!$E$15)</f>
        <v>0.0</v>
      </c>
      <c r="K73" s="7">
        <f>H73*Parameters!$E$29</f>
        <v>0.0</v>
      </c>
      <c r="L73" s="7">
        <f>I73*Parameters!$E$24</f>
        <v>0.0</v>
      </c>
      <c r="M73" s="7">
        <f>J73+K73+L73</f>
        <v>0.0</v>
      </c>
      <c r="N73" s="7">
        <f>C73*Parameters!$E$17+D73*Parameters!$E$18+E73*Parameters!$E$16+I73*Parameters!$E$25+G73*Parameters!$E$30</f>
        <v>0.0</v>
      </c>
      <c r="O73" s="7">
        <f>0</f>
        <v>0</v>
      </c>
      <c r="P73" s="7">
        <f>M73-N73-O73</f>
        <v>0.0</v>
      </c>
      <c r="Q73" s="7">
        <f>0</f>
        <v>0</v>
      </c>
      <c r="R73" s="7">
        <f>P73-Q73</f>
        <v>0.0</v>
      </c>
      <c r="S73" s="7">
        <f>IF(A73&lt;1+Parameters!$E$31,0,INDEX($M$45:$M$80,A73-Parameters!$E$31))</f>
        <v>0.0</v>
      </c>
      <c r="T73" s="7">
        <f>T72+M73-S73</f>
        <v>0.0</v>
      </c>
      <c r="U73" s="7">
        <f>S73-N73-O73-Q73</f>
        <v>0.0</v>
      </c>
      <c r="V73" s="7">
        <f>V72+U73</f>
        <v>1.5999999999999999</v>
      </c>
      <c r="W73" s="7">
        <f>(1-Parameters!$E$7)*(C73-E73)+(1-Parameters!$E$8)*(D73+E73)</f>
        <v>0.0</v>
      </c>
      <c r="X73" s="7">
        <f>Parameters!$E$7*(C73-E73)+Parameters!$E$8*Parameters!$E$9*(D73+E73)</f>
        <v>0.0</v>
      </c>
      <c r="Y73" s="7">
        <f>Parameters!$E$8*(1-Parameters!$E$9)*(D73+E73)</f>
        <v>0.0</v>
      </c>
      <c r="Z73" s="7">
        <f>POWER(1/(1+Parameters!$E$32),A73-1)*(M73-N73)</f>
        <v>0.0</v>
      </c>
    </row>
    <row r="74" spans="1:26">
      <c r="A74" s="7">
        <v>30</v>
      </c>
      <c r="B74" s="7">
        <f>0</f>
        <v>0</v>
      </c>
      <c r="C74" s="7">
        <f>X73+B74</f>
        <v>0.0</v>
      </c>
      <c r="D74" s="7">
        <f>Y73</f>
        <v>0.0</v>
      </c>
      <c r="E74" s="7">
        <f>Parameters!$E$6*C74</f>
        <v>0.0</v>
      </c>
      <c r="F74" s="7">
        <f>IF(Parameters!$E$5=1,E74,0)</f>
        <v>0.0</v>
      </c>
      <c r="G74" s="7">
        <f>Parameters!$E$27*G73+F74</f>
        <v>0.0</v>
      </c>
      <c r="H74" s="7">
        <f>IF(AND(Parameters!$E$5=1,Parameters!$E$26=1),SUMPRODUCT(--($A$45:A74&lt;A74),--(MOD(A74-$A$45:A74,Parameters!$E$28)=0),$F$45:F74,POWER(Parameters!$E$27,IF(A74-$A$45:A74=0,1,A74-$A$45:A74))),0)</f>
        <v>0.0</v>
      </c>
      <c r="I74" s="7">
        <f>Parameters!$E$23*I73+B74*Parameters!$E$22</f>
        <v>0.0</v>
      </c>
      <c r="J74" s="7">
        <f>E74*Parameters!$E$14*(1-Parameters!$E$15)</f>
        <v>0.0</v>
      </c>
      <c r="K74" s="7">
        <f>H74*Parameters!$E$29</f>
        <v>0.0</v>
      </c>
      <c r="L74" s="7">
        <f>I74*Parameters!$E$24</f>
        <v>0.0</v>
      </c>
      <c r="M74" s="7">
        <f>J74+K74+L74</f>
        <v>0.0</v>
      </c>
      <c r="N74" s="7">
        <f>C74*Parameters!$E$17+D74*Parameters!$E$18+E74*Parameters!$E$16+I74*Parameters!$E$25+G74*Parameters!$E$30</f>
        <v>0.0</v>
      </c>
      <c r="O74" s="7">
        <f>0</f>
        <v>0</v>
      </c>
      <c r="P74" s="7">
        <f>M74-N74-O74</f>
        <v>0.0</v>
      </c>
      <c r="Q74" s="7">
        <f>0</f>
        <v>0</v>
      </c>
      <c r="R74" s="7">
        <f>P74-Q74</f>
        <v>0.0</v>
      </c>
      <c r="S74" s="7">
        <f>IF(A74&lt;1+Parameters!$E$31,0,INDEX($M$45:$M$80,A74-Parameters!$E$31))</f>
        <v>0.0</v>
      </c>
      <c r="T74" s="7">
        <f>T73+M74-S74</f>
        <v>0.0</v>
      </c>
      <c r="U74" s="7">
        <f>S74-N74-O74-Q74</f>
        <v>0.0</v>
      </c>
      <c r="V74" s="7">
        <f>V73+U74</f>
        <v>1.5999999999999999</v>
      </c>
      <c r="W74" s="7">
        <f>(1-Parameters!$E$7)*(C74-E74)+(1-Parameters!$E$8)*(D74+E74)</f>
        <v>0.0</v>
      </c>
      <c r="X74" s="7">
        <f>Parameters!$E$7*(C74-E74)+Parameters!$E$8*Parameters!$E$9*(D74+E74)</f>
        <v>0.0</v>
      </c>
      <c r="Y74" s="7">
        <f>Parameters!$E$8*(1-Parameters!$E$9)*(D74+E74)</f>
        <v>0.0</v>
      </c>
      <c r="Z74" s="7">
        <f>POWER(1/(1+Parameters!$E$32),A74-1)*(M74-N74)</f>
        <v>0.0</v>
      </c>
    </row>
    <row r="75" spans="1:26">
      <c r="A75" s="7">
        <v>31</v>
      </c>
      <c r="B75" s="7">
        <f>0</f>
        <v>0</v>
      </c>
      <c r="C75" s="7">
        <f>X74+B75</f>
        <v>0.0</v>
      </c>
      <c r="D75" s="7">
        <f>Y74</f>
        <v>0.0</v>
      </c>
      <c r="E75" s="7">
        <f>Parameters!$E$6*C75</f>
        <v>0.0</v>
      </c>
      <c r="F75" s="7">
        <f>IF(Parameters!$E$5=1,E75,0)</f>
        <v>0.0</v>
      </c>
      <c r="G75" s="7">
        <f>Parameters!$E$27*G74+F75</f>
        <v>0.0</v>
      </c>
      <c r="H75" s="7">
        <f>IF(AND(Parameters!$E$5=1,Parameters!$E$26=1),SUMPRODUCT(--($A$45:A75&lt;A75),--(MOD(A75-$A$45:A75,Parameters!$E$28)=0),$F$45:F75,POWER(Parameters!$E$27,IF(A75-$A$45:A75=0,1,A75-$A$45:A75))),0)</f>
        <v>0.0</v>
      </c>
      <c r="I75" s="7">
        <f>Parameters!$E$23*I74+B75*Parameters!$E$22</f>
        <v>0.0</v>
      </c>
      <c r="J75" s="7">
        <f>E75*Parameters!$E$14*(1-Parameters!$E$15)</f>
        <v>0.0</v>
      </c>
      <c r="K75" s="7">
        <f>H75*Parameters!$E$29</f>
        <v>0.0</v>
      </c>
      <c r="L75" s="7">
        <f>I75*Parameters!$E$24</f>
        <v>0.0</v>
      </c>
      <c r="M75" s="7">
        <f>J75+K75+L75</f>
        <v>0.0</v>
      </c>
      <c r="N75" s="7">
        <f>C75*Parameters!$E$17+D75*Parameters!$E$18+E75*Parameters!$E$16+I75*Parameters!$E$25+G75*Parameters!$E$30</f>
        <v>0.0</v>
      </c>
      <c r="O75" s="7">
        <f>0</f>
        <v>0</v>
      </c>
      <c r="P75" s="7">
        <f>M75-N75-O75</f>
        <v>0.0</v>
      </c>
      <c r="Q75" s="7">
        <f>0</f>
        <v>0</v>
      </c>
      <c r="R75" s="7">
        <f>P75-Q75</f>
        <v>0.0</v>
      </c>
      <c r="S75" s="7">
        <f>IF(A75&lt;1+Parameters!$E$31,0,INDEX($M$45:$M$80,A75-Parameters!$E$31))</f>
        <v>0.0</v>
      </c>
      <c r="T75" s="7">
        <f>T74+M75-S75</f>
        <v>0.0</v>
      </c>
      <c r="U75" s="7">
        <f>S75-N75-O75-Q75</f>
        <v>0.0</v>
      </c>
      <c r="V75" s="7">
        <f>V74+U75</f>
        <v>1.5999999999999999</v>
      </c>
      <c r="W75" s="7">
        <f>(1-Parameters!$E$7)*(C75-E75)+(1-Parameters!$E$8)*(D75+E75)</f>
        <v>0.0</v>
      </c>
      <c r="X75" s="7">
        <f>Parameters!$E$7*(C75-E75)+Parameters!$E$8*Parameters!$E$9*(D75+E75)</f>
        <v>0.0</v>
      </c>
      <c r="Y75" s="7">
        <f>Parameters!$E$8*(1-Parameters!$E$9)*(D75+E75)</f>
        <v>0.0</v>
      </c>
      <c r="Z75" s="7">
        <f>POWER(1/(1+Parameters!$E$32),A75-1)*(M75-N75)</f>
        <v>0.0</v>
      </c>
    </row>
    <row r="76" spans="1:26">
      <c r="A76" s="7">
        <v>32</v>
      </c>
      <c r="B76" s="7">
        <f>0</f>
        <v>0</v>
      </c>
      <c r="C76" s="7">
        <f>X75+B76</f>
        <v>0.0</v>
      </c>
      <c r="D76" s="7">
        <f>Y75</f>
        <v>0.0</v>
      </c>
      <c r="E76" s="7">
        <f>Parameters!$E$6*C76</f>
        <v>0.0</v>
      </c>
      <c r="F76" s="7">
        <f>IF(Parameters!$E$5=1,E76,0)</f>
        <v>0.0</v>
      </c>
      <c r="G76" s="7">
        <f>Parameters!$E$27*G75+F76</f>
        <v>0.0</v>
      </c>
      <c r="H76" s="7">
        <f>IF(AND(Parameters!$E$5=1,Parameters!$E$26=1),SUMPRODUCT(--($A$45:A76&lt;A76),--(MOD(A76-$A$45:A76,Parameters!$E$28)=0),$F$45:F76,POWER(Parameters!$E$27,IF(A76-$A$45:A76=0,1,A76-$A$45:A76))),0)</f>
        <v>0.0</v>
      </c>
      <c r="I76" s="7">
        <f>Parameters!$E$23*I75+B76*Parameters!$E$22</f>
        <v>0.0</v>
      </c>
      <c r="J76" s="7">
        <f>E76*Parameters!$E$14*(1-Parameters!$E$15)</f>
        <v>0.0</v>
      </c>
      <c r="K76" s="7">
        <f>H76*Parameters!$E$29</f>
        <v>0.0</v>
      </c>
      <c r="L76" s="7">
        <f>I76*Parameters!$E$24</f>
        <v>0.0</v>
      </c>
      <c r="M76" s="7">
        <f>J76+K76+L76</f>
        <v>0.0</v>
      </c>
      <c r="N76" s="7">
        <f>C76*Parameters!$E$17+D76*Parameters!$E$18+E76*Parameters!$E$16+I76*Parameters!$E$25+G76*Parameters!$E$30</f>
        <v>0.0</v>
      </c>
      <c r="O76" s="7">
        <f>0</f>
        <v>0</v>
      </c>
      <c r="P76" s="7">
        <f>M76-N76-O76</f>
        <v>0.0</v>
      </c>
      <c r="Q76" s="7">
        <f>0</f>
        <v>0</v>
      </c>
      <c r="R76" s="7">
        <f>P76-Q76</f>
        <v>0.0</v>
      </c>
      <c r="S76" s="7">
        <f>IF(A76&lt;1+Parameters!$E$31,0,INDEX($M$45:$M$80,A76-Parameters!$E$31))</f>
        <v>0.0</v>
      </c>
      <c r="T76" s="7">
        <f>T75+M76-S76</f>
        <v>0.0</v>
      </c>
      <c r="U76" s="7">
        <f>S76-N76-O76-Q76</f>
        <v>0.0</v>
      </c>
      <c r="V76" s="7">
        <f>V75+U76</f>
        <v>1.5999999999999999</v>
      </c>
      <c r="W76" s="7">
        <f>(1-Parameters!$E$7)*(C76-E76)+(1-Parameters!$E$8)*(D76+E76)</f>
        <v>0.0</v>
      </c>
      <c r="X76" s="7">
        <f>Parameters!$E$7*(C76-E76)+Parameters!$E$8*Parameters!$E$9*(D76+E76)</f>
        <v>0.0</v>
      </c>
      <c r="Y76" s="7">
        <f>Parameters!$E$8*(1-Parameters!$E$9)*(D76+E76)</f>
        <v>0.0</v>
      </c>
      <c r="Z76" s="7">
        <f>POWER(1/(1+Parameters!$E$32),A76-1)*(M76-N76)</f>
        <v>0.0</v>
      </c>
    </row>
    <row r="77" spans="1:26">
      <c r="A77" s="7">
        <v>33</v>
      </c>
      <c r="B77" s="7">
        <f>0</f>
        <v>0</v>
      </c>
      <c r="C77" s="7">
        <f>X76+B77</f>
        <v>0.0</v>
      </c>
      <c r="D77" s="7">
        <f>Y76</f>
        <v>0.0</v>
      </c>
      <c r="E77" s="7">
        <f>Parameters!$E$6*C77</f>
        <v>0.0</v>
      </c>
      <c r="F77" s="7">
        <f>IF(Parameters!$E$5=1,E77,0)</f>
        <v>0.0</v>
      </c>
      <c r="G77" s="7">
        <f>Parameters!$E$27*G76+F77</f>
        <v>0.0</v>
      </c>
      <c r="H77" s="7">
        <f>IF(AND(Parameters!$E$5=1,Parameters!$E$26=1),SUMPRODUCT(--($A$45:A77&lt;A77),--(MOD(A77-$A$45:A77,Parameters!$E$28)=0),$F$45:F77,POWER(Parameters!$E$27,IF(A77-$A$45:A77=0,1,A77-$A$45:A77))),0)</f>
        <v>0.0</v>
      </c>
      <c r="I77" s="7">
        <f>Parameters!$E$23*I76+B77*Parameters!$E$22</f>
        <v>0.0</v>
      </c>
      <c r="J77" s="7">
        <f>E77*Parameters!$E$14*(1-Parameters!$E$15)</f>
        <v>0.0</v>
      </c>
      <c r="K77" s="7">
        <f>H77*Parameters!$E$29</f>
        <v>0.0</v>
      </c>
      <c r="L77" s="7">
        <f>I77*Parameters!$E$24</f>
        <v>0.0</v>
      </c>
      <c r="M77" s="7">
        <f>J77+K77+L77</f>
        <v>0.0</v>
      </c>
      <c r="N77" s="7">
        <f>C77*Parameters!$E$17+D77*Parameters!$E$18+E77*Parameters!$E$16+I77*Parameters!$E$25+G77*Parameters!$E$30</f>
        <v>0.0</v>
      </c>
      <c r="O77" s="7">
        <f>0</f>
        <v>0</v>
      </c>
      <c r="P77" s="7">
        <f>M77-N77-O77</f>
        <v>0.0</v>
      </c>
      <c r="Q77" s="7">
        <f>0</f>
        <v>0</v>
      </c>
      <c r="R77" s="7">
        <f>P77-Q77</f>
        <v>0.0</v>
      </c>
      <c r="S77" s="7">
        <f>IF(A77&lt;1+Parameters!$E$31,0,INDEX($M$45:$M$80,A77-Parameters!$E$31))</f>
        <v>0.0</v>
      </c>
      <c r="T77" s="7">
        <f>T76+M77-S77</f>
        <v>0.0</v>
      </c>
      <c r="U77" s="7">
        <f>S77-N77-O77-Q77</f>
        <v>0.0</v>
      </c>
      <c r="V77" s="7">
        <f>V76+U77</f>
        <v>1.5999999999999999</v>
      </c>
      <c r="W77" s="7">
        <f>(1-Parameters!$E$7)*(C77-E77)+(1-Parameters!$E$8)*(D77+E77)</f>
        <v>0.0</v>
      </c>
      <c r="X77" s="7">
        <f>Parameters!$E$7*(C77-E77)+Parameters!$E$8*Parameters!$E$9*(D77+E77)</f>
        <v>0.0</v>
      </c>
      <c r="Y77" s="7">
        <f>Parameters!$E$8*(1-Parameters!$E$9)*(D77+E77)</f>
        <v>0.0</v>
      </c>
      <c r="Z77" s="7">
        <f>POWER(1/(1+Parameters!$E$32),A77-1)*(M77-N77)</f>
        <v>0.0</v>
      </c>
    </row>
    <row r="78" spans="1:26">
      <c r="A78" s="7">
        <v>34</v>
      </c>
      <c r="B78" s="7">
        <f>0</f>
        <v>0</v>
      </c>
      <c r="C78" s="7">
        <f>X77+B78</f>
        <v>0.0</v>
      </c>
      <c r="D78" s="7">
        <f>Y77</f>
        <v>0.0</v>
      </c>
      <c r="E78" s="7">
        <f>Parameters!$E$6*C78</f>
        <v>0.0</v>
      </c>
      <c r="F78" s="7">
        <f>IF(Parameters!$E$5=1,E78,0)</f>
        <v>0.0</v>
      </c>
      <c r="G78" s="7">
        <f>Parameters!$E$27*G77+F78</f>
        <v>0.0</v>
      </c>
      <c r="H78" s="7">
        <f>IF(AND(Parameters!$E$5=1,Parameters!$E$26=1),SUMPRODUCT(--($A$45:A78&lt;A78),--(MOD(A78-$A$45:A78,Parameters!$E$28)=0),$F$45:F78,POWER(Parameters!$E$27,IF(A78-$A$45:A78=0,1,A78-$A$45:A78))),0)</f>
        <v>0.0</v>
      </c>
      <c r="I78" s="7">
        <f>Parameters!$E$23*I77+B78*Parameters!$E$22</f>
        <v>0.0</v>
      </c>
      <c r="J78" s="7">
        <f>E78*Parameters!$E$14*(1-Parameters!$E$15)</f>
        <v>0.0</v>
      </c>
      <c r="K78" s="7">
        <f>H78*Parameters!$E$29</f>
        <v>0.0</v>
      </c>
      <c r="L78" s="7">
        <f>I78*Parameters!$E$24</f>
        <v>0.0</v>
      </c>
      <c r="M78" s="7">
        <f>J78+K78+L78</f>
        <v>0.0</v>
      </c>
      <c r="N78" s="7">
        <f>C78*Parameters!$E$17+D78*Parameters!$E$18+E78*Parameters!$E$16+I78*Parameters!$E$25+G78*Parameters!$E$30</f>
        <v>0.0</v>
      </c>
      <c r="O78" s="7">
        <f>0</f>
        <v>0</v>
      </c>
      <c r="P78" s="7">
        <f>M78-N78-O78</f>
        <v>0.0</v>
      </c>
      <c r="Q78" s="7">
        <f>0</f>
        <v>0</v>
      </c>
      <c r="R78" s="7">
        <f>P78-Q78</f>
        <v>0.0</v>
      </c>
      <c r="S78" s="7">
        <f>IF(A78&lt;1+Parameters!$E$31,0,INDEX($M$45:$M$80,A78-Parameters!$E$31))</f>
        <v>0.0</v>
      </c>
      <c r="T78" s="7">
        <f>T77+M78-S78</f>
        <v>0.0</v>
      </c>
      <c r="U78" s="7">
        <f>S78-N78-O78-Q78</f>
        <v>0.0</v>
      </c>
      <c r="V78" s="7">
        <f>V77+U78</f>
        <v>1.5999999999999999</v>
      </c>
      <c r="W78" s="7">
        <f>(1-Parameters!$E$7)*(C78-E78)+(1-Parameters!$E$8)*(D78+E78)</f>
        <v>0.0</v>
      </c>
      <c r="X78" s="7">
        <f>Parameters!$E$7*(C78-E78)+Parameters!$E$8*Parameters!$E$9*(D78+E78)</f>
        <v>0.0</v>
      </c>
      <c r="Y78" s="7">
        <f>Parameters!$E$8*(1-Parameters!$E$9)*(D78+E78)</f>
        <v>0.0</v>
      </c>
      <c r="Z78" s="7">
        <f>POWER(1/(1+Parameters!$E$32),A78-1)*(M78-N78)</f>
        <v>0.0</v>
      </c>
    </row>
    <row r="79" spans="1:26">
      <c r="A79" s="7">
        <v>35</v>
      </c>
      <c r="B79" s="7">
        <f>0</f>
        <v>0</v>
      </c>
      <c r="C79" s="7">
        <f>X78+B79</f>
        <v>0.0</v>
      </c>
      <c r="D79" s="7">
        <f>Y78</f>
        <v>0.0</v>
      </c>
      <c r="E79" s="7">
        <f>Parameters!$E$6*C79</f>
        <v>0.0</v>
      </c>
      <c r="F79" s="7">
        <f>IF(Parameters!$E$5=1,E79,0)</f>
        <v>0.0</v>
      </c>
      <c r="G79" s="7">
        <f>Parameters!$E$27*G78+F79</f>
        <v>0.0</v>
      </c>
      <c r="H79" s="7">
        <f>IF(AND(Parameters!$E$5=1,Parameters!$E$26=1),SUMPRODUCT(--($A$45:A79&lt;A79),--(MOD(A79-$A$45:A79,Parameters!$E$28)=0),$F$45:F79,POWER(Parameters!$E$27,IF(A79-$A$45:A79=0,1,A79-$A$45:A79))),0)</f>
        <v>0.0</v>
      </c>
      <c r="I79" s="7">
        <f>Parameters!$E$23*I78+B79*Parameters!$E$22</f>
        <v>0.0</v>
      </c>
      <c r="J79" s="7">
        <f>E79*Parameters!$E$14*(1-Parameters!$E$15)</f>
        <v>0.0</v>
      </c>
      <c r="K79" s="7">
        <f>H79*Parameters!$E$29</f>
        <v>0.0</v>
      </c>
      <c r="L79" s="7">
        <f>I79*Parameters!$E$24</f>
        <v>0.0</v>
      </c>
      <c r="M79" s="7">
        <f>J79+K79+L79</f>
        <v>0.0</v>
      </c>
      <c r="N79" s="7">
        <f>C79*Parameters!$E$17+D79*Parameters!$E$18+E79*Parameters!$E$16+I79*Parameters!$E$25+G79*Parameters!$E$30</f>
        <v>0.0</v>
      </c>
      <c r="O79" s="7">
        <f>0</f>
        <v>0</v>
      </c>
      <c r="P79" s="7">
        <f>M79-N79-O79</f>
        <v>0.0</v>
      </c>
      <c r="Q79" s="7">
        <f>0</f>
        <v>0</v>
      </c>
      <c r="R79" s="7">
        <f>P79-Q79</f>
        <v>0.0</v>
      </c>
      <c r="S79" s="7">
        <f>IF(A79&lt;1+Parameters!$E$31,0,INDEX($M$45:$M$80,A79-Parameters!$E$31))</f>
        <v>0.0</v>
      </c>
      <c r="T79" s="7">
        <f>T78+M79-S79</f>
        <v>0.0</v>
      </c>
      <c r="U79" s="7">
        <f>S79-N79-O79-Q79</f>
        <v>0.0</v>
      </c>
      <c r="V79" s="7">
        <f>V78+U79</f>
        <v>1.5999999999999999</v>
      </c>
      <c r="W79" s="7">
        <f>(1-Parameters!$E$7)*(C79-E79)+(1-Parameters!$E$8)*(D79+E79)</f>
        <v>0.0</v>
      </c>
      <c r="X79" s="7">
        <f>Parameters!$E$7*(C79-E79)+Parameters!$E$8*Parameters!$E$9*(D79+E79)</f>
        <v>0.0</v>
      </c>
      <c r="Y79" s="7">
        <f>Parameters!$E$8*(1-Parameters!$E$9)*(D79+E79)</f>
        <v>0.0</v>
      </c>
      <c r="Z79" s="7">
        <f>POWER(1/(1+Parameters!$E$32),A79-1)*(M79-N79)</f>
        <v>0.0</v>
      </c>
    </row>
    <row r="80" spans="1:26">
      <c r="A80" s="7">
        <v>36</v>
      </c>
      <c r="B80" s="7">
        <f>0</f>
        <v>0</v>
      </c>
      <c r="C80" s="7">
        <f>X79+B80</f>
        <v>0.0</v>
      </c>
      <c r="D80" s="7">
        <f>Y79</f>
        <v>0.0</v>
      </c>
      <c r="E80" s="7">
        <f>Parameters!$E$6*C80</f>
        <v>0.0</v>
      </c>
      <c r="F80" s="7">
        <f>IF(Parameters!$E$5=1,E80,0)</f>
        <v>0.0</v>
      </c>
      <c r="G80" s="7">
        <f>Parameters!$E$27*G79+F80</f>
        <v>0.0</v>
      </c>
      <c r="H80" s="7">
        <f>IF(AND(Parameters!$E$5=1,Parameters!$E$26=1),SUMPRODUCT(--($A$45:A80&lt;A80),--(MOD(A80-$A$45:A80,Parameters!$E$28)=0),$F$45:F80,POWER(Parameters!$E$27,IF(A80-$A$45:A80=0,1,A80-$A$45:A80))),0)</f>
        <v>0.0</v>
      </c>
      <c r="I80" s="7">
        <f>Parameters!$E$23*I79+B80*Parameters!$E$22</f>
        <v>0.0</v>
      </c>
      <c r="J80" s="7">
        <f>E80*Parameters!$E$14*(1-Parameters!$E$15)</f>
        <v>0.0</v>
      </c>
      <c r="K80" s="7">
        <f>H80*Parameters!$E$29</f>
        <v>0.0</v>
      </c>
      <c r="L80" s="7">
        <f>I80*Parameters!$E$24</f>
        <v>0.0</v>
      </c>
      <c r="M80" s="7">
        <f>J80+K80+L80</f>
        <v>0.0</v>
      </c>
      <c r="N80" s="7">
        <f>C80*Parameters!$E$17+D80*Parameters!$E$18+E80*Parameters!$E$16+I80*Parameters!$E$25+G80*Parameters!$E$30</f>
        <v>0.0</v>
      </c>
      <c r="O80" s="7">
        <f>0</f>
        <v>0</v>
      </c>
      <c r="P80" s="7">
        <f>M80-N80-O80</f>
        <v>0.0</v>
      </c>
      <c r="Q80" s="7">
        <f>0</f>
        <v>0</v>
      </c>
      <c r="R80" s="7">
        <f>P80-Q80</f>
        <v>0.0</v>
      </c>
      <c r="S80" s="7">
        <f>IF(A80&lt;1+Parameters!$E$31,0,INDEX($M$45:$M$80,A80-Parameters!$E$31))</f>
        <v>0.0</v>
      </c>
      <c r="T80" s="7">
        <f>T79+M80-S80</f>
        <v>0.0</v>
      </c>
      <c r="U80" s="7">
        <f>S80-N80-O80-Q80</f>
        <v>0.0</v>
      </c>
      <c r="V80" s="7">
        <f>V79+U80</f>
        <v>1.5999999999999999</v>
      </c>
      <c r="W80" s="7">
        <f>(1-Parameters!$E$7)*(C80-E80)+(1-Parameters!$E$8)*(D80+E80)</f>
        <v>0.0</v>
      </c>
      <c r="X80" s="7">
        <f>Parameters!$E$7*(C80-E80)+Parameters!$E$8*Parameters!$E$9*(D80+E80)</f>
        <v>0.0</v>
      </c>
      <c r="Y80" s="7">
        <f>Parameters!$E$8*(1-Parameters!$E$9)*(D80+E80)</f>
        <v>0.0</v>
      </c>
      <c r="Z80" s="7">
        <f>POWER(1/(1+Parameters!$E$32),A80-1)*(M80-N80)</f>
        <v>0.0</v>
      </c>
    </row>
  </sheetData>
  <mergeCells count="3">
    <mergeCell ref="A1:Z1"/>
    <mergeCell ref="A2:Z2"/>
    <mergeCell ref="A43:Z4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Z80"/>
  <sheetViews>
    <sheetView showGridLines="0" zoomScale="85" zoomScaleNormal="85" workbookViewId="0">
      <pane xSplit="4" ySplit="4" topLeftCell="E5" activePane="bottomRight" state="frozen"/>
      <selection pane="topRight" activeCell="E1" sqref="E1"/>
      <selection pane="bottomLeft" activeCell="A5" sqref="A5"/>
      <selection pane="bottomRight"/>
    </sheetView>
  </sheetViews>
  <sheetFormatPr defaultRowHeight="15"/>
  <cols>
    <col min="1" max="1" width="10.7109375" customWidth="1"/>
    <col min="2" max="9" width="19.7109375" customWidth="1"/>
    <col min="10" max="26" width="22.7109375" customWidth="1"/>
  </cols>
  <sheetData>
    <row r="1" spans="1:26">
      <c r="A1" s="1" t="s">
        <v>193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3" t="s">
        <v>163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4" spans="1:26" ht="45" customHeight="1">
      <c r="A4" s="4" t="s">
        <v>164</v>
      </c>
      <c r="B4" s="4" t="s">
        <v>165</v>
      </c>
      <c r="C4" s="4" t="s">
        <v>166</v>
      </c>
      <c r="D4" s="4" t="s">
        <v>167</v>
      </c>
      <c r="E4" s="4" t="s">
        <v>168</v>
      </c>
      <c r="F4" s="4" t="s">
        <v>169</v>
      </c>
      <c r="G4" s="4" t="s">
        <v>170</v>
      </c>
      <c r="H4" s="4" t="s">
        <v>171</v>
      </c>
      <c r="I4" s="4" t="s">
        <v>172</v>
      </c>
      <c r="J4" s="4" t="s">
        <v>173</v>
      </c>
      <c r="K4" s="4" t="s">
        <v>174</v>
      </c>
      <c r="L4" s="4" t="s">
        <v>175</v>
      </c>
      <c r="M4" s="4" t="s">
        <v>176</v>
      </c>
      <c r="N4" s="4" t="s">
        <v>177</v>
      </c>
      <c r="O4" s="4" t="s">
        <v>99</v>
      </c>
      <c r="P4" s="4" t="s">
        <v>178</v>
      </c>
      <c r="Q4" s="4" t="s">
        <v>179</v>
      </c>
      <c r="R4" s="4" t="s">
        <v>180</v>
      </c>
      <c r="S4" s="4" t="s">
        <v>181</v>
      </c>
      <c r="T4" s="4" t="s">
        <v>182</v>
      </c>
      <c r="U4" s="4" t="s">
        <v>183</v>
      </c>
      <c r="V4" s="4" t="s">
        <v>184</v>
      </c>
      <c r="W4" s="4" t="s">
        <v>185</v>
      </c>
      <c r="X4" s="4" t="s">
        <v>186</v>
      </c>
      <c r="Y4" s="4" t="s">
        <v>187</v>
      </c>
      <c r="Z4" s="4" t="s">
        <v>188</v>
      </c>
    </row>
    <row r="5" spans="1:26">
      <c r="A5" s="7">
        <v>1</v>
      </c>
      <c r="B5" s="7">
        <f>Parameters!$F$20</f>
        <v>1000</v>
      </c>
      <c r="C5" s="7">
        <f>B5</f>
        <v>1000</v>
      </c>
      <c r="D5" s="7">
        <f>0</f>
        <v>0.0</v>
      </c>
      <c r="E5" s="7">
        <f>Parameters!$F$6*C5</f>
        <v>100.0</v>
      </c>
      <c r="F5" s="7">
        <f>IF(Parameters!$F$5=1,E5,0)</f>
        <v>0.0</v>
      </c>
      <c r="G5" s="7">
        <f>F5</f>
        <v>0.0</v>
      </c>
      <c r="H5" s="7">
        <f>IF(AND(Parameters!$F$5=1,Parameters!$F$26=1),SUMPRODUCT(--($A$5:A5&lt;A5),--(MOD(A5-$A$5:A5,Parameters!$F$28)=0),$F$5:F5,POWER(Parameters!$F$27,IF(A5-$A$5:A5=0,1,A5-$A$5:A5))),0)</f>
        <v>0.0</v>
      </c>
      <c r="I5" s="7">
        <f>B5*Parameters!$F$22</f>
        <v>0.0</v>
      </c>
      <c r="J5" s="7">
        <f>E5*Parameters!$F$14*(1-Parameters!$F$15)</f>
        <v>1900.0</v>
      </c>
      <c r="K5" s="7">
        <f>H5*Parameters!$F$29</f>
        <v>0.0</v>
      </c>
      <c r="L5" s="7">
        <f>I5*Parameters!$F$24</f>
        <v>0.0</v>
      </c>
      <c r="M5" s="7">
        <f>J5+K5+L5</f>
        <v>1900.0</v>
      </c>
      <c r="N5" s="7">
        <f>C5*Parameters!$F$17+D5*Parameters!$F$18+E5*Parameters!$F$16+I5*Parameters!$F$25+G5*Parameters!$F$30</f>
        <v>300.0</v>
      </c>
      <c r="O5" s="7">
        <f>B5*Parameters!$F$19</f>
        <v>4000</v>
      </c>
      <c r="P5" s="7">
        <f>M5-N5-O5</f>
        <v>-2400.0</v>
      </c>
      <c r="Q5" s="7">
        <f>Parameters!$F$21</f>
        <v>1000</v>
      </c>
      <c r="R5" s="7">
        <f>P5-Q5</f>
        <v>-3400.0</v>
      </c>
      <c r="S5" s="7">
        <f>IF(A5&lt;1+Parameters!$F$31,0,INDEX($M$5:$M$40,A5-Parameters!$F$31))</f>
        <v>0.0</v>
      </c>
      <c r="T5" s="7">
        <f>M5-S5</f>
        <v>1900.0</v>
      </c>
      <c r="U5" s="7">
        <f>S5-N5-O5-Q5</f>
        <v>-5300.0</v>
      </c>
      <c r="V5" s="7">
        <f>U5</f>
        <v>-5300.0</v>
      </c>
      <c r="W5" s="7">
        <f>(1-Parameters!$F$7)*(C5-E5)+(1-Parameters!$F$8)*(D5+E5)</f>
        <v>920.0</v>
      </c>
      <c r="X5" s="7">
        <f>Parameters!$F$7*(C5-E5)+Parameters!$F$8*Parameters!$F$9*(D5+E5)</f>
        <v>0.0</v>
      </c>
      <c r="Y5" s="7">
        <f>Parameters!$F$8*(1-Parameters!$F$9)*(D5+E5)</f>
        <v>80.0</v>
      </c>
      <c r="Z5" s="7">
        <f>POWER(1/(1+Parameters!$F$32),A5-1)*(M5-N5)</f>
        <v>1600.0</v>
      </c>
    </row>
    <row r="6" spans="1:26">
      <c r="A6" s="7">
        <v>2</v>
      </c>
      <c r="B6" s="7">
        <f>Parameters!$F$20</f>
        <v>1000</v>
      </c>
      <c r="C6" s="7">
        <f>X5+B6</f>
        <v>1000.0</v>
      </c>
      <c r="D6" s="7">
        <f>Y5</f>
        <v>80.00000000000001</v>
      </c>
      <c r="E6" s="7">
        <f>Parameters!$F$6*C6</f>
        <v>100.0</v>
      </c>
      <c r="F6" s="7">
        <f>IF(Parameters!$F$5=1,E6,0)</f>
        <v>0.0</v>
      </c>
      <c r="G6" s="7">
        <f>Parameters!$F$27*G5+F6</f>
        <v>0.0</v>
      </c>
      <c r="H6" s="7">
        <f>IF(AND(Parameters!$F$5=1,Parameters!$F$26=1),SUMPRODUCT(--($A$5:A6&lt;A6),--(MOD(A6-$A$5:A6,Parameters!$F$28)=0),$F$5:F6,POWER(Parameters!$F$27,IF(A6-$A$5:A6=0,1,A6-$A$5:A6))),0)</f>
        <v>0.0</v>
      </c>
      <c r="I6" s="7">
        <f>Parameters!$F$23*I5+B6*Parameters!$F$22</f>
        <v>0.0</v>
      </c>
      <c r="J6" s="7">
        <f>E6*Parameters!$F$14*(1-Parameters!$F$15)</f>
        <v>1900.0</v>
      </c>
      <c r="K6" s="7">
        <f>H6*Parameters!$F$29</f>
        <v>0.0</v>
      </c>
      <c r="L6" s="7">
        <f>I6*Parameters!$F$24</f>
        <v>0.0</v>
      </c>
      <c r="M6" s="7">
        <f>J6+K6+L6</f>
        <v>1900.0</v>
      </c>
      <c r="N6" s="7">
        <f>C6*Parameters!$F$17+D6*Parameters!$F$18+E6*Parameters!$F$16+I6*Parameters!$F$25+G6*Parameters!$F$30</f>
        <v>324.0</v>
      </c>
      <c r="O6" s="7">
        <f>B6*Parameters!$F$19</f>
        <v>4000</v>
      </c>
      <c r="P6" s="7">
        <f>M6-N6-O6</f>
        <v>-2424.0</v>
      </c>
      <c r="Q6" s="7">
        <f>Parameters!$F$21</f>
        <v>1000</v>
      </c>
      <c r="R6" s="7">
        <f>P6-Q6</f>
        <v>-3424.0</v>
      </c>
      <c r="S6" s="7">
        <f>IF(A6&lt;1+Parameters!$F$31,0,INDEX($M$5:$M$40,A6-Parameters!$F$31))</f>
        <v>1900.0</v>
      </c>
      <c r="T6" s="7">
        <f>T5+M6-S6</f>
        <v>1900.0</v>
      </c>
      <c r="U6" s="7">
        <f>S6-N6-O6-Q6</f>
        <v>-3424.0</v>
      </c>
      <c r="V6" s="7">
        <f>V5+U6</f>
        <v>-8724.0</v>
      </c>
      <c r="W6" s="7">
        <f>(1-Parameters!$F$7)*(C6-E6)+(1-Parameters!$F$8)*(D6+E6)</f>
        <v>936.0</v>
      </c>
      <c r="X6" s="7">
        <f>Parameters!$F$7*(C6-E6)+Parameters!$F$8*Parameters!$F$9*(D6+E6)</f>
        <v>0.0</v>
      </c>
      <c r="Y6" s="7">
        <f>Parameters!$F$8*(1-Parameters!$F$9)*(D6+E6)</f>
        <v>144.0</v>
      </c>
      <c r="Z6" s="7">
        <f>POWER(1/(1+Parameters!$F$32),A6-1)*(M6-N6)</f>
        <v>1560.3960396039604</v>
      </c>
    </row>
    <row r="7" spans="1:26">
      <c r="A7" s="7">
        <v>3</v>
      </c>
      <c r="B7" s="7">
        <f>Parameters!$F$20</f>
        <v>1000</v>
      </c>
      <c r="C7" s="7">
        <f>X6+B7</f>
        <v>1000.0</v>
      </c>
      <c r="D7" s="7">
        <f>Y6</f>
        <v>144.00000000000003</v>
      </c>
      <c r="E7" s="7">
        <f>Parameters!$F$6*C7</f>
        <v>100.0</v>
      </c>
      <c r="F7" s="7">
        <f>IF(Parameters!$F$5=1,E7,0)</f>
        <v>0.0</v>
      </c>
      <c r="G7" s="7">
        <f>Parameters!$F$27*G6+F7</f>
        <v>0.0</v>
      </c>
      <c r="H7" s="7">
        <f>IF(AND(Parameters!$F$5=1,Parameters!$F$26=1),SUMPRODUCT(--($A$5:A7&lt;A7),--(MOD(A7-$A$5:A7,Parameters!$F$28)=0),$F$5:F7,POWER(Parameters!$F$27,IF(A7-$A$5:A7=0,1,A7-$A$5:A7))),0)</f>
        <v>0.0</v>
      </c>
      <c r="I7" s="7">
        <f>Parameters!$F$23*I6+B7*Parameters!$F$22</f>
        <v>0.0</v>
      </c>
      <c r="J7" s="7">
        <f>E7*Parameters!$F$14*(1-Parameters!$F$15)</f>
        <v>1900.0</v>
      </c>
      <c r="K7" s="7">
        <f>H7*Parameters!$F$29</f>
        <v>0.0</v>
      </c>
      <c r="L7" s="7">
        <f>I7*Parameters!$F$24</f>
        <v>0.0</v>
      </c>
      <c r="M7" s="7">
        <f>J7+K7+L7</f>
        <v>1900.0</v>
      </c>
      <c r="N7" s="7">
        <f>C7*Parameters!$F$17+D7*Parameters!$F$18+E7*Parameters!$F$16+I7*Parameters!$F$25+G7*Parameters!$F$30</f>
        <v>343.20000000000005</v>
      </c>
      <c r="O7" s="7">
        <f>B7*Parameters!$F$19</f>
        <v>4000</v>
      </c>
      <c r="P7" s="7">
        <f>M7-N7-O7</f>
        <v>-2443.2</v>
      </c>
      <c r="Q7" s="7">
        <f>Parameters!$F$21</f>
        <v>1000</v>
      </c>
      <c r="R7" s="7">
        <f>P7-Q7</f>
        <v>-3443.2</v>
      </c>
      <c r="S7" s="7">
        <f>IF(A7&lt;1+Parameters!$F$31,0,INDEX($M$5:$M$40,A7-Parameters!$F$31))</f>
        <v>1900.0</v>
      </c>
      <c r="T7" s="7">
        <f>T6+M7-S7</f>
        <v>1900.0</v>
      </c>
      <c r="U7" s="7">
        <f>S7-N7-O7-Q7</f>
        <v>-3443.2</v>
      </c>
      <c r="V7" s="7">
        <f>V6+U7</f>
        <v>-12167.2</v>
      </c>
      <c r="W7" s="7">
        <f>(1-Parameters!$F$7)*(C7-E7)+(1-Parameters!$F$8)*(D7+E7)</f>
        <v>948.8</v>
      </c>
      <c r="X7" s="7">
        <f>Parameters!$F$7*(C7-E7)+Parameters!$F$8*Parameters!$F$9*(D7+E7)</f>
        <v>0.0</v>
      </c>
      <c r="Y7" s="7">
        <f>Parameters!$F$8*(1-Parameters!$F$9)*(D7+E7)</f>
        <v>195.20000000000005</v>
      </c>
      <c r="Z7" s="7">
        <f>POWER(1/(1+Parameters!$F$32),A7-1)*(M7-N7)</f>
        <v>1526.1248897166943</v>
      </c>
    </row>
    <row r="8" spans="1:26">
      <c r="A8" s="7">
        <v>4</v>
      </c>
      <c r="B8" s="7">
        <f>Parameters!$F$20</f>
        <v>1000</v>
      </c>
      <c r="C8" s="7">
        <f>X7+B8</f>
        <v>1000.0</v>
      </c>
      <c r="D8" s="7">
        <f>Y7</f>
        <v>195.20000000000005</v>
      </c>
      <c r="E8" s="7">
        <f>Parameters!$F$6*C8</f>
        <v>100.0</v>
      </c>
      <c r="F8" s="7">
        <f>IF(Parameters!$F$5=1,E8,0)</f>
        <v>0.0</v>
      </c>
      <c r="G8" s="7">
        <f>Parameters!$F$27*G7+F8</f>
        <v>0.0</v>
      </c>
      <c r="H8" s="7">
        <f>IF(AND(Parameters!$F$5=1,Parameters!$F$26=1),SUMPRODUCT(--($A$5:A8&lt;A8),--(MOD(A8-$A$5:A8,Parameters!$F$28)=0),$F$5:F8,POWER(Parameters!$F$27,IF(A8-$A$5:A8=0,1,A8-$A$5:A8))),0)</f>
        <v>0.0</v>
      </c>
      <c r="I8" s="7">
        <f>Parameters!$F$23*I7+B8*Parameters!$F$22</f>
        <v>0.0</v>
      </c>
      <c r="J8" s="7">
        <f>E8*Parameters!$F$14*(1-Parameters!$F$15)</f>
        <v>1900.0</v>
      </c>
      <c r="K8" s="7">
        <f>H8*Parameters!$F$29</f>
        <v>0.0</v>
      </c>
      <c r="L8" s="7">
        <f>I8*Parameters!$F$24</f>
        <v>0.0</v>
      </c>
      <c r="M8" s="7">
        <f>J8+K8+L8</f>
        <v>1900.0</v>
      </c>
      <c r="N8" s="7">
        <f>C8*Parameters!$F$17+D8*Parameters!$F$18+E8*Parameters!$F$16+I8*Parameters!$F$25+G8*Parameters!$F$30</f>
        <v>358.56</v>
      </c>
      <c r="O8" s="7">
        <f>B8*Parameters!$F$19</f>
        <v>4000</v>
      </c>
      <c r="P8" s="7">
        <f>M8-N8-O8</f>
        <v>-2458.56</v>
      </c>
      <c r="Q8" s="7">
        <f>Parameters!$F$21</f>
        <v>1000</v>
      </c>
      <c r="R8" s="7">
        <f>P8-Q8</f>
        <v>-3458.56</v>
      </c>
      <c r="S8" s="7">
        <f>IF(A8&lt;1+Parameters!$F$31,0,INDEX($M$5:$M$40,A8-Parameters!$F$31))</f>
        <v>1900.0</v>
      </c>
      <c r="T8" s="7">
        <f>T7+M8-S8</f>
        <v>1900.0</v>
      </c>
      <c r="U8" s="7">
        <f>S8-N8-O8-Q8</f>
        <v>-3458.56</v>
      </c>
      <c r="V8" s="7">
        <f>V7+U8</f>
        <v>-15625.76</v>
      </c>
      <c r="W8" s="7">
        <f>(1-Parameters!$F$7)*(C8-E8)+(1-Parameters!$F$8)*(D8+E8)</f>
        <v>959.04</v>
      </c>
      <c r="X8" s="7">
        <f>Parameters!$F$7*(C8-E8)+Parameters!$F$8*Parameters!$F$9*(D8+E8)</f>
        <v>0.0</v>
      </c>
      <c r="Y8" s="7">
        <f>Parameters!$F$8*(1-Parameters!$F$9)*(D8+E8)</f>
        <v>236.16000000000005</v>
      </c>
      <c r="Z8" s="7">
        <f>POWER(1/(1+Parameters!$F$32),A8-1)*(M8-N8)</f>
        <v>1496.1064776215883</v>
      </c>
    </row>
    <row r="9" spans="1:26">
      <c r="A9" s="7">
        <v>5</v>
      </c>
      <c r="B9" s="7">
        <f>Parameters!$F$20</f>
        <v>1000</v>
      </c>
      <c r="C9" s="7">
        <f>X8+B9</f>
        <v>1000.0</v>
      </c>
      <c r="D9" s="7">
        <f>Y8</f>
        <v>236.16000000000005</v>
      </c>
      <c r="E9" s="7">
        <f>Parameters!$F$6*C9</f>
        <v>100.0</v>
      </c>
      <c r="F9" s="7">
        <f>IF(Parameters!$F$5=1,E9,0)</f>
        <v>0.0</v>
      </c>
      <c r="G9" s="7">
        <f>Parameters!$F$27*G8+F9</f>
        <v>0.0</v>
      </c>
      <c r="H9" s="7">
        <f>IF(AND(Parameters!$F$5=1,Parameters!$F$26=1),SUMPRODUCT(--($A$5:A9&lt;A9),--(MOD(A9-$A$5:A9,Parameters!$F$28)=0),$F$5:F9,POWER(Parameters!$F$27,IF(A9-$A$5:A9=0,1,A9-$A$5:A9))),0)</f>
        <v>0.0</v>
      </c>
      <c r="I9" s="7">
        <f>Parameters!$F$23*I8+B9*Parameters!$F$22</f>
        <v>0.0</v>
      </c>
      <c r="J9" s="7">
        <f>E9*Parameters!$F$14*(1-Parameters!$F$15)</f>
        <v>1900.0</v>
      </c>
      <c r="K9" s="7">
        <f>H9*Parameters!$F$29</f>
        <v>0.0</v>
      </c>
      <c r="L9" s="7">
        <f>I9*Parameters!$F$24</f>
        <v>0.0</v>
      </c>
      <c r="M9" s="7">
        <f>J9+K9+L9</f>
        <v>1900.0</v>
      </c>
      <c r="N9" s="7">
        <f>C9*Parameters!$F$17+D9*Parameters!$F$18+E9*Parameters!$F$16+I9*Parameters!$F$25+G9*Parameters!$F$30</f>
        <v>370.848</v>
      </c>
      <c r="O9" s="7">
        <f>B9*Parameters!$F$19</f>
        <v>4000</v>
      </c>
      <c r="P9" s="7">
        <f>M9-N9-O9</f>
        <v>-2470.848</v>
      </c>
      <c r="Q9" s="7">
        <f>Parameters!$F$21</f>
        <v>1000</v>
      </c>
      <c r="R9" s="7">
        <f>P9-Q9</f>
        <v>-3470.848</v>
      </c>
      <c r="S9" s="7">
        <f>IF(A9&lt;1+Parameters!$F$31,0,INDEX($M$5:$M$40,A9-Parameters!$F$31))</f>
        <v>1900.0</v>
      </c>
      <c r="T9" s="7">
        <f>T8+M9-S9</f>
        <v>1900.0</v>
      </c>
      <c r="U9" s="7">
        <f>S9-N9-O9-Q9</f>
        <v>-3470.848</v>
      </c>
      <c r="V9" s="7">
        <f>V8+U9</f>
        <v>-19096.608</v>
      </c>
      <c r="W9" s="7">
        <f>(1-Parameters!$F$7)*(C9-E9)+(1-Parameters!$F$8)*(D9+E9)</f>
        <v>967.232</v>
      </c>
      <c r="X9" s="7">
        <f>Parameters!$F$7*(C9-E9)+Parameters!$F$8*Parameters!$F$9*(D9+E9)</f>
        <v>0.0</v>
      </c>
      <c r="Y9" s="7">
        <f>Parameters!$F$8*(1-Parameters!$F$9)*(D9+E9)</f>
        <v>268.92800000000005</v>
      </c>
      <c r="Z9" s="7">
        <f>POWER(1/(1+Parameters!$F$32),A9-1)*(M9-N9)</f>
        <v>1469.4850157265873</v>
      </c>
    </row>
    <row r="10" spans="1:26">
      <c r="A10" s="7">
        <v>6</v>
      </c>
      <c r="B10" s="7">
        <f>Parameters!$F$20</f>
        <v>1000</v>
      </c>
      <c r="C10" s="7">
        <f>X9+B10</f>
        <v>1000.0</v>
      </c>
      <c r="D10" s="7">
        <f>Y9</f>
        <v>268.92800000000005</v>
      </c>
      <c r="E10" s="7">
        <f>Parameters!$F$6*C10</f>
        <v>100.0</v>
      </c>
      <c r="F10" s="7">
        <f>IF(Parameters!$F$5=1,E10,0)</f>
        <v>0.0</v>
      </c>
      <c r="G10" s="7">
        <f>Parameters!$F$27*G9+F10</f>
        <v>0.0</v>
      </c>
      <c r="H10" s="7">
        <f>IF(AND(Parameters!$F$5=1,Parameters!$F$26=1),SUMPRODUCT(--($A$5:A10&lt;A10),--(MOD(A10-$A$5:A10,Parameters!$F$28)=0),$F$5:F10,POWER(Parameters!$F$27,IF(A10-$A$5:A10=0,1,A10-$A$5:A10))),0)</f>
        <v>0.0</v>
      </c>
      <c r="I10" s="7">
        <f>Parameters!$F$23*I9+B10*Parameters!$F$22</f>
        <v>0.0</v>
      </c>
      <c r="J10" s="7">
        <f>E10*Parameters!$F$14*(1-Parameters!$F$15)</f>
        <v>1900.0</v>
      </c>
      <c r="K10" s="7">
        <f>H10*Parameters!$F$29</f>
        <v>0.0</v>
      </c>
      <c r="L10" s="7">
        <f>I10*Parameters!$F$24</f>
        <v>0.0</v>
      </c>
      <c r="M10" s="7">
        <f>J10+K10+L10</f>
        <v>1900.0</v>
      </c>
      <c r="N10" s="7">
        <f>C10*Parameters!$F$17+D10*Parameters!$F$18+E10*Parameters!$F$16+I10*Parameters!$F$25+G10*Parameters!$F$30</f>
        <v>380.6784</v>
      </c>
      <c r="O10" s="7">
        <f>B10*Parameters!$F$19</f>
        <v>4000</v>
      </c>
      <c r="P10" s="7">
        <f>M10-N10-O10</f>
        <v>-2480.6784</v>
      </c>
      <c r="Q10" s="7">
        <f>Parameters!$F$21</f>
        <v>1000</v>
      </c>
      <c r="R10" s="7">
        <f>P10-Q10</f>
        <v>-3480.6784</v>
      </c>
      <c r="S10" s="7">
        <f>IF(A10&lt;1+Parameters!$F$31,0,INDEX($M$5:$M$40,A10-Parameters!$F$31))</f>
        <v>1900.0</v>
      </c>
      <c r="T10" s="7">
        <f>T9+M10-S10</f>
        <v>1900.0</v>
      </c>
      <c r="U10" s="7">
        <f>S10-N10-O10-Q10</f>
        <v>-3480.6784</v>
      </c>
      <c r="V10" s="7">
        <f>V9+U10</f>
        <v>-22577.2864</v>
      </c>
      <c r="W10" s="7">
        <f>(1-Parameters!$F$7)*(C10-E10)+(1-Parameters!$F$8)*(D10+E10)</f>
        <v>973.7856</v>
      </c>
      <c r="X10" s="7">
        <f>Parameters!$F$7*(C10-E10)+Parameters!$F$8*Parameters!$F$9*(D10+E10)</f>
        <v>0.0</v>
      </c>
      <c r="Y10" s="7">
        <f>Parameters!$F$8*(1-Parameters!$F$9)*(D10+E10)</f>
        <v>295.14240000000007</v>
      </c>
      <c r="Z10" s="7">
        <f>POWER(1/(1+Parameters!$F$32),A10-1)*(M10-N10)</f>
        <v>1445.5823708397857</v>
      </c>
    </row>
    <row r="11" spans="1:26">
      <c r="A11" s="7">
        <v>7</v>
      </c>
      <c r="B11" s="7">
        <f>Parameters!$F$20</f>
        <v>1000</v>
      </c>
      <c r="C11" s="7">
        <f>X10+B11</f>
        <v>1000.0</v>
      </c>
      <c r="D11" s="7">
        <f>Y10</f>
        <v>295.14240000000007</v>
      </c>
      <c r="E11" s="7">
        <f>Parameters!$F$6*C11</f>
        <v>100.0</v>
      </c>
      <c r="F11" s="7">
        <f>IF(Parameters!$F$5=1,E11,0)</f>
        <v>0.0</v>
      </c>
      <c r="G11" s="7">
        <f>Parameters!$F$27*G10+F11</f>
        <v>0.0</v>
      </c>
      <c r="H11" s="7">
        <f>IF(AND(Parameters!$F$5=1,Parameters!$F$26=1),SUMPRODUCT(--($A$5:A11&lt;A11),--(MOD(A11-$A$5:A11,Parameters!$F$28)=0),$F$5:F11,POWER(Parameters!$F$27,IF(A11-$A$5:A11=0,1,A11-$A$5:A11))),0)</f>
        <v>0.0</v>
      </c>
      <c r="I11" s="7">
        <f>Parameters!$F$23*I10+B11*Parameters!$F$22</f>
        <v>0.0</v>
      </c>
      <c r="J11" s="7">
        <f>E11*Parameters!$F$14*(1-Parameters!$F$15)</f>
        <v>1900.0</v>
      </c>
      <c r="K11" s="7">
        <f>H11*Parameters!$F$29</f>
        <v>0.0</v>
      </c>
      <c r="L11" s="7">
        <f>I11*Parameters!$F$24</f>
        <v>0.0</v>
      </c>
      <c r="M11" s="7">
        <f>J11+K11+L11</f>
        <v>1900.0</v>
      </c>
      <c r="N11" s="7">
        <f>C11*Parameters!$F$17+D11*Parameters!$F$18+E11*Parameters!$F$16+I11*Parameters!$F$25+G11*Parameters!$F$30</f>
        <v>388.54272000000003</v>
      </c>
      <c r="O11" s="7">
        <f>B11*Parameters!$F$19</f>
        <v>4000</v>
      </c>
      <c r="P11" s="7">
        <f>M11-N11-O11</f>
        <v>-2488.54272</v>
      </c>
      <c r="Q11" s="7">
        <f>Parameters!$F$21</f>
        <v>1000</v>
      </c>
      <c r="R11" s="7">
        <f>P11-Q11</f>
        <v>-3488.54272</v>
      </c>
      <c r="S11" s="7">
        <f>IF(A11&lt;1+Parameters!$F$31,0,INDEX($M$5:$M$40,A11-Parameters!$F$31))</f>
        <v>1900.0</v>
      </c>
      <c r="T11" s="7">
        <f>T10+M11-S11</f>
        <v>1900.0</v>
      </c>
      <c r="U11" s="7">
        <f>S11-N11-O11-Q11</f>
        <v>-3488.54272</v>
      </c>
      <c r="V11" s="7">
        <f>V10+U11</f>
        <v>-26065.829120000002</v>
      </c>
      <c r="W11" s="7">
        <f>(1-Parameters!$F$7)*(C11-E11)+(1-Parameters!$F$8)*(D11+E11)</f>
        <v>979.02848</v>
      </c>
      <c r="X11" s="7">
        <f>Parameters!$F$7*(C11-E11)+Parameters!$F$8*Parameters!$F$9*(D11+E11)</f>
        <v>0.0</v>
      </c>
      <c r="Y11" s="7">
        <f>Parameters!$F$8*(1-Parameters!$F$9)*(D11+E11)</f>
        <v>316.11392000000006</v>
      </c>
      <c r="Z11" s="7">
        <f>POWER(1/(1+Parameters!$F$32),A11-1)*(M11-N11)</f>
        <v>1423.8611289142834</v>
      </c>
    </row>
    <row r="12" spans="1:26">
      <c r="A12" s="7">
        <v>8</v>
      </c>
      <c r="B12" s="7">
        <f>Parameters!$F$20</f>
        <v>1000</v>
      </c>
      <c r="C12" s="7">
        <f>X11+B12</f>
        <v>1000.0</v>
      </c>
      <c r="D12" s="7">
        <f>Y11</f>
        <v>316.1139200000001</v>
      </c>
      <c r="E12" s="7">
        <f>Parameters!$F$6*C12</f>
        <v>100.0</v>
      </c>
      <c r="F12" s="7">
        <f>IF(Parameters!$F$5=1,E12,0)</f>
        <v>0.0</v>
      </c>
      <c r="G12" s="7">
        <f>Parameters!$F$27*G11+F12</f>
        <v>0.0</v>
      </c>
      <c r="H12" s="7">
        <f>IF(AND(Parameters!$F$5=1,Parameters!$F$26=1),SUMPRODUCT(--($A$5:A12&lt;A12),--(MOD(A12-$A$5:A12,Parameters!$F$28)=0),$F$5:F12,POWER(Parameters!$F$27,IF(A12-$A$5:A12=0,1,A12-$A$5:A12))),0)</f>
        <v>0.0</v>
      </c>
      <c r="I12" s="7">
        <f>Parameters!$F$23*I11+B12*Parameters!$F$22</f>
        <v>0.0</v>
      </c>
      <c r="J12" s="7">
        <f>E12*Parameters!$F$14*(1-Parameters!$F$15)</f>
        <v>1900.0</v>
      </c>
      <c r="K12" s="7">
        <f>H12*Parameters!$F$29</f>
        <v>0.0</v>
      </c>
      <c r="L12" s="7">
        <f>I12*Parameters!$F$24</f>
        <v>0.0</v>
      </c>
      <c r="M12" s="7">
        <f>J12+K12+L12</f>
        <v>1900.0</v>
      </c>
      <c r="N12" s="7">
        <f>C12*Parameters!$F$17+D12*Parameters!$F$18+E12*Parameters!$F$16+I12*Parameters!$F$25+G12*Parameters!$F$30</f>
        <v>394.834176</v>
      </c>
      <c r="O12" s="7">
        <f>B12*Parameters!$F$19</f>
        <v>4000</v>
      </c>
      <c r="P12" s="7">
        <f>M12-N12-O12</f>
        <v>-2494.8341760000003</v>
      </c>
      <c r="Q12" s="7">
        <f>Parameters!$F$21</f>
        <v>1000</v>
      </c>
      <c r="R12" s="7">
        <f>P12-Q12</f>
        <v>-3494.8341760000003</v>
      </c>
      <c r="S12" s="7">
        <f>IF(A12&lt;1+Parameters!$F$31,0,INDEX($M$5:$M$40,A12-Parameters!$F$31))</f>
        <v>1900.0</v>
      </c>
      <c r="T12" s="7">
        <f>T11+M12-S12</f>
        <v>1900.0</v>
      </c>
      <c r="U12" s="7">
        <f>S12-N12-O12-Q12</f>
        <v>-3494.8341760000003</v>
      </c>
      <c r="V12" s="7">
        <f>V11+U12</f>
        <v>-29560.663296000002</v>
      </c>
      <c r="W12" s="7">
        <f>(1-Parameters!$F$7)*(C12-E12)+(1-Parameters!$F$8)*(D12+E12)</f>
        <v>983.222784</v>
      </c>
      <c r="X12" s="7">
        <f>Parameters!$F$7*(C12-E12)+Parameters!$F$8*Parameters!$F$9*(D12+E12)</f>
        <v>0.0</v>
      </c>
      <c r="Y12" s="7">
        <f>Parameters!$F$8*(1-Parameters!$F$9)*(D12+E12)</f>
        <v>332.89113600000013</v>
      </c>
      <c r="Z12" s="7">
        <f>POWER(1/(1+Parameters!$F$32),A12-1)*(M12-N12)</f>
        <v>1403.8953393729423</v>
      </c>
    </row>
    <row r="13" spans="1:26">
      <c r="A13" s="7">
        <v>9</v>
      </c>
      <c r="B13" s="7">
        <f>Parameters!$F$20</f>
        <v>1000</v>
      </c>
      <c r="C13" s="7">
        <f>X12+B13</f>
        <v>1000.0</v>
      </c>
      <c r="D13" s="7">
        <f>Y12</f>
        <v>332.89113600000013</v>
      </c>
      <c r="E13" s="7">
        <f>Parameters!$F$6*C13</f>
        <v>100.0</v>
      </c>
      <c r="F13" s="7">
        <f>IF(Parameters!$F$5=1,E13,0)</f>
        <v>0.0</v>
      </c>
      <c r="G13" s="7">
        <f>Parameters!$F$27*G12+F13</f>
        <v>0.0</v>
      </c>
      <c r="H13" s="7">
        <f>IF(AND(Parameters!$F$5=1,Parameters!$F$26=1),SUMPRODUCT(--($A$5:A13&lt;A13),--(MOD(A13-$A$5:A13,Parameters!$F$28)=0),$F$5:F13,POWER(Parameters!$F$27,IF(A13-$A$5:A13=0,1,A13-$A$5:A13))),0)</f>
        <v>0.0</v>
      </c>
      <c r="I13" s="7">
        <f>Parameters!$F$23*I12+B13*Parameters!$F$22</f>
        <v>0.0</v>
      </c>
      <c r="J13" s="7">
        <f>E13*Parameters!$F$14*(1-Parameters!$F$15)</f>
        <v>1900.0</v>
      </c>
      <c r="K13" s="7">
        <f>H13*Parameters!$F$29</f>
        <v>0.0</v>
      </c>
      <c r="L13" s="7">
        <f>I13*Parameters!$F$24</f>
        <v>0.0</v>
      </c>
      <c r="M13" s="7">
        <f>J13+K13+L13</f>
        <v>1900.0</v>
      </c>
      <c r="N13" s="7">
        <f>C13*Parameters!$F$17+D13*Parameters!$F$18+E13*Parameters!$F$16+I13*Parameters!$F$25+G13*Parameters!$F$30</f>
        <v>399.8673408</v>
      </c>
      <c r="O13" s="7">
        <f>B13*Parameters!$F$19</f>
        <v>4000</v>
      </c>
      <c r="P13" s="7">
        <f>M13-N13-O13</f>
        <v>-2499.8673408</v>
      </c>
      <c r="Q13" s="7">
        <f>Parameters!$F$21</f>
        <v>1000</v>
      </c>
      <c r="R13" s="7">
        <f>P13-Q13</f>
        <v>-3499.8673408</v>
      </c>
      <c r="S13" s="7">
        <f>IF(A13&lt;1+Parameters!$F$31,0,INDEX($M$5:$M$40,A13-Parameters!$F$31))</f>
        <v>1900.0</v>
      </c>
      <c r="T13" s="7">
        <f>T12+M13-S13</f>
        <v>1900.0</v>
      </c>
      <c r="U13" s="7">
        <f>S13-N13-O13-Q13</f>
        <v>-3499.8673408</v>
      </c>
      <c r="V13" s="7">
        <f>V12+U13</f>
        <v>-33060.5306368</v>
      </c>
      <c r="W13" s="7">
        <f>(1-Parameters!$F$7)*(C13-E13)+(1-Parameters!$F$8)*(D13+E13)</f>
        <v>986.5782272</v>
      </c>
      <c r="X13" s="7">
        <f>Parameters!$F$7*(C13-E13)+Parameters!$F$8*Parameters!$F$9*(D13+E13)</f>
        <v>0.0</v>
      </c>
      <c r="Y13" s="7">
        <f>Parameters!$F$8*(1-Parameters!$F$9)*(D13+E13)</f>
        <v>346.3129088000001</v>
      </c>
      <c r="Z13" s="7">
        <f>POWER(1/(1+Parameters!$F$32),A13-1)*(M13-N13)</f>
        <v>1385.3473422689763</v>
      </c>
    </row>
    <row r="14" spans="1:26">
      <c r="A14" s="7">
        <v>10</v>
      </c>
      <c r="B14" s="7">
        <f>Parameters!$F$20</f>
        <v>1000</v>
      </c>
      <c r="C14" s="7">
        <f>X13+B14</f>
        <v>1000.0</v>
      </c>
      <c r="D14" s="7">
        <f>Y13</f>
        <v>346.3129088000001</v>
      </c>
      <c r="E14" s="7">
        <f>Parameters!$F$6*C14</f>
        <v>100.0</v>
      </c>
      <c r="F14" s="7">
        <f>IF(Parameters!$F$5=1,E14,0)</f>
        <v>0.0</v>
      </c>
      <c r="G14" s="7">
        <f>Parameters!$F$27*G13+F14</f>
        <v>0.0</v>
      </c>
      <c r="H14" s="7">
        <f>IF(AND(Parameters!$F$5=1,Parameters!$F$26=1),SUMPRODUCT(--($A$5:A14&lt;A14),--(MOD(A14-$A$5:A14,Parameters!$F$28)=0),$F$5:F14,POWER(Parameters!$F$27,IF(A14-$A$5:A14=0,1,A14-$A$5:A14))),0)</f>
        <v>0.0</v>
      </c>
      <c r="I14" s="7">
        <f>Parameters!$F$23*I13+B14*Parameters!$F$22</f>
        <v>0.0</v>
      </c>
      <c r="J14" s="7">
        <f>E14*Parameters!$F$14*(1-Parameters!$F$15)</f>
        <v>1900.0</v>
      </c>
      <c r="K14" s="7">
        <f>H14*Parameters!$F$29</f>
        <v>0.0</v>
      </c>
      <c r="L14" s="7">
        <f>I14*Parameters!$F$24</f>
        <v>0.0</v>
      </c>
      <c r="M14" s="7">
        <f>J14+K14+L14</f>
        <v>1900.0</v>
      </c>
      <c r="N14" s="7">
        <f>C14*Parameters!$F$17+D14*Parameters!$F$18+E14*Parameters!$F$16+I14*Parameters!$F$25+G14*Parameters!$F$30</f>
        <v>403.89387264000004</v>
      </c>
      <c r="O14" s="7">
        <f>B14*Parameters!$F$19</f>
        <v>4000</v>
      </c>
      <c r="P14" s="7">
        <f>M14-N14-O14</f>
        <v>-2503.89387264</v>
      </c>
      <c r="Q14" s="7">
        <f>Parameters!$F$21</f>
        <v>1000</v>
      </c>
      <c r="R14" s="7">
        <f>P14-Q14</f>
        <v>-3503.89387264</v>
      </c>
      <c r="S14" s="7">
        <f>IF(A14&lt;1+Parameters!$F$31,0,INDEX($M$5:$M$40,A14-Parameters!$F$31))</f>
        <v>1900.0</v>
      </c>
      <c r="T14" s="7">
        <f>T13+M14-S14</f>
        <v>1900.0</v>
      </c>
      <c r="U14" s="7">
        <f>S14-N14-O14-Q14</f>
        <v>-3503.89387264</v>
      </c>
      <c r="V14" s="7">
        <f>V13+U14</f>
        <v>-36564.42450944</v>
      </c>
      <c r="W14" s="7">
        <f>(1-Parameters!$F$7)*(C14-E14)+(1-Parameters!$F$8)*(D14+E14)</f>
        <v>989.26258176</v>
      </c>
      <c r="X14" s="7">
        <f>Parameters!$F$7*(C14-E14)+Parameters!$F$8*Parameters!$F$9*(D14+E14)</f>
        <v>0.0</v>
      </c>
      <c r="Y14" s="7">
        <f>Parameters!$F$8*(1-Parameters!$F$9)*(D14+E14)</f>
        <v>357.0503270400001</v>
      </c>
      <c r="Z14" s="7">
        <f>POWER(1/(1+Parameters!$F$32),A14-1)*(M14-N14)</f>
        <v>1367.9494135345992</v>
      </c>
    </row>
    <row r="15" spans="1:26">
      <c r="A15" s="7">
        <v>11</v>
      </c>
      <c r="B15" s="7">
        <f>Parameters!$F$20</f>
        <v>1000</v>
      </c>
      <c r="C15" s="7">
        <f>X14+B15</f>
        <v>1000.0</v>
      </c>
      <c r="D15" s="7">
        <f>Y14</f>
        <v>357.0503270400001</v>
      </c>
      <c r="E15" s="7">
        <f>Parameters!$F$6*C15</f>
        <v>100.0</v>
      </c>
      <c r="F15" s="7">
        <f>IF(Parameters!$F$5=1,E15,0)</f>
        <v>0.0</v>
      </c>
      <c r="G15" s="7">
        <f>Parameters!$F$27*G14+F15</f>
        <v>0.0</v>
      </c>
      <c r="H15" s="7">
        <f>IF(AND(Parameters!$F$5=1,Parameters!$F$26=1),SUMPRODUCT(--($A$5:A15&lt;A15),--(MOD(A15-$A$5:A15,Parameters!$F$28)=0),$F$5:F15,POWER(Parameters!$F$27,IF(A15-$A$5:A15=0,1,A15-$A$5:A15))),0)</f>
        <v>0.0</v>
      </c>
      <c r="I15" s="7">
        <f>Parameters!$F$23*I14+B15*Parameters!$F$22</f>
        <v>0.0</v>
      </c>
      <c r="J15" s="7">
        <f>E15*Parameters!$F$14*(1-Parameters!$F$15)</f>
        <v>1900.0</v>
      </c>
      <c r="K15" s="7">
        <f>H15*Parameters!$F$29</f>
        <v>0.0</v>
      </c>
      <c r="L15" s="7">
        <f>I15*Parameters!$F$24</f>
        <v>0.0</v>
      </c>
      <c r="M15" s="7">
        <f>J15+K15+L15</f>
        <v>1900.0</v>
      </c>
      <c r="N15" s="7">
        <f>C15*Parameters!$F$17+D15*Parameters!$F$18+E15*Parameters!$F$16+I15*Parameters!$F$25+G15*Parameters!$F$30</f>
        <v>407.11509811200006</v>
      </c>
      <c r="O15" s="7">
        <f>B15*Parameters!$F$19</f>
        <v>4000</v>
      </c>
      <c r="P15" s="7">
        <f>M15-N15-O15</f>
        <v>-2507.115098112</v>
      </c>
      <c r="Q15" s="7">
        <f>Parameters!$F$21</f>
        <v>1000</v>
      </c>
      <c r="R15" s="7">
        <f>P15-Q15</f>
        <v>-3507.115098112</v>
      </c>
      <c r="S15" s="7">
        <f>IF(A15&lt;1+Parameters!$F$31,0,INDEX($M$5:$M$40,A15-Parameters!$F$31))</f>
        <v>1900.0</v>
      </c>
      <c r="T15" s="7">
        <f>T14+M15-S15</f>
        <v>1900.0</v>
      </c>
      <c r="U15" s="7">
        <f>S15-N15-O15-Q15</f>
        <v>-3507.115098112</v>
      </c>
      <c r="V15" s="7">
        <f>V14+U15</f>
        <v>-40071.539607552004</v>
      </c>
      <c r="W15" s="7">
        <f>(1-Parameters!$F$7)*(C15-E15)+(1-Parameters!$F$8)*(D15+E15)</f>
        <v>991.410065408</v>
      </c>
      <c r="X15" s="7">
        <f>Parameters!$F$7*(C15-E15)+Parameters!$F$8*Parameters!$F$9*(D15+E15)</f>
        <v>0.0</v>
      </c>
      <c r="Y15" s="7">
        <f>Parameters!$F$8*(1-Parameters!$F$9)*(D15+E15)</f>
        <v>365.64026163200015</v>
      </c>
      <c r="Z15" s="7">
        <f>POWER(1/(1+Parameters!$F$32),A15-1)*(M15-N15)</f>
        <v>1351.4892265373207</v>
      </c>
    </row>
    <row r="16" spans="1:26">
      <c r="A16" s="7">
        <v>12</v>
      </c>
      <c r="B16" s="7">
        <f>Parameters!$F$20</f>
        <v>1000</v>
      </c>
      <c r="C16" s="7">
        <f>X15+B16</f>
        <v>1000.0</v>
      </c>
      <c r="D16" s="7">
        <f>Y15</f>
        <v>365.64026163200015</v>
      </c>
      <c r="E16" s="7">
        <f>Parameters!$F$6*C16</f>
        <v>100.0</v>
      </c>
      <c r="F16" s="7">
        <f>IF(Parameters!$F$5=1,E16,0)</f>
        <v>0.0</v>
      </c>
      <c r="G16" s="7">
        <f>Parameters!$F$27*G15+F16</f>
        <v>0.0</v>
      </c>
      <c r="H16" s="7">
        <f>IF(AND(Parameters!$F$5=1,Parameters!$F$26=1),SUMPRODUCT(--($A$5:A16&lt;A16),--(MOD(A16-$A$5:A16,Parameters!$F$28)=0),$F$5:F16,POWER(Parameters!$F$27,IF(A16-$A$5:A16=0,1,A16-$A$5:A16))),0)</f>
        <v>0.0</v>
      </c>
      <c r="I16" s="7">
        <f>Parameters!$F$23*I15+B16*Parameters!$F$22</f>
        <v>0.0</v>
      </c>
      <c r="J16" s="7">
        <f>E16*Parameters!$F$14*(1-Parameters!$F$15)</f>
        <v>1900.0</v>
      </c>
      <c r="K16" s="7">
        <f>H16*Parameters!$F$29</f>
        <v>0.0</v>
      </c>
      <c r="L16" s="7">
        <f>I16*Parameters!$F$24</f>
        <v>0.0</v>
      </c>
      <c r="M16" s="7">
        <f>J16+K16+L16</f>
        <v>1900.0</v>
      </c>
      <c r="N16" s="7">
        <f>C16*Parameters!$F$17+D16*Parameters!$F$18+E16*Parameters!$F$16+I16*Parameters!$F$25+G16*Parameters!$F$30</f>
        <v>409.6920784896</v>
      </c>
      <c r="O16" s="7">
        <f>B16*Parameters!$F$19</f>
        <v>4000</v>
      </c>
      <c r="P16" s="7">
        <f>M16-N16-O16</f>
        <v>-2509.6920784896</v>
      </c>
      <c r="Q16" s="7">
        <f>Parameters!$F$21</f>
        <v>1000</v>
      </c>
      <c r="R16" s="7">
        <f>P16-Q16</f>
        <v>-3509.6920784896</v>
      </c>
      <c r="S16" s="7">
        <f>IF(A16&lt;1+Parameters!$F$31,0,INDEX($M$5:$M$40,A16-Parameters!$F$31))</f>
        <v>1900.0</v>
      </c>
      <c r="T16" s="7">
        <f>T15+M16-S16</f>
        <v>1900.0</v>
      </c>
      <c r="U16" s="7">
        <f>S16-N16-O16-Q16</f>
        <v>-3509.6920784896</v>
      </c>
      <c r="V16" s="7">
        <f>V15+U16</f>
        <v>-43581.2316860416</v>
      </c>
      <c r="W16" s="7">
        <f>(1-Parameters!$F$7)*(C16-E16)+(1-Parameters!$F$8)*(D16+E16)</f>
        <v>993.1280523264</v>
      </c>
      <c r="X16" s="7">
        <f>Parameters!$F$7*(C16-E16)+Parameters!$F$8*Parameters!$F$9*(D16+E16)</f>
        <v>0.0</v>
      </c>
      <c r="Y16" s="7">
        <f>Parameters!$F$8*(1-Parameters!$F$9)*(D16+E16)</f>
        <v>372.51220930560015</v>
      </c>
      <c r="Z16" s="7">
        <f>POWER(1/(1+Parameters!$F$32),A16-1)*(M16-N16)</f>
        <v>1335.798336454435</v>
      </c>
    </row>
    <row r="17" spans="1:26">
      <c r="A17" s="7">
        <v>13</v>
      </c>
      <c r="B17" s="7">
        <f>Parameters!$F$20</f>
        <v>1000</v>
      </c>
      <c r="C17" s="7">
        <f>X16+B17</f>
        <v>1000.0</v>
      </c>
      <c r="D17" s="7">
        <f>Y16</f>
        <v>372.51220930560015</v>
      </c>
      <c r="E17" s="7">
        <f>Parameters!$F$6*C17</f>
        <v>100.0</v>
      </c>
      <c r="F17" s="7">
        <f>IF(Parameters!$F$5=1,E17,0)</f>
        <v>0.0</v>
      </c>
      <c r="G17" s="7">
        <f>Parameters!$F$27*G16+F17</f>
        <v>0.0</v>
      </c>
      <c r="H17" s="7">
        <f>IF(AND(Parameters!$F$5=1,Parameters!$F$26=1),SUMPRODUCT(--($A$5:A17&lt;A17),--(MOD(A17-$A$5:A17,Parameters!$F$28)=0),$F$5:F17,POWER(Parameters!$F$27,IF(A17-$A$5:A17=0,1,A17-$A$5:A17))),0)</f>
        <v>0.0</v>
      </c>
      <c r="I17" s="7">
        <f>Parameters!$F$23*I16+B17*Parameters!$F$22</f>
        <v>0.0</v>
      </c>
      <c r="J17" s="7">
        <f>E17*Parameters!$F$14*(1-Parameters!$F$15)</f>
        <v>1900.0</v>
      </c>
      <c r="K17" s="7">
        <f>H17*Parameters!$F$29</f>
        <v>0.0</v>
      </c>
      <c r="L17" s="7">
        <f>I17*Parameters!$F$24</f>
        <v>0.0</v>
      </c>
      <c r="M17" s="7">
        <f>J17+K17+L17</f>
        <v>1900.0</v>
      </c>
      <c r="N17" s="7">
        <f>C17*Parameters!$F$17+D17*Parameters!$F$18+E17*Parameters!$F$16+I17*Parameters!$F$25+G17*Parameters!$F$30</f>
        <v>411.75366279168003</v>
      </c>
      <c r="O17" s="7">
        <f>B17*Parameters!$F$19</f>
        <v>4000</v>
      </c>
      <c r="P17" s="7">
        <f>M17-N17-O17</f>
        <v>-2511.7536627916797</v>
      </c>
      <c r="Q17" s="7">
        <f>Parameters!$F$21</f>
        <v>1000</v>
      </c>
      <c r="R17" s="7">
        <f>P17-Q17</f>
        <v>-3511.7536627916797</v>
      </c>
      <c r="S17" s="7">
        <f>IF(A17&lt;1+Parameters!$F$31,0,INDEX($M$5:$M$40,A17-Parameters!$F$31))</f>
        <v>1900.0</v>
      </c>
      <c r="T17" s="7">
        <f>T16+M17-S17</f>
        <v>1900.0</v>
      </c>
      <c r="U17" s="7">
        <f>S17-N17-O17-Q17</f>
        <v>-3511.7536627916797</v>
      </c>
      <c r="V17" s="7">
        <f>V16+U17</f>
        <v>-47092.98534883328</v>
      </c>
      <c r="W17" s="7">
        <f>(1-Parameters!$F$7)*(C17-E17)+(1-Parameters!$F$8)*(D17+E17)</f>
        <v>994.50244186112</v>
      </c>
      <c r="X17" s="7">
        <f>Parameters!$F$7*(C17-E17)+Parameters!$F$8*Parameters!$F$9*(D17+E17)</f>
        <v>0.0</v>
      </c>
      <c r="Y17" s="7">
        <f>Parameters!$F$8*(1-Parameters!$F$9)*(D17+E17)</f>
        <v>378.00976744448013</v>
      </c>
      <c r="Z17" s="7">
        <f>POWER(1/(1+Parameters!$F$32),A17-1)*(M17-N17)</f>
        <v>1320.7430589592261</v>
      </c>
    </row>
    <row r="18" spans="1:26">
      <c r="A18" s="7">
        <v>14</v>
      </c>
      <c r="B18" s="7">
        <f>Parameters!$F$20</f>
        <v>1000</v>
      </c>
      <c r="C18" s="7">
        <f>X17+B18</f>
        <v>1000.0</v>
      </c>
      <c r="D18" s="7">
        <f>Y17</f>
        <v>378.00976744448013</v>
      </c>
      <c r="E18" s="7">
        <f>Parameters!$F$6*C18</f>
        <v>100.0</v>
      </c>
      <c r="F18" s="7">
        <f>IF(Parameters!$F$5=1,E18,0)</f>
        <v>0.0</v>
      </c>
      <c r="G18" s="7">
        <f>Parameters!$F$27*G17+F18</f>
        <v>0.0</v>
      </c>
      <c r="H18" s="7">
        <f>IF(AND(Parameters!$F$5=1,Parameters!$F$26=1),SUMPRODUCT(--($A$5:A18&lt;A18),--(MOD(A18-$A$5:A18,Parameters!$F$28)=0),$F$5:F18,POWER(Parameters!$F$27,IF(A18-$A$5:A18=0,1,A18-$A$5:A18))),0)</f>
        <v>0.0</v>
      </c>
      <c r="I18" s="7">
        <f>Parameters!$F$23*I17+B18*Parameters!$F$22</f>
        <v>0.0</v>
      </c>
      <c r="J18" s="7">
        <f>E18*Parameters!$F$14*(1-Parameters!$F$15)</f>
        <v>1900.0</v>
      </c>
      <c r="K18" s="7">
        <f>H18*Parameters!$F$29</f>
        <v>0.0</v>
      </c>
      <c r="L18" s="7">
        <f>I18*Parameters!$F$24</f>
        <v>0.0</v>
      </c>
      <c r="M18" s="7">
        <f>J18+K18+L18</f>
        <v>1900.0</v>
      </c>
      <c r="N18" s="7">
        <f>C18*Parameters!$F$17+D18*Parameters!$F$18+E18*Parameters!$F$16+I18*Parameters!$F$25+G18*Parameters!$F$30</f>
        <v>413.402930233344</v>
      </c>
      <c r="O18" s="7">
        <f>B18*Parameters!$F$19</f>
        <v>4000</v>
      </c>
      <c r="P18" s="7">
        <f>M18-N18-O18</f>
        <v>-2513.402930233344</v>
      </c>
      <c r="Q18" s="7">
        <f>Parameters!$F$21</f>
        <v>1000</v>
      </c>
      <c r="R18" s="7">
        <f>P18-Q18</f>
        <v>-3513.402930233344</v>
      </c>
      <c r="S18" s="7">
        <f>IF(A18&lt;1+Parameters!$F$31,0,INDEX($M$5:$M$40,A18-Parameters!$F$31))</f>
        <v>1900.0</v>
      </c>
      <c r="T18" s="7">
        <f>T17+M18-S18</f>
        <v>1900.0</v>
      </c>
      <c r="U18" s="7">
        <f>S18-N18-O18-Q18</f>
        <v>-3513.402930233344</v>
      </c>
      <c r="V18" s="7">
        <f>V17+U18</f>
        <v>-50606.388279066625</v>
      </c>
      <c r="W18" s="7">
        <f>(1-Parameters!$F$7)*(C18-E18)+(1-Parameters!$F$8)*(D18+E18)</f>
        <v>995.601953488896</v>
      </c>
      <c r="X18" s="7">
        <f>Parameters!$F$7*(C18-E18)+Parameters!$F$8*Parameters!$F$9*(D18+E18)</f>
        <v>0.0</v>
      </c>
      <c r="Y18" s="7">
        <f>Parameters!$F$8*(1-Parameters!$F$9)*(D18+E18)</f>
        <v>382.4078139555841</v>
      </c>
      <c r="Z18" s="7">
        <f>POWER(1/(1+Parameters!$F$32),A18-1)*(M18-N18)</f>
        <v>1306.2172453919468</v>
      </c>
    </row>
    <row r="19" spans="1:26">
      <c r="A19" s="7">
        <v>15</v>
      </c>
      <c r="B19" s="7">
        <f>Parameters!$F$20</f>
        <v>1000</v>
      </c>
      <c r="C19" s="7">
        <f>X18+B19</f>
        <v>1000.0</v>
      </c>
      <c r="D19" s="7">
        <f>Y18</f>
        <v>382.4078139555841</v>
      </c>
      <c r="E19" s="7">
        <f>Parameters!$F$6*C19</f>
        <v>100.0</v>
      </c>
      <c r="F19" s="7">
        <f>IF(Parameters!$F$5=1,E19,0)</f>
        <v>0.0</v>
      </c>
      <c r="G19" s="7">
        <f>Parameters!$F$27*G18+F19</f>
        <v>0.0</v>
      </c>
      <c r="H19" s="7">
        <f>IF(AND(Parameters!$F$5=1,Parameters!$F$26=1),SUMPRODUCT(--($A$5:A19&lt;A19),--(MOD(A19-$A$5:A19,Parameters!$F$28)=0),$F$5:F19,POWER(Parameters!$F$27,IF(A19-$A$5:A19=0,1,A19-$A$5:A19))),0)</f>
        <v>0.0</v>
      </c>
      <c r="I19" s="7">
        <f>Parameters!$F$23*I18+B19*Parameters!$F$22</f>
        <v>0.0</v>
      </c>
      <c r="J19" s="7">
        <f>E19*Parameters!$F$14*(1-Parameters!$F$15)</f>
        <v>1900.0</v>
      </c>
      <c r="K19" s="7">
        <f>H19*Parameters!$F$29</f>
        <v>0.0</v>
      </c>
      <c r="L19" s="7">
        <f>I19*Parameters!$F$24</f>
        <v>0.0</v>
      </c>
      <c r="M19" s="7">
        <f>J19+K19+L19</f>
        <v>1900.0</v>
      </c>
      <c r="N19" s="7">
        <f>C19*Parameters!$F$17+D19*Parameters!$F$18+E19*Parameters!$F$16+I19*Parameters!$F$25+G19*Parameters!$F$30</f>
        <v>414.72234418667523</v>
      </c>
      <c r="O19" s="7">
        <f>B19*Parameters!$F$19</f>
        <v>4000</v>
      </c>
      <c r="P19" s="7">
        <f>M19-N19-O19</f>
        <v>-2514.7223441866754</v>
      </c>
      <c r="Q19" s="7">
        <f>Parameters!$F$21</f>
        <v>1000</v>
      </c>
      <c r="R19" s="7">
        <f>P19-Q19</f>
        <v>-3514.7223441866754</v>
      </c>
      <c r="S19" s="7">
        <f>IF(A19&lt;1+Parameters!$F$31,0,INDEX($M$5:$M$40,A19-Parameters!$F$31))</f>
        <v>1900.0</v>
      </c>
      <c r="T19" s="7">
        <f>T18+M19-S19</f>
        <v>1900.0</v>
      </c>
      <c r="U19" s="7">
        <f>S19-N19-O19-Q19</f>
        <v>-3514.7223441866754</v>
      </c>
      <c r="V19" s="7">
        <f>V18+U19</f>
        <v>-54121.1106232533</v>
      </c>
      <c r="W19" s="7">
        <f>(1-Parameters!$F$7)*(C19-E19)+(1-Parameters!$F$8)*(D19+E19)</f>
        <v>996.4815627911169</v>
      </c>
      <c r="X19" s="7">
        <f>Parameters!$F$7*(C19-E19)+Parameters!$F$8*Parameters!$F$9*(D19+E19)</f>
        <v>0.0</v>
      </c>
      <c r="Y19" s="7">
        <f>Parameters!$F$8*(1-Parameters!$F$9)*(D19+E19)</f>
        <v>385.9262511644673</v>
      </c>
      <c r="Z19" s="7">
        <f>POWER(1/(1+Parameters!$F$32),A19-1)*(M19-N19)</f>
        <v>1292.1365600972242</v>
      </c>
    </row>
    <row r="20" spans="1:26">
      <c r="A20" s="7">
        <v>16</v>
      </c>
      <c r="B20" s="7">
        <f>Parameters!$F$20</f>
        <v>1000</v>
      </c>
      <c r="C20" s="7">
        <f>X19+B20</f>
        <v>1000.0</v>
      </c>
      <c r="D20" s="7">
        <f>Y19</f>
        <v>385.9262511644674</v>
      </c>
      <c r="E20" s="7">
        <f>Parameters!$F$6*C20</f>
        <v>100.0</v>
      </c>
      <c r="F20" s="7">
        <f>IF(Parameters!$F$5=1,E20,0)</f>
        <v>0.0</v>
      </c>
      <c r="G20" s="7">
        <f>Parameters!$F$27*G19+F20</f>
        <v>0.0</v>
      </c>
      <c r="H20" s="7">
        <f>IF(AND(Parameters!$F$5=1,Parameters!$F$26=1),SUMPRODUCT(--($A$5:A20&lt;A20),--(MOD(A20-$A$5:A20,Parameters!$F$28)=0),$F$5:F20,POWER(Parameters!$F$27,IF(A20-$A$5:A20=0,1,A20-$A$5:A20))),0)</f>
        <v>0.0</v>
      </c>
      <c r="I20" s="7">
        <f>Parameters!$F$23*I19+B20*Parameters!$F$22</f>
        <v>0.0</v>
      </c>
      <c r="J20" s="7">
        <f>E20*Parameters!$F$14*(1-Parameters!$F$15)</f>
        <v>1900.0</v>
      </c>
      <c r="K20" s="7">
        <f>H20*Parameters!$F$29</f>
        <v>0.0</v>
      </c>
      <c r="L20" s="7">
        <f>I20*Parameters!$F$24</f>
        <v>0.0</v>
      </c>
      <c r="M20" s="7">
        <f>J20+K20+L20</f>
        <v>1900.0</v>
      </c>
      <c r="N20" s="7">
        <f>C20*Parameters!$F$17+D20*Parameters!$F$18+E20*Parameters!$F$16+I20*Parameters!$F$25+G20*Parameters!$F$30</f>
        <v>415.7778753493402</v>
      </c>
      <c r="O20" s="7">
        <f>B20*Parameters!$F$19</f>
        <v>4000</v>
      </c>
      <c r="P20" s="7">
        <f>M20-N20-O20</f>
        <v>-2515.7778753493403</v>
      </c>
      <c r="Q20" s="7">
        <f>Parameters!$F$21</f>
        <v>1000</v>
      </c>
      <c r="R20" s="7">
        <f>P20-Q20</f>
        <v>-3515.7778753493403</v>
      </c>
      <c r="S20" s="7">
        <f>IF(A20&lt;1+Parameters!$F$31,0,INDEX($M$5:$M$40,A20-Parameters!$F$31))</f>
        <v>1900.0</v>
      </c>
      <c r="T20" s="7">
        <f>T19+M20-S20</f>
        <v>1900.0</v>
      </c>
      <c r="U20" s="7">
        <f>S20-N20-O20-Q20</f>
        <v>-3515.7778753493403</v>
      </c>
      <c r="V20" s="7">
        <f>V19+U20</f>
        <v>-57636.88849860264</v>
      </c>
      <c r="W20" s="7">
        <f>(1-Parameters!$F$7)*(C20-E20)+(1-Parameters!$F$8)*(D20+E20)</f>
        <v>997.1852502328934</v>
      </c>
      <c r="X20" s="7">
        <f>Parameters!$F$7*(C20-E20)+Parameters!$F$8*Parameters!$F$9*(D20+E20)</f>
        <v>0.0</v>
      </c>
      <c r="Y20" s="7">
        <f>Parameters!$F$8*(1-Parameters!$F$9)*(D20+E20)</f>
        <v>388.7410009315739</v>
      </c>
      <c r="Z20" s="7">
        <f>POWER(1/(1+Parameters!$F$32),A20-1)*(M20-N20)</f>
        <v>1278.4339475965064</v>
      </c>
    </row>
    <row r="21" spans="1:26">
      <c r="A21" s="7">
        <v>17</v>
      </c>
      <c r="B21" s="7">
        <f>Parameters!$F$20</f>
        <v>1000</v>
      </c>
      <c r="C21" s="7">
        <f>X20+B21</f>
        <v>1000.0</v>
      </c>
      <c r="D21" s="7">
        <f>Y20</f>
        <v>388.7410009315739</v>
      </c>
      <c r="E21" s="7">
        <f>Parameters!$F$6*C21</f>
        <v>100.0</v>
      </c>
      <c r="F21" s="7">
        <f>IF(Parameters!$F$5=1,E21,0)</f>
        <v>0.0</v>
      </c>
      <c r="G21" s="7">
        <f>Parameters!$F$27*G20+F21</f>
        <v>0.0</v>
      </c>
      <c r="H21" s="7">
        <f>IF(AND(Parameters!$F$5=1,Parameters!$F$26=1),SUMPRODUCT(--($A$5:A21&lt;A21),--(MOD(A21-$A$5:A21,Parameters!$F$28)=0),$F$5:F21,POWER(Parameters!$F$27,IF(A21-$A$5:A21=0,1,A21-$A$5:A21))),0)</f>
        <v>0.0</v>
      </c>
      <c r="I21" s="7">
        <f>Parameters!$F$23*I20+B21*Parameters!$F$22</f>
        <v>0.0</v>
      </c>
      <c r="J21" s="7">
        <f>E21*Parameters!$F$14*(1-Parameters!$F$15)</f>
        <v>1900.0</v>
      </c>
      <c r="K21" s="7">
        <f>H21*Parameters!$F$29</f>
        <v>0.0</v>
      </c>
      <c r="L21" s="7">
        <f>I21*Parameters!$F$24</f>
        <v>0.0</v>
      </c>
      <c r="M21" s="7">
        <f>J21+K21+L21</f>
        <v>1900.0</v>
      </c>
      <c r="N21" s="7">
        <f>C21*Parameters!$F$17+D21*Parameters!$F$18+E21*Parameters!$F$16+I21*Parameters!$F$25+G21*Parameters!$F$30</f>
        <v>416.62230027947214</v>
      </c>
      <c r="O21" s="7">
        <f>B21*Parameters!$F$19</f>
        <v>4000</v>
      </c>
      <c r="P21" s="7">
        <f>M21-N21-O21</f>
        <v>-2516.6223002794723</v>
      </c>
      <c r="Q21" s="7">
        <f>Parameters!$F$21</f>
        <v>1000</v>
      </c>
      <c r="R21" s="7">
        <f>P21-Q21</f>
        <v>-3516.6223002794723</v>
      </c>
      <c r="S21" s="7">
        <f>IF(A21&lt;1+Parameters!$F$31,0,INDEX($M$5:$M$40,A21-Parameters!$F$31))</f>
        <v>1900.0</v>
      </c>
      <c r="T21" s="7">
        <f>T20+M21-S21</f>
        <v>1900.0</v>
      </c>
      <c r="U21" s="7">
        <f>S21-N21-O21-Q21</f>
        <v>-3516.6223002794723</v>
      </c>
      <c r="V21" s="7">
        <f>V20+U21</f>
        <v>-61153.51079888211</v>
      </c>
      <c r="W21" s="7">
        <f>(1-Parameters!$F$7)*(C21-E21)+(1-Parameters!$F$8)*(D21+E21)</f>
        <v>997.7482001863148</v>
      </c>
      <c r="X21" s="7">
        <f>Parameters!$F$7*(C21-E21)+Parameters!$F$8*Parameters!$F$9*(D21+E21)</f>
        <v>0.0</v>
      </c>
      <c r="Y21" s="7">
        <f>Parameters!$F$8*(1-Parameters!$F$9)*(D21+E21)</f>
        <v>390.99280074525916</v>
      </c>
      <c r="Z21" s="7">
        <f>POWER(1/(1+Parameters!$F$32),A21-1)*(M21-N21)</f>
        <v>1265.0560422043616</v>
      </c>
    </row>
    <row r="22" spans="1:26">
      <c r="A22" s="7">
        <v>18</v>
      </c>
      <c r="B22" s="7">
        <f>Parameters!$F$20</f>
        <v>1000</v>
      </c>
      <c r="C22" s="7">
        <f>X21+B22</f>
        <v>1000.0</v>
      </c>
      <c r="D22" s="7">
        <f>Y21</f>
        <v>390.99280074525916</v>
      </c>
      <c r="E22" s="7">
        <f>Parameters!$F$6*C22</f>
        <v>100.0</v>
      </c>
      <c r="F22" s="7">
        <f>IF(Parameters!$F$5=1,E22,0)</f>
        <v>0.0</v>
      </c>
      <c r="G22" s="7">
        <f>Parameters!$F$27*G21+F22</f>
        <v>0.0</v>
      </c>
      <c r="H22" s="7">
        <f>IF(AND(Parameters!$F$5=1,Parameters!$F$26=1),SUMPRODUCT(--($A$5:A22&lt;A22),--(MOD(A22-$A$5:A22,Parameters!$F$28)=0),$F$5:F22,POWER(Parameters!$F$27,IF(A22-$A$5:A22=0,1,A22-$A$5:A22))),0)</f>
        <v>0.0</v>
      </c>
      <c r="I22" s="7">
        <f>Parameters!$F$23*I21+B22*Parameters!$F$22</f>
        <v>0.0</v>
      </c>
      <c r="J22" s="7">
        <f>E22*Parameters!$F$14*(1-Parameters!$F$15)</f>
        <v>1900.0</v>
      </c>
      <c r="K22" s="7">
        <f>H22*Parameters!$F$29</f>
        <v>0.0</v>
      </c>
      <c r="L22" s="7">
        <f>I22*Parameters!$F$24</f>
        <v>0.0</v>
      </c>
      <c r="M22" s="7">
        <f>J22+K22+L22</f>
        <v>1900.0</v>
      </c>
      <c r="N22" s="7">
        <f>C22*Parameters!$F$17+D22*Parameters!$F$18+E22*Parameters!$F$16+I22*Parameters!$F$25+G22*Parameters!$F$30</f>
        <v>417.29784022357774</v>
      </c>
      <c r="O22" s="7">
        <f>B22*Parameters!$F$19</f>
        <v>4000</v>
      </c>
      <c r="P22" s="7">
        <f>M22-N22-O22</f>
        <v>-2517.2978402235776</v>
      </c>
      <c r="Q22" s="7">
        <f>Parameters!$F$21</f>
        <v>1000</v>
      </c>
      <c r="R22" s="7">
        <f>P22-Q22</f>
        <v>-3517.2978402235776</v>
      </c>
      <c r="S22" s="7">
        <f>IF(A22&lt;1+Parameters!$F$31,0,INDEX($M$5:$M$40,A22-Parameters!$F$31))</f>
        <v>1900.0</v>
      </c>
      <c r="T22" s="7">
        <f>T21+M22-S22</f>
        <v>1900.0</v>
      </c>
      <c r="U22" s="7">
        <f>S22-N22-O22-Q22</f>
        <v>-3517.2978402235776</v>
      </c>
      <c r="V22" s="7">
        <f>V21+U22</f>
        <v>-64670.808639105686</v>
      </c>
      <c r="W22" s="7">
        <f>(1-Parameters!$F$7)*(C22-E22)+(1-Parameters!$F$8)*(D22+E22)</f>
        <v>998.1985601490518</v>
      </c>
      <c r="X22" s="7">
        <f>Parameters!$F$7*(C22-E22)+Parameters!$F$8*Parameters!$F$9*(D22+E22)</f>
        <v>0.0</v>
      </c>
      <c r="Y22" s="7">
        <f>Parameters!$F$8*(1-Parameters!$F$9)*(D22+E22)</f>
        <v>392.7942405962074</v>
      </c>
      <c r="Z22" s="7">
        <f>POWER(1/(1+Parameters!$F$32),A22-1)*(M22-N22)</f>
        <v>1251.9603241352067</v>
      </c>
    </row>
    <row r="23" spans="1:26">
      <c r="A23" s="7">
        <v>19</v>
      </c>
      <c r="B23" s="7">
        <f>Parameters!$F$20</f>
        <v>1000</v>
      </c>
      <c r="C23" s="7">
        <f>X22+B23</f>
        <v>1000.0</v>
      </c>
      <c r="D23" s="7">
        <f>Y22</f>
        <v>392.7942405962074</v>
      </c>
      <c r="E23" s="7">
        <f>Parameters!$F$6*C23</f>
        <v>100.0</v>
      </c>
      <c r="F23" s="7">
        <f>IF(Parameters!$F$5=1,E23,0)</f>
        <v>0.0</v>
      </c>
      <c r="G23" s="7">
        <f>Parameters!$F$27*G22+F23</f>
        <v>0.0</v>
      </c>
      <c r="H23" s="7">
        <f>IF(AND(Parameters!$F$5=1,Parameters!$F$26=1),SUMPRODUCT(--($A$5:A23&lt;A23),--(MOD(A23-$A$5:A23,Parameters!$F$28)=0),$F$5:F23,POWER(Parameters!$F$27,IF(A23-$A$5:A23=0,1,A23-$A$5:A23))),0)</f>
        <v>0.0</v>
      </c>
      <c r="I23" s="7">
        <f>Parameters!$F$23*I22+B23*Parameters!$F$22</f>
        <v>0.0</v>
      </c>
      <c r="J23" s="7">
        <f>E23*Parameters!$F$14*(1-Parameters!$F$15)</f>
        <v>1900.0</v>
      </c>
      <c r="K23" s="7">
        <f>H23*Parameters!$F$29</f>
        <v>0.0</v>
      </c>
      <c r="L23" s="7">
        <f>I23*Parameters!$F$24</f>
        <v>0.0</v>
      </c>
      <c r="M23" s="7">
        <f>J23+K23+L23</f>
        <v>1900.0</v>
      </c>
      <c r="N23" s="7">
        <f>C23*Parameters!$F$17+D23*Parameters!$F$18+E23*Parameters!$F$16+I23*Parameters!$F$25+G23*Parameters!$F$30</f>
        <v>417.8382721788622</v>
      </c>
      <c r="O23" s="7">
        <f>B23*Parameters!$F$19</f>
        <v>4000</v>
      </c>
      <c r="P23" s="7">
        <f>M23-N23-O23</f>
        <v>-2517.838272178862</v>
      </c>
      <c r="Q23" s="7">
        <f>Parameters!$F$21</f>
        <v>1000</v>
      </c>
      <c r="R23" s="7">
        <f>P23-Q23</f>
        <v>-3517.838272178862</v>
      </c>
      <c r="S23" s="7">
        <f>IF(A23&lt;1+Parameters!$F$31,0,INDEX($M$5:$M$40,A23-Parameters!$F$31))</f>
        <v>1900.0</v>
      </c>
      <c r="T23" s="7">
        <f>T22+M23-S23</f>
        <v>1900.0</v>
      </c>
      <c r="U23" s="7">
        <f>S23-N23-O23-Q23</f>
        <v>-3517.838272178862</v>
      </c>
      <c r="V23" s="7">
        <f>V22+U23</f>
        <v>-68188.64691128455</v>
      </c>
      <c r="W23" s="7">
        <f>(1-Parameters!$F$7)*(C23-E23)+(1-Parameters!$F$8)*(D23+E23)</f>
        <v>998.5588481192415</v>
      </c>
      <c r="X23" s="7">
        <f>Parameters!$F$7*(C23-E23)+Parameters!$F$8*Parameters!$F$9*(D23+E23)</f>
        <v>0.0</v>
      </c>
      <c r="Y23" s="7">
        <f>Parameters!$F$8*(1-Parameters!$F$9)*(D23+E23)</f>
        <v>394.2353924769659</v>
      </c>
      <c r="Z23" s="7">
        <f>POWER(1/(1+Parameters!$F$32),A23-1)*(M23-N23)</f>
        <v>1239.112866889831</v>
      </c>
    </row>
    <row r="24" spans="1:26">
      <c r="A24" s="7">
        <v>20</v>
      </c>
      <c r="B24" s="7">
        <f>Parameters!$F$20</f>
        <v>1000</v>
      </c>
      <c r="C24" s="7">
        <f>X23+B24</f>
        <v>1000.0</v>
      </c>
      <c r="D24" s="7">
        <f>Y23</f>
        <v>394.2353924769659</v>
      </c>
      <c r="E24" s="7">
        <f>Parameters!$F$6*C24</f>
        <v>100.0</v>
      </c>
      <c r="F24" s="7">
        <f>IF(Parameters!$F$5=1,E24,0)</f>
        <v>0.0</v>
      </c>
      <c r="G24" s="7">
        <f>Parameters!$F$27*G23+F24</f>
        <v>0.0</v>
      </c>
      <c r="H24" s="7">
        <f>IF(AND(Parameters!$F$5=1,Parameters!$F$26=1),SUMPRODUCT(--($A$5:A24&lt;A24),--(MOD(A24-$A$5:A24,Parameters!$F$28)=0),$F$5:F24,POWER(Parameters!$F$27,IF(A24-$A$5:A24=0,1,A24-$A$5:A24))),0)</f>
        <v>0.0</v>
      </c>
      <c r="I24" s="7">
        <f>Parameters!$F$23*I23+B24*Parameters!$F$22</f>
        <v>0.0</v>
      </c>
      <c r="J24" s="7">
        <f>E24*Parameters!$F$14*(1-Parameters!$F$15)</f>
        <v>1900.0</v>
      </c>
      <c r="K24" s="7">
        <f>H24*Parameters!$F$29</f>
        <v>0.0</v>
      </c>
      <c r="L24" s="7">
        <f>I24*Parameters!$F$24</f>
        <v>0.0</v>
      </c>
      <c r="M24" s="7">
        <f>J24+K24+L24</f>
        <v>1900.0</v>
      </c>
      <c r="N24" s="7">
        <f>C24*Parameters!$F$17+D24*Parameters!$F$18+E24*Parameters!$F$16+I24*Parameters!$F$25+G24*Parameters!$F$30</f>
        <v>418.27061774308976</v>
      </c>
      <c r="O24" s="7">
        <f>B24*Parameters!$F$19</f>
        <v>4000</v>
      </c>
      <c r="P24" s="7">
        <f>M24-N24-O24</f>
        <v>-2518.27061774309</v>
      </c>
      <c r="Q24" s="7">
        <f>Parameters!$F$21</f>
        <v>1000</v>
      </c>
      <c r="R24" s="7">
        <f>P24-Q24</f>
        <v>-3518.27061774309</v>
      </c>
      <c r="S24" s="7">
        <f>IF(A24&lt;1+Parameters!$F$31,0,INDEX($M$5:$M$40,A24-Parameters!$F$31))</f>
        <v>1900.0</v>
      </c>
      <c r="T24" s="7">
        <f>T23+M24-S24</f>
        <v>1900.0</v>
      </c>
      <c r="U24" s="7">
        <f>S24-N24-O24-Q24</f>
        <v>-3518.27061774309</v>
      </c>
      <c r="V24" s="7">
        <f>V23+U24</f>
        <v>-71706.91752902765</v>
      </c>
      <c r="W24" s="7">
        <f>(1-Parameters!$F$7)*(C24-E24)+(1-Parameters!$F$8)*(D24+E24)</f>
        <v>998.8470784953931</v>
      </c>
      <c r="X24" s="7">
        <f>Parameters!$F$7*(C24-E24)+Parameters!$F$8*Parameters!$F$9*(D24+E24)</f>
        <v>0.0</v>
      </c>
      <c r="Y24" s="7">
        <f>Parameters!$F$8*(1-Parameters!$F$9)*(D24+E24)</f>
        <v>395.38831398157276</v>
      </c>
      <c r="Z24" s="7">
        <f>POWER(1/(1+Parameters!$F$32),A24-1)*(M24-N24)</f>
        <v>1226.4865529825968</v>
      </c>
    </row>
    <row r="25" spans="1:26">
      <c r="A25" s="7">
        <v>21</v>
      </c>
      <c r="B25" s="7">
        <f>Parameters!$F$20</f>
        <v>1000</v>
      </c>
      <c r="C25" s="7">
        <f>X24+B25</f>
        <v>1000.0</v>
      </c>
      <c r="D25" s="7">
        <f>Y24</f>
        <v>395.38831398157276</v>
      </c>
      <c r="E25" s="7">
        <f>Parameters!$F$6*C25</f>
        <v>100.0</v>
      </c>
      <c r="F25" s="7">
        <f>IF(Parameters!$F$5=1,E25,0)</f>
        <v>0.0</v>
      </c>
      <c r="G25" s="7">
        <f>Parameters!$F$27*G24+F25</f>
        <v>0.0</v>
      </c>
      <c r="H25" s="7">
        <f>IF(AND(Parameters!$F$5=1,Parameters!$F$26=1),SUMPRODUCT(--($A$5:A25&lt;A25),--(MOD(A25-$A$5:A25,Parameters!$F$28)=0),$F$5:F25,POWER(Parameters!$F$27,IF(A25-$A$5:A25=0,1,A25-$A$5:A25))),0)</f>
        <v>0.0</v>
      </c>
      <c r="I25" s="7">
        <f>Parameters!$F$23*I24+B25*Parameters!$F$22</f>
        <v>0.0</v>
      </c>
      <c r="J25" s="7">
        <f>E25*Parameters!$F$14*(1-Parameters!$F$15)</f>
        <v>1900.0</v>
      </c>
      <c r="K25" s="7">
        <f>H25*Parameters!$F$29</f>
        <v>0.0</v>
      </c>
      <c r="L25" s="7">
        <f>I25*Parameters!$F$24</f>
        <v>0.0</v>
      </c>
      <c r="M25" s="7">
        <f>J25+K25+L25</f>
        <v>1900.0</v>
      </c>
      <c r="N25" s="7">
        <f>C25*Parameters!$F$17+D25*Parameters!$F$18+E25*Parameters!$F$16+I25*Parameters!$F$25+G25*Parameters!$F$30</f>
        <v>418.61649419447184</v>
      </c>
      <c r="O25" s="7">
        <f>B25*Parameters!$F$19</f>
        <v>4000</v>
      </c>
      <c r="P25" s="7">
        <f>M25-N25-O25</f>
        <v>-2518.6164941944717</v>
      </c>
      <c r="Q25" s="7">
        <f>Parameters!$F$21</f>
        <v>1000</v>
      </c>
      <c r="R25" s="7">
        <f>P25-Q25</f>
        <v>-3518.6164941944717</v>
      </c>
      <c r="S25" s="7">
        <f>IF(A25&lt;1+Parameters!$F$31,0,INDEX($M$5:$M$40,A25-Parameters!$F$31))</f>
        <v>1900.0</v>
      </c>
      <c r="T25" s="7">
        <f>T24+M25-S25</f>
        <v>1900.0</v>
      </c>
      <c r="U25" s="7">
        <f>S25-N25-O25-Q25</f>
        <v>-3518.6164941944717</v>
      </c>
      <c r="V25" s="7">
        <f>V24+U25</f>
        <v>-75225.53402322212</v>
      </c>
      <c r="W25" s="7">
        <f>(1-Parameters!$F$7)*(C25-E25)+(1-Parameters!$F$8)*(D25+E25)</f>
        <v>999.0776627963146</v>
      </c>
      <c r="X25" s="7">
        <f>Parameters!$F$7*(C25-E25)+Parameters!$F$8*Parameters!$F$9*(D25+E25)</f>
        <v>0.0</v>
      </c>
      <c r="Y25" s="7">
        <f>Parameters!$F$8*(1-Parameters!$F$9)*(D25+E25)</f>
        <v>396.3106511852582</v>
      </c>
      <c r="Z25" s="7">
        <f>POWER(1/(1+Parameters!$F$32),A25-1)*(M25-N25)</f>
        <v>1214.0596606317972</v>
      </c>
    </row>
    <row r="26" spans="1:26">
      <c r="A26" s="7">
        <v>22</v>
      </c>
      <c r="B26" s="7">
        <f>Parameters!$F$20</f>
        <v>1000</v>
      </c>
      <c r="C26" s="7">
        <f>X25+B26</f>
        <v>1000.0</v>
      </c>
      <c r="D26" s="7">
        <f>Y25</f>
        <v>396.3106511852582</v>
      </c>
      <c r="E26" s="7">
        <f>Parameters!$F$6*C26</f>
        <v>100.0</v>
      </c>
      <c r="F26" s="7">
        <f>IF(Parameters!$F$5=1,E26,0)</f>
        <v>0.0</v>
      </c>
      <c r="G26" s="7">
        <f>Parameters!$F$27*G25+F26</f>
        <v>0.0</v>
      </c>
      <c r="H26" s="7">
        <f>IF(AND(Parameters!$F$5=1,Parameters!$F$26=1),SUMPRODUCT(--($A$5:A26&lt;A26),--(MOD(A26-$A$5:A26,Parameters!$F$28)=0),$F$5:F26,POWER(Parameters!$F$27,IF(A26-$A$5:A26=0,1,A26-$A$5:A26))),0)</f>
        <v>0.0</v>
      </c>
      <c r="I26" s="7">
        <f>Parameters!$F$23*I25+B26*Parameters!$F$22</f>
        <v>0.0</v>
      </c>
      <c r="J26" s="7">
        <f>E26*Parameters!$F$14*(1-Parameters!$F$15)</f>
        <v>1900.0</v>
      </c>
      <c r="K26" s="7">
        <f>H26*Parameters!$F$29</f>
        <v>0.0</v>
      </c>
      <c r="L26" s="7">
        <f>I26*Parameters!$F$24</f>
        <v>0.0</v>
      </c>
      <c r="M26" s="7">
        <f>J26+K26+L26</f>
        <v>1900.0</v>
      </c>
      <c r="N26" s="7">
        <f>C26*Parameters!$F$17+D26*Parameters!$F$18+E26*Parameters!$F$16+I26*Parameters!$F$25+G26*Parameters!$F$30</f>
        <v>418.89319535557746</v>
      </c>
      <c r="O26" s="7">
        <f>B26*Parameters!$F$19</f>
        <v>4000</v>
      </c>
      <c r="P26" s="7">
        <f>M26-N26-O26</f>
        <v>-2518.8931953555775</v>
      </c>
      <c r="Q26" s="7">
        <f>Parameters!$F$21</f>
        <v>1000</v>
      </c>
      <c r="R26" s="7">
        <f>P26-Q26</f>
        <v>-3518.8931953555775</v>
      </c>
      <c r="S26" s="7">
        <f>IF(A26&lt;1+Parameters!$F$31,0,INDEX($M$5:$M$40,A26-Parameters!$F$31))</f>
        <v>1900.0</v>
      </c>
      <c r="T26" s="7">
        <f>T25+M26-S26</f>
        <v>1900.0</v>
      </c>
      <c r="U26" s="7">
        <f>S26-N26-O26-Q26</f>
        <v>-3518.8931953555775</v>
      </c>
      <c r="V26" s="7">
        <f>V25+U26</f>
        <v>-78744.4272185777</v>
      </c>
      <c r="W26" s="7">
        <f>(1-Parameters!$F$7)*(C26-E26)+(1-Parameters!$F$8)*(D26+E26)</f>
        <v>999.2621302370517</v>
      </c>
      <c r="X26" s="7">
        <f>Parameters!$F$7*(C26-E26)+Parameters!$F$8*Parameters!$F$9*(D26+E26)</f>
        <v>0.0</v>
      </c>
      <c r="Y26" s="7">
        <f>Parameters!$F$8*(1-Parameters!$F$9)*(D26+E26)</f>
        <v>397.0485209482066</v>
      </c>
      <c r="Z26" s="7">
        <f>POWER(1/(1+Parameters!$F$32),A26-1)*(M26-N26)</f>
        <v>1201.8147442824527</v>
      </c>
    </row>
    <row r="27" spans="1:26">
      <c r="A27" s="7">
        <v>23</v>
      </c>
      <c r="B27" s="7">
        <f>Parameters!$F$20</f>
        <v>1000</v>
      </c>
      <c r="C27" s="7">
        <f>X26+B27</f>
        <v>1000.0</v>
      </c>
      <c r="D27" s="7">
        <f>Y26</f>
        <v>397.0485209482066</v>
      </c>
      <c r="E27" s="7">
        <f>Parameters!$F$6*C27</f>
        <v>100.0</v>
      </c>
      <c r="F27" s="7">
        <f>IF(Parameters!$F$5=1,E27,0)</f>
        <v>0.0</v>
      </c>
      <c r="G27" s="7">
        <f>Parameters!$F$27*G26+F27</f>
        <v>0.0</v>
      </c>
      <c r="H27" s="7">
        <f>IF(AND(Parameters!$F$5=1,Parameters!$F$26=1),SUMPRODUCT(--($A$5:A27&lt;A27),--(MOD(A27-$A$5:A27,Parameters!$F$28)=0),$F$5:F27,POWER(Parameters!$F$27,IF(A27-$A$5:A27=0,1,A27-$A$5:A27))),0)</f>
        <v>0.0</v>
      </c>
      <c r="I27" s="7">
        <f>Parameters!$F$23*I26+B27*Parameters!$F$22</f>
        <v>0.0</v>
      </c>
      <c r="J27" s="7">
        <f>E27*Parameters!$F$14*(1-Parameters!$F$15)</f>
        <v>1900.0</v>
      </c>
      <c r="K27" s="7">
        <f>H27*Parameters!$F$29</f>
        <v>0.0</v>
      </c>
      <c r="L27" s="7">
        <f>I27*Parameters!$F$24</f>
        <v>0.0</v>
      </c>
      <c r="M27" s="7">
        <f>J27+K27+L27</f>
        <v>1900.0</v>
      </c>
      <c r="N27" s="7">
        <f>C27*Parameters!$F$17+D27*Parameters!$F$18+E27*Parameters!$F$16+I27*Parameters!$F$25+G27*Parameters!$F$30</f>
        <v>419.11455628446197</v>
      </c>
      <c r="O27" s="7">
        <f>B27*Parameters!$F$19</f>
        <v>4000</v>
      </c>
      <c r="P27" s="7">
        <f>M27-N27-O27</f>
        <v>-2519.114556284462</v>
      </c>
      <c r="Q27" s="7">
        <f>Parameters!$F$21</f>
        <v>1000</v>
      </c>
      <c r="R27" s="7">
        <f>P27-Q27</f>
        <v>-3519.114556284462</v>
      </c>
      <c r="S27" s="7">
        <f>IF(A27&lt;1+Parameters!$F$31,0,INDEX($M$5:$M$40,A27-Parameters!$F$31))</f>
        <v>1900.0</v>
      </c>
      <c r="T27" s="7">
        <f>T26+M27-S27</f>
        <v>1900.0</v>
      </c>
      <c r="U27" s="7">
        <f>S27-N27-O27-Q27</f>
        <v>-3519.114556284462</v>
      </c>
      <c r="V27" s="7">
        <f>V26+U27</f>
        <v>-82263.54177486215</v>
      </c>
      <c r="W27" s="7">
        <f>(1-Parameters!$F$7)*(C27-E27)+(1-Parameters!$F$8)*(D27+E27)</f>
        <v>999.4097041896413</v>
      </c>
      <c r="X27" s="7">
        <f>Parameters!$F$7*(C27-E27)+Parameters!$F$8*Parameters!$F$9*(D27+E27)</f>
        <v>0.0</v>
      </c>
      <c r="Y27" s="7">
        <f>Parameters!$F$8*(1-Parameters!$F$9)*(D27+E27)</f>
        <v>397.6388167585653</v>
      </c>
      <c r="Z27" s="7">
        <f>POWER(1/(1+Parameters!$F$32),A27-1)*(M27-N27)</f>
        <v>1189.7377478679161</v>
      </c>
    </row>
    <row r="28" spans="1:26">
      <c r="A28" s="7">
        <v>24</v>
      </c>
      <c r="B28" s="7">
        <f>Parameters!$F$20</f>
        <v>1000</v>
      </c>
      <c r="C28" s="7">
        <f>X27+B28</f>
        <v>1000.0</v>
      </c>
      <c r="D28" s="7">
        <f>Y27</f>
        <v>397.6388167585653</v>
      </c>
      <c r="E28" s="7">
        <f>Parameters!$F$6*C28</f>
        <v>100.0</v>
      </c>
      <c r="F28" s="7">
        <f>IF(Parameters!$F$5=1,E28,0)</f>
        <v>0.0</v>
      </c>
      <c r="G28" s="7">
        <f>Parameters!$F$27*G27+F28</f>
        <v>0.0</v>
      </c>
      <c r="H28" s="7">
        <f>IF(AND(Parameters!$F$5=1,Parameters!$F$26=1),SUMPRODUCT(--($A$5:A28&lt;A28),--(MOD(A28-$A$5:A28,Parameters!$F$28)=0),$F$5:F28,POWER(Parameters!$F$27,IF(A28-$A$5:A28=0,1,A28-$A$5:A28))),0)</f>
        <v>0.0</v>
      </c>
      <c r="I28" s="7">
        <f>Parameters!$F$23*I27+B28*Parameters!$F$22</f>
        <v>0.0</v>
      </c>
      <c r="J28" s="7">
        <f>E28*Parameters!$F$14*(1-Parameters!$F$15)</f>
        <v>1900.0</v>
      </c>
      <c r="K28" s="7">
        <f>H28*Parameters!$F$29</f>
        <v>0.0</v>
      </c>
      <c r="L28" s="7">
        <f>I28*Parameters!$F$24</f>
        <v>0.0</v>
      </c>
      <c r="M28" s="7">
        <f>J28+K28+L28</f>
        <v>1900.0</v>
      </c>
      <c r="N28" s="7">
        <f>C28*Parameters!$F$17+D28*Parameters!$F$18+E28*Parameters!$F$16+I28*Parameters!$F$25+G28*Parameters!$F$30</f>
        <v>419.2916450275696</v>
      </c>
      <c r="O28" s="7">
        <f>B28*Parameters!$F$19</f>
        <v>4000</v>
      </c>
      <c r="P28" s="7">
        <f>M28-N28-O28</f>
        <v>-2519.2916450275698</v>
      </c>
      <c r="Q28" s="7">
        <f>Parameters!$F$21</f>
        <v>1000</v>
      </c>
      <c r="R28" s="7">
        <f>P28-Q28</f>
        <v>-3519.2916450275698</v>
      </c>
      <c r="S28" s="7">
        <f>IF(A28&lt;1+Parameters!$F$31,0,INDEX($M$5:$M$40,A28-Parameters!$F$31))</f>
        <v>1900.0</v>
      </c>
      <c r="T28" s="7">
        <f>T27+M28-S28</f>
        <v>1900.0</v>
      </c>
      <c r="U28" s="7">
        <f>S28-N28-O28-Q28</f>
        <v>-3519.2916450275698</v>
      </c>
      <c r="V28" s="7">
        <f>V27+U28</f>
        <v>-85782.83341988972</v>
      </c>
      <c r="W28" s="7">
        <f>(1-Parameters!$F$7)*(C28-E28)+(1-Parameters!$F$8)*(D28+E28)</f>
        <v>999.527763351713</v>
      </c>
      <c r="X28" s="7">
        <f>Parameters!$F$7*(C28-E28)+Parameters!$F$8*Parameters!$F$9*(D28+E28)</f>
        <v>0.0</v>
      </c>
      <c r="Y28" s="7">
        <f>Parameters!$F$8*(1-Parameters!$F$9)*(D28+E28)</f>
        <v>398.1110534068523</v>
      </c>
      <c r="Z28" s="7">
        <f>POWER(1/(1+Parameters!$F$32),A28-1)*(M28-N28)</f>
        <v>1177.8173024192818</v>
      </c>
    </row>
    <row r="29" spans="1:26">
      <c r="A29" s="7">
        <v>25</v>
      </c>
      <c r="B29" s="7">
        <f>Parameters!$F$20</f>
        <v>1000</v>
      </c>
      <c r="C29" s="7">
        <f>X28+B29</f>
        <v>1000.0</v>
      </c>
      <c r="D29" s="7">
        <f>Y28</f>
        <v>398.1110534068523</v>
      </c>
      <c r="E29" s="7">
        <f>Parameters!$F$6*C29</f>
        <v>100.0</v>
      </c>
      <c r="F29" s="7">
        <f>IF(Parameters!$F$5=1,E29,0)</f>
        <v>0.0</v>
      </c>
      <c r="G29" s="7">
        <f>Parameters!$F$27*G28+F29</f>
        <v>0.0</v>
      </c>
      <c r="H29" s="7">
        <f>IF(AND(Parameters!$F$5=1,Parameters!$F$26=1),SUMPRODUCT(--($A$5:A29&lt;A29),--(MOD(A29-$A$5:A29,Parameters!$F$28)=0),$F$5:F29,POWER(Parameters!$F$27,IF(A29-$A$5:A29=0,1,A29-$A$5:A29))),0)</f>
        <v>0.0</v>
      </c>
      <c r="I29" s="7">
        <f>Parameters!$F$23*I28+B29*Parameters!$F$22</f>
        <v>0.0</v>
      </c>
      <c r="J29" s="7">
        <f>E29*Parameters!$F$14*(1-Parameters!$F$15)</f>
        <v>1900.0</v>
      </c>
      <c r="K29" s="7">
        <f>H29*Parameters!$F$29</f>
        <v>0.0</v>
      </c>
      <c r="L29" s="7">
        <f>I29*Parameters!$F$24</f>
        <v>0.0</v>
      </c>
      <c r="M29" s="7">
        <f>J29+K29+L29</f>
        <v>1900.0</v>
      </c>
      <c r="N29" s="7">
        <f>C29*Parameters!$F$17+D29*Parameters!$F$18+E29*Parameters!$F$16+I29*Parameters!$F$25+G29*Parameters!$F$30</f>
        <v>419.4333160220557</v>
      </c>
      <c r="O29" s="7">
        <f>B29*Parameters!$F$19</f>
        <v>4000</v>
      </c>
      <c r="P29" s="7">
        <f>M29-N29-O29</f>
        <v>-2519.433316022056</v>
      </c>
      <c r="Q29" s="7">
        <f>Parameters!$F$21</f>
        <v>1000</v>
      </c>
      <c r="R29" s="7">
        <f>P29-Q29</f>
        <v>-3519.433316022056</v>
      </c>
      <c r="S29" s="7">
        <f>IF(A29&lt;1+Parameters!$F$31,0,INDEX($M$5:$M$40,A29-Parameters!$F$31))</f>
        <v>1900.0</v>
      </c>
      <c r="T29" s="7">
        <f>T28+M29-S29</f>
        <v>1900.0</v>
      </c>
      <c r="U29" s="7">
        <f>S29-N29-O29-Q29</f>
        <v>-3519.433316022056</v>
      </c>
      <c r="V29" s="7">
        <f>V28+U29</f>
        <v>-89302.26673591178</v>
      </c>
      <c r="W29" s="7">
        <f>(1-Parameters!$F$7)*(C29-E29)+(1-Parameters!$F$8)*(D29+E29)</f>
        <v>999.6222106813705</v>
      </c>
      <c r="X29" s="7">
        <f>Parameters!$F$7*(C29-E29)+Parameters!$F$8*Parameters!$F$9*(D29+E29)</f>
        <v>0.0</v>
      </c>
      <c r="Y29" s="7">
        <f>Parameters!$F$8*(1-Parameters!$F$9)*(D29+E29)</f>
        <v>398.48884272548185</v>
      </c>
      <c r="Z29" s="7">
        <f>POWER(1/(1+Parameters!$F$32),A29-1)*(M29-N29)</f>
        <v>1166.0441696930902</v>
      </c>
    </row>
    <row r="30" spans="1:26">
      <c r="A30" s="7">
        <v>26</v>
      </c>
      <c r="B30" s="7">
        <f>Parameters!$F$20</f>
        <v>1000</v>
      </c>
      <c r="C30" s="7">
        <f>X29+B30</f>
        <v>1000.0</v>
      </c>
      <c r="D30" s="7">
        <f>Y29</f>
        <v>398.48884272548185</v>
      </c>
      <c r="E30" s="7">
        <f>Parameters!$F$6*C30</f>
        <v>100.0</v>
      </c>
      <c r="F30" s="7">
        <f>IF(Parameters!$F$5=1,E30,0)</f>
        <v>0.0</v>
      </c>
      <c r="G30" s="7">
        <f>Parameters!$F$27*G29+F30</f>
        <v>0.0</v>
      </c>
      <c r="H30" s="7">
        <f>IF(AND(Parameters!$F$5=1,Parameters!$F$26=1),SUMPRODUCT(--($A$5:A30&lt;A30),--(MOD(A30-$A$5:A30,Parameters!$F$28)=0),$F$5:F30,POWER(Parameters!$F$27,IF(A30-$A$5:A30=0,1,A30-$A$5:A30))),0)</f>
        <v>0.0</v>
      </c>
      <c r="I30" s="7">
        <f>Parameters!$F$23*I29+B30*Parameters!$F$22</f>
        <v>0.0</v>
      </c>
      <c r="J30" s="7">
        <f>E30*Parameters!$F$14*(1-Parameters!$F$15)</f>
        <v>1900.0</v>
      </c>
      <c r="K30" s="7">
        <f>H30*Parameters!$F$29</f>
        <v>0.0</v>
      </c>
      <c r="L30" s="7">
        <f>I30*Parameters!$F$24</f>
        <v>0.0</v>
      </c>
      <c r="M30" s="7">
        <f>J30+K30+L30</f>
        <v>1900.0</v>
      </c>
      <c r="N30" s="7">
        <f>C30*Parameters!$F$17+D30*Parameters!$F$18+E30*Parameters!$F$16+I30*Parameters!$F$25+G30*Parameters!$F$30</f>
        <v>419.54665281764454</v>
      </c>
      <c r="O30" s="7">
        <f>B30*Parameters!$F$19</f>
        <v>4000</v>
      </c>
      <c r="P30" s="7">
        <f>M30-N30-O30</f>
        <v>-2519.546652817645</v>
      </c>
      <c r="Q30" s="7">
        <f>Parameters!$F$21</f>
        <v>1000</v>
      </c>
      <c r="R30" s="7">
        <f>P30-Q30</f>
        <v>-3519.546652817645</v>
      </c>
      <c r="S30" s="7">
        <f>IF(A30&lt;1+Parameters!$F$31,0,INDEX($M$5:$M$40,A30-Parameters!$F$31))</f>
        <v>1900.0</v>
      </c>
      <c r="T30" s="7">
        <f>T29+M30-S30</f>
        <v>1900.0</v>
      </c>
      <c r="U30" s="7">
        <f>S30-N30-O30-Q30</f>
        <v>-3519.546652817645</v>
      </c>
      <c r="V30" s="7">
        <f>V29+U30</f>
        <v>-92821.81338872942</v>
      </c>
      <c r="W30" s="7">
        <f>(1-Parameters!$F$7)*(C30-E30)+(1-Parameters!$F$8)*(D30+E30)</f>
        <v>999.6977685450963</v>
      </c>
      <c r="X30" s="7">
        <f>Parameters!$F$7*(C30-E30)+Parameters!$F$8*Parameters!$F$9*(D30+E30)</f>
        <v>0.0</v>
      </c>
      <c r="Y30" s="7">
        <f>Parameters!$F$8*(1-Parameters!$F$9)*(D30+E30)</f>
        <v>398.7910741803855</v>
      </c>
      <c r="Z30" s="7">
        <f>POWER(1/(1+Parameters!$F$32),A30-1)*(M30-N30)</f>
        <v>1154.4108014573203</v>
      </c>
    </row>
    <row r="31" spans="1:26">
      <c r="A31" s="7">
        <v>27</v>
      </c>
      <c r="B31" s="7">
        <f>Parameters!$F$20</f>
        <v>1000</v>
      </c>
      <c r="C31" s="7">
        <f>X30+B31</f>
        <v>1000.0</v>
      </c>
      <c r="D31" s="7">
        <f>Y30</f>
        <v>398.7910741803855</v>
      </c>
      <c r="E31" s="7">
        <f>Parameters!$F$6*C31</f>
        <v>100.0</v>
      </c>
      <c r="F31" s="7">
        <f>IF(Parameters!$F$5=1,E31,0)</f>
        <v>0.0</v>
      </c>
      <c r="G31" s="7">
        <f>Parameters!$F$27*G30+F31</f>
        <v>0.0</v>
      </c>
      <c r="H31" s="7">
        <f>IF(AND(Parameters!$F$5=1,Parameters!$F$26=1),SUMPRODUCT(--($A$5:A31&lt;A31),--(MOD(A31-$A$5:A31,Parameters!$F$28)=0),$F$5:F31,POWER(Parameters!$F$27,IF(A31-$A$5:A31=0,1,A31-$A$5:A31))),0)</f>
        <v>0.0</v>
      </c>
      <c r="I31" s="7">
        <f>Parameters!$F$23*I30+B31*Parameters!$F$22</f>
        <v>0.0</v>
      </c>
      <c r="J31" s="7">
        <f>E31*Parameters!$F$14*(1-Parameters!$F$15)</f>
        <v>1900.0</v>
      </c>
      <c r="K31" s="7">
        <f>H31*Parameters!$F$29</f>
        <v>0.0</v>
      </c>
      <c r="L31" s="7">
        <f>I31*Parameters!$F$24</f>
        <v>0.0</v>
      </c>
      <c r="M31" s="7">
        <f>J31+K31+L31</f>
        <v>1900.0</v>
      </c>
      <c r="N31" s="7">
        <f>C31*Parameters!$F$17+D31*Parameters!$F$18+E31*Parameters!$F$16+I31*Parameters!$F$25+G31*Parameters!$F$30</f>
        <v>419.63732225411565</v>
      </c>
      <c r="O31" s="7">
        <f>B31*Parameters!$F$19</f>
        <v>4000</v>
      </c>
      <c r="P31" s="7">
        <f>M31-N31-O31</f>
        <v>-2519.6373222541156</v>
      </c>
      <c r="Q31" s="7">
        <f>Parameters!$F$21</f>
        <v>1000</v>
      </c>
      <c r="R31" s="7">
        <f>P31-Q31</f>
        <v>-3519.6373222541156</v>
      </c>
      <c r="S31" s="7">
        <f>IF(A31&lt;1+Parameters!$F$31,0,INDEX($M$5:$M$40,A31-Parameters!$F$31))</f>
        <v>1900.0</v>
      </c>
      <c r="T31" s="7">
        <f>T30+M31-S31</f>
        <v>1900.0</v>
      </c>
      <c r="U31" s="7">
        <f>S31-N31-O31-Q31</f>
        <v>-3519.6373222541156</v>
      </c>
      <c r="V31" s="7">
        <f>V30+U31</f>
        <v>-96341.45071098354</v>
      </c>
      <c r="W31" s="7">
        <f>(1-Parameters!$F$7)*(C31-E31)+(1-Parameters!$F$8)*(D31+E31)</f>
        <v>999.7582148360771</v>
      </c>
      <c r="X31" s="7">
        <f>Parameters!$F$7*(C31-E31)+Parameters!$F$8*Parameters!$F$9*(D31+E31)</f>
        <v>0.0</v>
      </c>
      <c r="Y31" s="7">
        <f>Parameters!$F$8*(1-Parameters!$F$9)*(D31+E31)</f>
        <v>399.03285934430846</v>
      </c>
      <c r="Z31" s="7">
        <f>POWER(1/(1+Parameters!$F$32),A31-1)*(M31-N31)</f>
        <v>1142.910990388135</v>
      </c>
    </row>
    <row r="32" spans="1:26">
      <c r="A32" s="7">
        <v>28</v>
      </c>
      <c r="B32" s="7">
        <f>Parameters!$F$20</f>
        <v>1000</v>
      </c>
      <c r="C32" s="7">
        <f>X31+B32</f>
        <v>1000.0</v>
      </c>
      <c r="D32" s="7">
        <f>Y31</f>
        <v>399.03285934430846</v>
      </c>
      <c r="E32" s="7">
        <f>Parameters!$F$6*C32</f>
        <v>100.0</v>
      </c>
      <c r="F32" s="7">
        <f>IF(Parameters!$F$5=1,E32,0)</f>
        <v>0.0</v>
      </c>
      <c r="G32" s="7">
        <f>Parameters!$F$27*G31+F32</f>
        <v>0.0</v>
      </c>
      <c r="H32" s="7">
        <f>IF(AND(Parameters!$F$5=1,Parameters!$F$26=1),SUMPRODUCT(--($A$5:A32&lt;A32),--(MOD(A32-$A$5:A32,Parameters!$F$28)=0),$F$5:F32,POWER(Parameters!$F$27,IF(A32-$A$5:A32=0,1,A32-$A$5:A32))),0)</f>
        <v>0.0</v>
      </c>
      <c r="I32" s="7">
        <f>Parameters!$F$23*I31+B32*Parameters!$F$22</f>
        <v>0.0</v>
      </c>
      <c r="J32" s="7">
        <f>E32*Parameters!$F$14*(1-Parameters!$F$15)</f>
        <v>1900.0</v>
      </c>
      <c r="K32" s="7">
        <f>H32*Parameters!$F$29</f>
        <v>0.0</v>
      </c>
      <c r="L32" s="7">
        <f>I32*Parameters!$F$24</f>
        <v>0.0</v>
      </c>
      <c r="M32" s="7">
        <f>J32+K32+L32</f>
        <v>1900.0</v>
      </c>
      <c r="N32" s="7">
        <f>C32*Parameters!$F$17+D32*Parameters!$F$18+E32*Parameters!$F$16+I32*Parameters!$F$25+G32*Parameters!$F$30</f>
        <v>419.70985780329255</v>
      </c>
      <c r="O32" s="7">
        <f>B32*Parameters!$F$19</f>
        <v>4000</v>
      </c>
      <c r="P32" s="7">
        <f>M32-N32-O32</f>
        <v>-2519.709857803293</v>
      </c>
      <c r="Q32" s="7">
        <f>Parameters!$F$21</f>
        <v>1000</v>
      </c>
      <c r="R32" s="7">
        <f>P32-Q32</f>
        <v>-3519.709857803293</v>
      </c>
      <c r="S32" s="7">
        <f>IF(A32&lt;1+Parameters!$F$31,0,INDEX($M$5:$M$40,A32-Parameters!$F$31))</f>
        <v>1900.0</v>
      </c>
      <c r="T32" s="7">
        <f>T31+M32-S32</f>
        <v>1900.0</v>
      </c>
      <c r="U32" s="7">
        <f>S32-N32-O32-Q32</f>
        <v>-3519.709857803293</v>
      </c>
      <c r="V32" s="7">
        <f>V31+U32</f>
        <v>-99861.16056878683</v>
      </c>
      <c r="W32" s="7">
        <f>(1-Parameters!$F$7)*(C32-E32)+(1-Parameters!$F$8)*(D32+E32)</f>
        <v>999.8065718688617</v>
      </c>
      <c r="X32" s="7">
        <f>Parameters!$F$7*(C32-E32)+Parameters!$F$8*Parameters!$F$9*(D32+E32)</f>
        <v>0.0</v>
      </c>
      <c r="Y32" s="7">
        <f>Parameters!$F$8*(1-Parameters!$F$9)*(D32+E32)</f>
        <v>399.2262874754468</v>
      </c>
      <c r="Z32" s="7">
        <f>POWER(1/(1+Parameters!$F$32),A32-1)*(M32-N32)</f>
        <v>1131.5395935298234</v>
      </c>
    </row>
    <row r="33" spans="1:26">
      <c r="A33" s="7">
        <v>29</v>
      </c>
      <c r="B33" s="7">
        <f>Parameters!$F$20</f>
        <v>1000</v>
      </c>
      <c r="C33" s="7">
        <f>X32+B33</f>
        <v>1000.0</v>
      </c>
      <c r="D33" s="7">
        <f>Y32</f>
        <v>399.2262874754468</v>
      </c>
      <c r="E33" s="7">
        <f>Parameters!$F$6*C33</f>
        <v>100.0</v>
      </c>
      <c r="F33" s="7">
        <f>IF(Parameters!$F$5=1,E33,0)</f>
        <v>0.0</v>
      </c>
      <c r="G33" s="7">
        <f>Parameters!$F$27*G32+F33</f>
        <v>0.0</v>
      </c>
      <c r="H33" s="7">
        <f>IF(AND(Parameters!$F$5=1,Parameters!$F$26=1),SUMPRODUCT(--($A$5:A33&lt;A33),--(MOD(A33-$A$5:A33,Parameters!$F$28)=0),$F$5:F33,POWER(Parameters!$F$27,IF(A33-$A$5:A33=0,1,A33-$A$5:A33))),0)</f>
        <v>0.0</v>
      </c>
      <c r="I33" s="7">
        <f>Parameters!$F$23*I32+B33*Parameters!$F$22</f>
        <v>0.0</v>
      </c>
      <c r="J33" s="7">
        <f>E33*Parameters!$F$14*(1-Parameters!$F$15)</f>
        <v>1900.0</v>
      </c>
      <c r="K33" s="7">
        <f>H33*Parameters!$F$29</f>
        <v>0.0</v>
      </c>
      <c r="L33" s="7">
        <f>I33*Parameters!$F$24</f>
        <v>0.0</v>
      </c>
      <c r="M33" s="7">
        <f>J33+K33+L33</f>
        <v>1900.0</v>
      </c>
      <c r="N33" s="7">
        <f>C33*Parameters!$F$17+D33*Parameters!$F$18+E33*Parameters!$F$16+I33*Parameters!$F$25+G33*Parameters!$F$30</f>
        <v>419.76788624263406</v>
      </c>
      <c r="O33" s="7">
        <f>B33*Parameters!$F$19</f>
        <v>4000</v>
      </c>
      <c r="P33" s="7">
        <f>M33-N33-O33</f>
        <v>-2519.767886242634</v>
      </c>
      <c r="Q33" s="7">
        <f>Parameters!$F$21</f>
        <v>1000</v>
      </c>
      <c r="R33" s="7">
        <f>P33-Q33</f>
        <v>-3519.767886242634</v>
      </c>
      <c r="S33" s="7">
        <f>IF(A33&lt;1+Parameters!$F$31,0,INDEX($M$5:$M$40,A33-Parameters!$F$31))</f>
        <v>1900.0</v>
      </c>
      <c r="T33" s="7">
        <f>T32+M33-S33</f>
        <v>1900.0</v>
      </c>
      <c r="U33" s="7">
        <f>S33-N33-O33-Q33</f>
        <v>-3519.767886242634</v>
      </c>
      <c r="V33" s="7">
        <f>V32+U33</f>
        <v>-103380.92845502947</v>
      </c>
      <c r="W33" s="7">
        <f>(1-Parameters!$F$7)*(C33-E33)+(1-Parameters!$F$8)*(D33+E33)</f>
        <v>999.8452574950893</v>
      </c>
      <c r="X33" s="7">
        <f>Parameters!$F$7*(C33-E33)+Parameters!$F$8*Parameters!$F$9*(D33+E33)</f>
        <v>0.0</v>
      </c>
      <c r="Y33" s="7">
        <f>Parameters!$F$8*(1-Parameters!$F$9)*(D33+E33)</f>
        <v>399.3810299803574</v>
      </c>
      <c r="Z33" s="7">
        <f>POWER(1/(1+Parameters!$F$32),A33-1)*(M33-N33)</f>
        <v>1120.2923132307724</v>
      </c>
    </row>
    <row r="34" spans="1:26">
      <c r="A34" s="7">
        <v>30</v>
      </c>
      <c r="B34" s="7">
        <f>Parameters!$F$20</f>
        <v>1000</v>
      </c>
      <c r="C34" s="7">
        <f>X33+B34</f>
        <v>1000.0</v>
      </c>
      <c r="D34" s="7">
        <f>Y33</f>
        <v>399.3810299803575</v>
      </c>
      <c r="E34" s="7">
        <f>Parameters!$F$6*C34</f>
        <v>100.0</v>
      </c>
      <c r="F34" s="7">
        <f>IF(Parameters!$F$5=1,E34,0)</f>
        <v>0.0</v>
      </c>
      <c r="G34" s="7">
        <f>Parameters!$F$27*G33+F34</f>
        <v>0.0</v>
      </c>
      <c r="H34" s="7">
        <f>IF(AND(Parameters!$F$5=1,Parameters!$F$26=1),SUMPRODUCT(--($A$5:A34&lt;A34),--(MOD(A34-$A$5:A34,Parameters!$F$28)=0),$F$5:F34,POWER(Parameters!$F$27,IF(A34-$A$5:A34=0,1,A34-$A$5:A34))),0)</f>
        <v>0.0</v>
      </c>
      <c r="I34" s="7">
        <f>Parameters!$F$23*I33+B34*Parameters!$F$22</f>
        <v>0.0</v>
      </c>
      <c r="J34" s="7">
        <f>E34*Parameters!$F$14*(1-Parameters!$F$15)</f>
        <v>1900.0</v>
      </c>
      <c r="K34" s="7">
        <f>H34*Parameters!$F$29</f>
        <v>0.0</v>
      </c>
      <c r="L34" s="7">
        <f>I34*Parameters!$F$24</f>
        <v>0.0</v>
      </c>
      <c r="M34" s="7">
        <f>J34+K34+L34</f>
        <v>1900.0</v>
      </c>
      <c r="N34" s="7">
        <f>C34*Parameters!$F$17+D34*Parameters!$F$18+E34*Parameters!$F$16+I34*Parameters!$F$25+G34*Parameters!$F$30</f>
        <v>419.81430899410725</v>
      </c>
      <c r="O34" s="7">
        <f>B34*Parameters!$F$19</f>
        <v>4000</v>
      </c>
      <c r="P34" s="7">
        <f>M34-N34-O34</f>
        <v>-2519.8143089941073</v>
      </c>
      <c r="Q34" s="7">
        <f>Parameters!$F$21</f>
        <v>1000</v>
      </c>
      <c r="R34" s="7">
        <f>P34-Q34</f>
        <v>-3519.8143089941073</v>
      </c>
      <c r="S34" s="7">
        <f>IF(A34&lt;1+Parameters!$F$31,0,INDEX($M$5:$M$40,A34-Parameters!$F$31))</f>
        <v>1900.0</v>
      </c>
      <c r="T34" s="7">
        <f>T33+M34-S34</f>
        <v>1900.0</v>
      </c>
      <c r="U34" s="7">
        <f>S34-N34-O34-Q34</f>
        <v>-3519.8143089941073</v>
      </c>
      <c r="V34" s="7">
        <f>V33+U34</f>
        <v>-106900.74276402357</v>
      </c>
      <c r="W34" s="7">
        <f>(1-Parameters!$F$7)*(C34-E34)+(1-Parameters!$F$8)*(D34+E34)</f>
        <v>999.8762059960715</v>
      </c>
      <c r="X34" s="7">
        <f>Parameters!$F$7*(C34-E34)+Parameters!$F$8*Parameters!$F$9*(D34+E34)</f>
        <v>0.0</v>
      </c>
      <c r="Y34" s="7">
        <f>Parameters!$F$8*(1-Parameters!$F$9)*(D34+E34)</f>
        <v>399.504823984286</v>
      </c>
      <c r="Z34" s="7">
        <f>POWER(1/(1+Parameters!$F$32),A34-1)*(M34-N34)</f>
        <v>1109.1655236052209</v>
      </c>
    </row>
    <row r="35" spans="1:26">
      <c r="A35" s="7">
        <v>31</v>
      </c>
      <c r="B35" s="7">
        <f>Parameters!$F$20</f>
        <v>1000</v>
      </c>
      <c r="C35" s="7">
        <f>X34+B35</f>
        <v>1000.0</v>
      </c>
      <c r="D35" s="7">
        <f>Y34</f>
        <v>399.504823984286</v>
      </c>
      <c r="E35" s="7">
        <f>Parameters!$F$6*C35</f>
        <v>100.0</v>
      </c>
      <c r="F35" s="7">
        <f>IF(Parameters!$F$5=1,E35,0)</f>
        <v>0.0</v>
      </c>
      <c r="G35" s="7">
        <f>Parameters!$F$27*G34+F35</f>
        <v>0.0</v>
      </c>
      <c r="H35" s="7">
        <f>IF(AND(Parameters!$F$5=1,Parameters!$F$26=1),SUMPRODUCT(--($A$5:A35&lt;A35),--(MOD(A35-$A$5:A35,Parameters!$F$28)=0),$F$5:F35,POWER(Parameters!$F$27,IF(A35-$A$5:A35=0,1,A35-$A$5:A35))),0)</f>
        <v>0.0</v>
      </c>
      <c r="I35" s="7">
        <f>Parameters!$F$23*I34+B35*Parameters!$F$22</f>
        <v>0.0</v>
      </c>
      <c r="J35" s="7">
        <f>E35*Parameters!$F$14*(1-Parameters!$F$15)</f>
        <v>1900.0</v>
      </c>
      <c r="K35" s="7">
        <f>H35*Parameters!$F$29</f>
        <v>0.0</v>
      </c>
      <c r="L35" s="7">
        <f>I35*Parameters!$F$24</f>
        <v>0.0</v>
      </c>
      <c r="M35" s="7">
        <f>J35+K35+L35</f>
        <v>1900.0</v>
      </c>
      <c r="N35" s="7">
        <f>C35*Parameters!$F$17+D35*Parameters!$F$18+E35*Parameters!$F$16+I35*Parameters!$F$25+G35*Parameters!$F$30</f>
        <v>419.8514471952858</v>
      </c>
      <c r="O35" s="7">
        <f>B35*Parameters!$F$19</f>
        <v>4000</v>
      </c>
      <c r="P35" s="7">
        <f>M35-N35-O35</f>
        <v>-2519.851447195286</v>
      </c>
      <c r="Q35" s="7">
        <f>Parameters!$F$21</f>
        <v>1000</v>
      </c>
      <c r="R35" s="7">
        <f>P35-Q35</f>
        <v>-3519.851447195286</v>
      </c>
      <c r="S35" s="7">
        <f>IF(A35&lt;1+Parameters!$F$31,0,INDEX($M$5:$M$40,A35-Parameters!$F$31))</f>
        <v>1900.0</v>
      </c>
      <c r="T35" s="7">
        <f>T34+M35-S35</f>
        <v>1900.0</v>
      </c>
      <c r="U35" s="7">
        <f>S35-N35-O35-Q35</f>
        <v>-3519.851447195286</v>
      </c>
      <c r="V35" s="7">
        <f>V34+U35</f>
        <v>-110420.59421121885</v>
      </c>
      <c r="W35" s="7">
        <f>(1-Parameters!$F$7)*(C35-E35)+(1-Parameters!$F$8)*(D35+E35)</f>
        <v>999.9009647968571</v>
      </c>
      <c r="X35" s="7">
        <f>Parameters!$F$7*(C35-E35)+Parameters!$F$8*Parameters!$F$9*(D35+E35)</f>
        <v>0.0</v>
      </c>
      <c r="Y35" s="7">
        <f>Parameters!$F$8*(1-Parameters!$F$9)*(D35+E35)</f>
        <v>399.60385918742884</v>
      </c>
      <c r="Z35" s="7">
        <f>POWER(1/(1+Parameters!$F$32),A35-1)*(M35-N35)</f>
        <v>1098.1561330552627</v>
      </c>
    </row>
    <row r="36" spans="1:26">
      <c r="A36" s="7">
        <v>32</v>
      </c>
      <c r="B36" s="7">
        <f>Parameters!$F$20</f>
        <v>1000</v>
      </c>
      <c r="C36" s="7">
        <f>X35+B36</f>
        <v>1000.0</v>
      </c>
      <c r="D36" s="7">
        <f>Y35</f>
        <v>399.60385918742884</v>
      </c>
      <c r="E36" s="7">
        <f>Parameters!$F$6*C36</f>
        <v>100.0</v>
      </c>
      <c r="F36" s="7">
        <f>IF(Parameters!$F$5=1,E36,0)</f>
        <v>0.0</v>
      </c>
      <c r="G36" s="7">
        <f>Parameters!$F$27*G35+F36</f>
        <v>0.0</v>
      </c>
      <c r="H36" s="7">
        <f>IF(AND(Parameters!$F$5=1,Parameters!$F$26=1),SUMPRODUCT(--($A$5:A36&lt;A36),--(MOD(A36-$A$5:A36,Parameters!$F$28)=0),$F$5:F36,POWER(Parameters!$F$27,IF(A36-$A$5:A36=0,1,A36-$A$5:A36))),0)</f>
        <v>0.0</v>
      </c>
      <c r="I36" s="7">
        <f>Parameters!$F$23*I35+B36*Parameters!$F$22</f>
        <v>0.0</v>
      </c>
      <c r="J36" s="7">
        <f>E36*Parameters!$F$14*(1-Parameters!$F$15)</f>
        <v>1900.0</v>
      </c>
      <c r="K36" s="7">
        <f>H36*Parameters!$F$29</f>
        <v>0.0</v>
      </c>
      <c r="L36" s="7">
        <f>I36*Parameters!$F$24</f>
        <v>0.0</v>
      </c>
      <c r="M36" s="7">
        <f>J36+K36+L36</f>
        <v>1900.0</v>
      </c>
      <c r="N36" s="7">
        <f>C36*Parameters!$F$17+D36*Parameters!$F$18+E36*Parameters!$F$16+I36*Parameters!$F$25+G36*Parameters!$F$30</f>
        <v>419.8811577562286</v>
      </c>
      <c r="O36" s="7">
        <f>B36*Parameters!$F$19</f>
        <v>4000</v>
      </c>
      <c r="P36" s="7">
        <f>M36-N36-O36</f>
        <v>-2519.8811577562287</v>
      </c>
      <c r="Q36" s="7">
        <f>Parameters!$F$21</f>
        <v>1000</v>
      </c>
      <c r="R36" s="7">
        <f>P36-Q36</f>
        <v>-3519.8811577562287</v>
      </c>
      <c r="S36" s="7">
        <f>IF(A36&lt;1+Parameters!$F$31,0,INDEX($M$5:$M$40,A36-Parameters!$F$31))</f>
        <v>1900.0</v>
      </c>
      <c r="T36" s="7">
        <f>T35+M36-S36</f>
        <v>1900.0</v>
      </c>
      <c r="U36" s="7">
        <f>S36-N36-O36-Q36</f>
        <v>-3519.8811577562287</v>
      </c>
      <c r="V36" s="7">
        <f>V35+U36</f>
        <v>-113940.47536897508</v>
      </c>
      <c r="W36" s="7">
        <f>(1-Parameters!$F$7)*(C36-E36)+(1-Parameters!$F$8)*(D36+E36)</f>
        <v>999.9207718374857</v>
      </c>
      <c r="X36" s="7">
        <f>Parameters!$F$7*(C36-E36)+Parameters!$F$8*Parameters!$F$9*(D36+E36)</f>
        <v>0.0</v>
      </c>
      <c r="Y36" s="7">
        <f>Parameters!$F$8*(1-Parameters!$F$9)*(D36+E36)</f>
        <v>399.6830873499431</v>
      </c>
      <c r="Z36" s="7">
        <f>POWER(1/(1+Parameters!$F$32),A36-1)*(M36-N36)</f>
        <v>1087.2614753556425</v>
      </c>
    </row>
    <row r="37" spans="1:26">
      <c r="A37" s="7">
        <v>33</v>
      </c>
      <c r="B37" s="7">
        <f>Parameters!$F$20</f>
        <v>1000</v>
      </c>
      <c r="C37" s="7">
        <f>X36+B37</f>
        <v>1000.0</v>
      </c>
      <c r="D37" s="7">
        <f>Y36</f>
        <v>399.6830873499431</v>
      </c>
      <c r="E37" s="7">
        <f>Parameters!$F$6*C37</f>
        <v>100.0</v>
      </c>
      <c r="F37" s="7">
        <f>IF(Parameters!$F$5=1,E37,0)</f>
        <v>0.0</v>
      </c>
      <c r="G37" s="7">
        <f>Parameters!$F$27*G36+F37</f>
        <v>0.0</v>
      </c>
      <c r="H37" s="7">
        <f>IF(AND(Parameters!$F$5=1,Parameters!$F$26=1),SUMPRODUCT(--($A$5:A37&lt;A37),--(MOD(A37-$A$5:A37,Parameters!$F$28)=0),$F$5:F37,POWER(Parameters!$F$27,IF(A37-$A$5:A37=0,1,A37-$A$5:A37))),0)</f>
        <v>0.0</v>
      </c>
      <c r="I37" s="7">
        <f>Parameters!$F$23*I36+B37*Parameters!$F$22</f>
        <v>0.0</v>
      </c>
      <c r="J37" s="7">
        <f>E37*Parameters!$F$14*(1-Parameters!$F$15)</f>
        <v>1900.0</v>
      </c>
      <c r="K37" s="7">
        <f>H37*Parameters!$F$29</f>
        <v>0.0</v>
      </c>
      <c r="L37" s="7">
        <f>I37*Parameters!$F$24</f>
        <v>0.0</v>
      </c>
      <c r="M37" s="7">
        <f>J37+K37+L37</f>
        <v>1900.0</v>
      </c>
      <c r="N37" s="7">
        <f>C37*Parameters!$F$17+D37*Parameters!$F$18+E37*Parameters!$F$16+I37*Parameters!$F$25+G37*Parameters!$F$30</f>
        <v>419.9049262049829</v>
      </c>
      <c r="O37" s="7">
        <f>B37*Parameters!$F$19</f>
        <v>4000</v>
      </c>
      <c r="P37" s="7">
        <f>M37-N37-O37</f>
        <v>-2519.904926204983</v>
      </c>
      <c r="Q37" s="7">
        <f>Parameters!$F$21</f>
        <v>1000</v>
      </c>
      <c r="R37" s="7">
        <f>P37-Q37</f>
        <v>-3519.904926204983</v>
      </c>
      <c r="S37" s="7">
        <f>IF(A37&lt;1+Parameters!$F$31,0,INDEX($M$5:$M$40,A37-Parameters!$F$31))</f>
        <v>1900.0</v>
      </c>
      <c r="T37" s="7">
        <f>T36+M37-S37</f>
        <v>1900.0</v>
      </c>
      <c r="U37" s="7">
        <f>S37-N37-O37-Q37</f>
        <v>-3519.904926204983</v>
      </c>
      <c r="V37" s="7">
        <f>V36+U37</f>
        <v>-117460.38029518006</v>
      </c>
      <c r="W37" s="7">
        <f>(1-Parameters!$F$7)*(C37-E37)+(1-Parameters!$F$8)*(D37+E37)</f>
        <v>999.9366174699886</v>
      </c>
      <c r="X37" s="7">
        <f>Parameters!$F$7*(C37-E37)+Parameters!$F$8*Parameters!$F$9*(D37+E37)</f>
        <v>0.0</v>
      </c>
      <c r="Y37" s="7">
        <f>Parameters!$F$8*(1-Parameters!$F$9)*(D37+E37)</f>
        <v>399.7464698799545</v>
      </c>
      <c r="Z37" s="7">
        <f>POWER(1/(1+Parameters!$F$32),A37-1)*(M37-N37)</f>
        <v>1076.4792233627563</v>
      </c>
    </row>
    <row r="38" spans="1:26">
      <c r="A38" s="7">
        <v>34</v>
      </c>
      <c r="B38" s="7">
        <f>Parameters!$F$20</f>
        <v>1000</v>
      </c>
      <c r="C38" s="7">
        <f>X37+B38</f>
        <v>1000.0</v>
      </c>
      <c r="D38" s="7">
        <f>Y37</f>
        <v>399.74646987995453</v>
      </c>
      <c r="E38" s="7">
        <f>Parameters!$F$6*C38</f>
        <v>100.0</v>
      </c>
      <c r="F38" s="7">
        <f>IF(Parameters!$F$5=1,E38,0)</f>
        <v>0.0</v>
      </c>
      <c r="G38" s="7">
        <f>Parameters!$F$27*G37+F38</f>
        <v>0.0</v>
      </c>
      <c r="H38" s="7">
        <f>IF(AND(Parameters!$F$5=1,Parameters!$F$26=1),SUMPRODUCT(--($A$5:A38&lt;A38),--(MOD(A38-$A$5:A38,Parameters!$F$28)=0),$F$5:F38,POWER(Parameters!$F$27,IF(A38-$A$5:A38=0,1,A38-$A$5:A38))),0)</f>
        <v>0.0</v>
      </c>
      <c r="I38" s="7">
        <f>Parameters!$F$23*I37+B38*Parameters!$F$22</f>
        <v>0.0</v>
      </c>
      <c r="J38" s="7">
        <f>E38*Parameters!$F$14*(1-Parameters!$F$15)</f>
        <v>1900.0</v>
      </c>
      <c r="K38" s="7">
        <f>H38*Parameters!$F$29</f>
        <v>0.0</v>
      </c>
      <c r="L38" s="7">
        <f>I38*Parameters!$F$24</f>
        <v>0.0</v>
      </c>
      <c r="M38" s="7">
        <f>J38+K38+L38</f>
        <v>1900.0</v>
      </c>
      <c r="N38" s="7">
        <f>C38*Parameters!$F$17+D38*Parameters!$F$18+E38*Parameters!$F$16+I38*Parameters!$F$25+G38*Parameters!$F$30</f>
        <v>419.92394096398635</v>
      </c>
      <c r="O38" s="7">
        <f>B38*Parameters!$F$19</f>
        <v>4000</v>
      </c>
      <c r="P38" s="7">
        <f>M38-N38-O38</f>
        <v>-2519.9239409639863</v>
      </c>
      <c r="Q38" s="7">
        <f>Parameters!$F$21</f>
        <v>1000</v>
      </c>
      <c r="R38" s="7">
        <f>P38-Q38</f>
        <v>-3519.9239409639863</v>
      </c>
      <c r="S38" s="7">
        <f>IF(A38&lt;1+Parameters!$F$31,0,INDEX($M$5:$M$40,A38-Parameters!$F$31))</f>
        <v>1900.0</v>
      </c>
      <c r="T38" s="7">
        <f>T37+M38-S38</f>
        <v>1900.0</v>
      </c>
      <c r="U38" s="7">
        <f>S38-N38-O38-Q38</f>
        <v>-3519.9239409639863</v>
      </c>
      <c r="V38" s="7">
        <f>V37+U38</f>
        <v>-120980.30423614405</v>
      </c>
      <c r="W38" s="7">
        <f>(1-Parameters!$F$7)*(C38-E38)+(1-Parameters!$F$8)*(D38+E38)</f>
        <v>999.9492939759909</v>
      </c>
      <c r="X38" s="7">
        <f>Parameters!$F$7*(C38-E38)+Parameters!$F$8*Parameters!$F$9*(D38+E38)</f>
        <v>0.0</v>
      </c>
      <c r="Y38" s="7">
        <f>Parameters!$F$8*(1-Parameters!$F$9)*(D38+E38)</f>
        <v>399.79717590396365</v>
      </c>
      <c r="Z38" s="7">
        <f>POWER(1/(1+Parameters!$F$32),A38-1)*(M38-N38)</f>
        <v>1065.8073206440322</v>
      </c>
    </row>
    <row r="39" spans="1:26">
      <c r="A39" s="7">
        <v>35</v>
      </c>
      <c r="B39" s="7">
        <f>Parameters!$F$20</f>
        <v>1000</v>
      </c>
      <c r="C39" s="7">
        <f>X38+B39</f>
        <v>1000.0</v>
      </c>
      <c r="D39" s="7">
        <f>Y38</f>
        <v>399.79717590396365</v>
      </c>
      <c r="E39" s="7">
        <f>Parameters!$F$6*C39</f>
        <v>100.0</v>
      </c>
      <c r="F39" s="7">
        <f>IF(Parameters!$F$5=1,E39,0)</f>
        <v>0.0</v>
      </c>
      <c r="G39" s="7">
        <f>Parameters!$F$27*G38+F39</f>
        <v>0.0</v>
      </c>
      <c r="H39" s="7">
        <f>IF(AND(Parameters!$F$5=1,Parameters!$F$26=1),SUMPRODUCT(--($A$5:A39&lt;A39),--(MOD(A39-$A$5:A39,Parameters!$F$28)=0),$F$5:F39,POWER(Parameters!$F$27,IF(A39-$A$5:A39=0,1,A39-$A$5:A39))),0)</f>
        <v>0.0</v>
      </c>
      <c r="I39" s="7">
        <f>Parameters!$F$23*I38+B39*Parameters!$F$22</f>
        <v>0.0</v>
      </c>
      <c r="J39" s="7">
        <f>E39*Parameters!$F$14*(1-Parameters!$F$15)</f>
        <v>1900.0</v>
      </c>
      <c r="K39" s="7">
        <f>H39*Parameters!$F$29</f>
        <v>0.0</v>
      </c>
      <c r="L39" s="7">
        <f>I39*Parameters!$F$24</f>
        <v>0.0</v>
      </c>
      <c r="M39" s="7">
        <f>J39+K39+L39</f>
        <v>1900.0</v>
      </c>
      <c r="N39" s="7">
        <f>C39*Parameters!$F$17+D39*Parameters!$F$18+E39*Parameters!$F$16+I39*Parameters!$F$25+G39*Parameters!$F$30</f>
        <v>419.9391527711891</v>
      </c>
      <c r="O39" s="7">
        <f>B39*Parameters!$F$19</f>
        <v>4000</v>
      </c>
      <c r="P39" s="7">
        <f>M39-N39-O39</f>
        <v>-2519.939152771189</v>
      </c>
      <c r="Q39" s="7">
        <f>Parameters!$F$21</f>
        <v>1000</v>
      </c>
      <c r="R39" s="7">
        <f>P39-Q39</f>
        <v>-3519.939152771189</v>
      </c>
      <c r="S39" s="7">
        <f>IF(A39&lt;1+Parameters!$F$31,0,INDEX($M$5:$M$40,A39-Parameters!$F$31))</f>
        <v>1900.0</v>
      </c>
      <c r="T39" s="7">
        <f>T38+M39-S39</f>
        <v>1900.0</v>
      </c>
      <c r="U39" s="7">
        <f>S39-N39-O39-Q39</f>
        <v>-3519.939152771189</v>
      </c>
      <c r="V39" s="7">
        <f>V38+U39</f>
        <v>-124500.24338891523</v>
      </c>
      <c r="W39" s="7">
        <f>(1-Parameters!$F$7)*(C39-E39)+(1-Parameters!$F$8)*(D39+E39)</f>
        <v>999.9594351807928</v>
      </c>
      <c r="X39" s="7">
        <f>Parameters!$F$7*(C39-E39)+Parameters!$F$8*Parameters!$F$9*(D39+E39)</f>
        <v>0.0</v>
      </c>
      <c r="Y39" s="7">
        <f>Parameters!$F$8*(1-Parameters!$F$9)*(D39+E39)</f>
        <v>399.83774072317095</v>
      </c>
      <c r="Z39" s="7">
        <f>POWER(1/(1+Parameters!$F$32),A39-1)*(M39-N39)</f>
        <v>1055.2439273018774</v>
      </c>
    </row>
    <row r="40" spans="1:26">
      <c r="A40" s="7">
        <v>36</v>
      </c>
      <c r="B40" s="7">
        <f>Parameters!$F$20</f>
        <v>1000</v>
      </c>
      <c r="C40" s="7">
        <f>X39+B40</f>
        <v>1000.0</v>
      </c>
      <c r="D40" s="7">
        <f>Y39</f>
        <v>399.83774072317095</v>
      </c>
      <c r="E40" s="7">
        <f>Parameters!$F$6*C40</f>
        <v>100.0</v>
      </c>
      <c r="F40" s="7">
        <f>IF(Parameters!$F$5=1,E40,0)</f>
        <v>0.0</v>
      </c>
      <c r="G40" s="7">
        <f>Parameters!$F$27*G39+F40</f>
        <v>0.0</v>
      </c>
      <c r="H40" s="7">
        <f>IF(AND(Parameters!$F$5=1,Parameters!$F$26=1),SUMPRODUCT(--($A$5:A40&lt;A40),--(MOD(A40-$A$5:A40,Parameters!$F$28)=0),$F$5:F40,POWER(Parameters!$F$27,IF(A40-$A$5:A40=0,1,A40-$A$5:A40))),0)</f>
        <v>0.0</v>
      </c>
      <c r="I40" s="7">
        <f>Parameters!$F$23*I39+B40*Parameters!$F$22</f>
        <v>0.0</v>
      </c>
      <c r="J40" s="7">
        <f>E40*Parameters!$F$14*(1-Parameters!$F$15)</f>
        <v>1900.0</v>
      </c>
      <c r="K40" s="7">
        <f>H40*Parameters!$F$29</f>
        <v>0.0</v>
      </c>
      <c r="L40" s="7">
        <f>I40*Parameters!$F$24</f>
        <v>0.0</v>
      </c>
      <c r="M40" s="7">
        <f>J40+K40+L40</f>
        <v>1900.0</v>
      </c>
      <c r="N40" s="7">
        <f>C40*Parameters!$F$17+D40*Parameters!$F$18+E40*Parameters!$F$16+I40*Parameters!$F$25+G40*Parameters!$F$30</f>
        <v>419.95132221695127</v>
      </c>
      <c r="O40" s="7">
        <f>B40*Parameters!$F$19</f>
        <v>4000</v>
      </c>
      <c r="P40" s="7">
        <f>M40-N40-O40</f>
        <v>-2519.951322216951</v>
      </c>
      <c r="Q40" s="7">
        <f>Parameters!$F$21</f>
        <v>1000</v>
      </c>
      <c r="R40" s="7">
        <f>P40-Q40</f>
        <v>-3519.951322216951</v>
      </c>
      <c r="S40" s="7">
        <f>IF(A40&lt;1+Parameters!$F$31,0,INDEX($M$5:$M$40,A40-Parameters!$F$31))</f>
        <v>1900.0</v>
      </c>
      <c r="T40" s="7">
        <f>T39+M40-S40</f>
        <v>1900.0</v>
      </c>
      <c r="U40" s="7">
        <f>S40-N40-O40-Q40</f>
        <v>-3519.951322216951</v>
      </c>
      <c r="V40" s="7">
        <f>V39+U40</f>
        <v>-128020.19471113218</v>
      </c>
      <c r="W40" s="7">
        <f>(1-Parameters!$F$7)*(C40-E40)+(1-Parameters!$F$8)*(D40+E40)</f>
        <v>999.9675481446342</v>
      </c>
      <c r="X40" s="7">
        <f>Parameters!$F$7*(C40-E40)+Parameters!$F$8*Parameters!$F$9*(D40+E40)</f>
        <v>0.0</v>
      </c>
      <c r="Y40" s="7">
        <f>Parameters!$F$8*(1-Parameters!$F$9)*(D40+E40)</f>
        <v>399.8701925785368</v>
      </c>
      <c r="Z40" s="7">
        <f>POWER(1/(1+Parameters!$F$32),A40-1)*(M40-N40)</f>
        <v>1044.7873770410624</v>
      </c>
    </row>
    <row r="43" spans="1:26">
      <c r="A43" s="1" t="s">
        <v>189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45" customHeight="1">
      <c r="A44" s="4" t="s">
        <v>164</v>
      </c>
      <c r="B44" s="4" t="s">
        <v>165</v>
      </c>
      <c r="C44" s="4" t="s">
        <v>166</v>
      </c>
      <c r="D44" s="4" t="s">
        <v>167</v>
      </c>
      <c r="E44" s="4" t="s">
        <v>168</v>
      </c>
      <c r="F44" s="4" t="s">
        <v>169</v>
      </c>
      <c r="G44" s="4" t="s">
        <v>170</v>
      </c>
      <c r="H44" s="4" t="s">
        <v>171</v>
      </c>
      <c r="I44" s="4" t="s">
        <v>172</v>
      </c>
      <c r="J44" s="4" t="s">
        <v>173</v>
      </c>
      <c r="K44" s="4" t="s">
        <v>174</v>
      </c>
      <c r="L44" s="4" t="s">
        <v>175</v>
      </c>
      <c r="M44" s="4" t="s">
        <v>176</v>
      </c>
      <c r="N44" s="4" t="s">
        <v>177</v>
      </c>
      <c r="O44" s="4" t="s">
        <v>99</v>
      </c>
      <c r="P44" s="4" t="s">
        <v>178</v>
      </c>
      <c r="Q44" s="4" t="s">
        <v>179</v>
      </c>
      <c r="R44" s="4" t="s">
        <v>180</v>
      </c>
      <c r="S44" s="4" t="s">
        <v>181</v>
      </c>
      <c r="T44" s="4" t="s">
        <v>182</v>
      </c>
      <c r="U44" s="4" t="s">
        <v>183</v>
      </c>
      <c r="V44" s="4" t="s">
        <v>184</v>
      </c>
      <c r="W44" s="4" t="s">
        <v>185</v>
      </c>
      <c r="X44" s="4" t="s">
        <v>186</v>
      </c>
      <c r="Y44" s="4" t="s">
        <v>187</v>
      </c>
      <c r="Z44" s="4" t="s">
        <v>188</v>
      </c>
    </row>
    <row r="45" spans="1:26">
      <c r="A45" s="7">
        <v>1</v>
      </c>
      <c r="B45" s="7">
        <f>1</f>
        <v>1</v>
      </c>
      <c r="C45" s="7">
        <f>B45</f>
        <v>1</v>
      </c>
      <c r="D45" s="7">
        <f>0</f>
        <v>0.0</v>
      </c>
      <c r="E45" s="7">
        <f>Parameters!$F$6*C45</f>
        <v>0.1</v>
      </c>
      <c r="F45" s="7">
        <f>IF(Parameters!$F$5=1,E45,0)</f>
        <v>0.0</v>
      </c>
      <c r="G45" s="7">
        <f>F45</f>
        <v>0.0</v>
      </c>
      <c r="H45" s="7">
        <f>IF(AND(Parameters!$F$5=1,Parameters!$F$26=1),SUMPRODUCT(--($A$45:A45&lt;A45),--(MOD(A45-$A$45:A45,Parameters!$F$28)=0),$F$45:F45,POWER(Parameters!$F$27,IF(A45-$A$45:A45=0,1,A45-$A$45:A45))),0)</f>
        <v>0.0</v>
      </c>
      <c r="I45" s="7">
        <f>B45*Parameters!$F$22</f>
        <v>0.0</v>
      </c>
      <c r="J45" s="7">
        <f>E45*Parameters!$F$14*(1-Parameters!$F$15)</f>
        <v>1.9</v>
      </c>
      <c r="K45" s="7">
        <f>H45*Parameters!$F$29</f>
        <v>0.0</v>
      </c>
      <c r="L45" s="7">
        <f>I45*Parameters!$F$24</f>
        <v>0.0</v>
      </c>
      <c r="M45" s="7">
        <f>J45+K45+L45</f>
        <v>1.9</v>
      </c>
      <c r="N45" s="7">
        <f>C45*Parameters!$F$17+D45*Parameters!$F$18+E45*Parameters!$F$16+I45*Parameters!$F$25+G45*Parameters!$F$30</f>
        <v>0.30000000000000004</v>
      </c>
      <c r="O45" s="7">
        <f>0</f>
        <v>0</v>
      </c>
      <c r="P45" s="7">
        <f>M45-N45-O45</f>
        <v>1.5999999999999999</v>
      </c>
      <c r="Q45" s="7">
        <f>0</f>
        <v>0</v>
      </c>
      <c r="R45" s="7">
        <f>P45-Q45</f>
        <v>1.5999999999999999</v>
      </c>
      <c r="S45" s="7">
        <f>IF(A45&lt;1+Parameters!$F$31,0,INDEX($M$45:$M$80,A45-Parameters!$F$31))</f>
        <v>0.0</v>
      </c>
      <c r="T45" s="7">
        <f>M45-S45</f>
        <v>1.9</v>
      </c>
      <c r="U45" s="7">
        <f>S45-N45-O45-Q45</f>
        <v>-0.30000000000000004</v>
      </c>
      <c r="V45" s="7">
        <f>U45</f>
        <v>-0.30000000000000004</v>
      </c>
      <c r="W45" s="7">
        <f>(1-Parameters!$F$7)*(C45-E45)+(1-Parameters!$F$8)*(D45+E45)</f>
        <v>0.92</v>
      </c>
      <c r="X45" s="7">
        <f>Parameters!$F$7*(C45-E45)+Parameters!$F$8*Parameters!$F$9*(D45+E45)</f>
        <v>0.0</v>
      </c>
      <c r="Y45" s="7">
        <f>Parameters!$F$8*(1-Parameters!$F$9)*(D45+E45)</f>
        <v>0.08000000000000002</v>
      </c>
      <c r="Z45" s="7">
        <f>POWER(1/(1+Parameters!$F$32),A45-1)*(M45-N45)</f>
        <v>1.5999999999999999</v>
      </c>
    </row>
    <row r="46" spans="1:26">
      <c r="A46" s="7">
        <v>2</v>
      </c>
      <c r="B46" s="7">
        <f>0</f>
        <v>0</v>
      </c>
      <c r="C46" s="7">
        <f>X45+B46</f>
        <v>0.0</v>
      </c>
      <c r="D46" s="7">
        <f>Y45</f>
        <v>0.08000000000000002</v>
      </c>
      <c r="E46" s="7">
        <f>Parameters!$F$6*C46</f>
        <v>0.0</v>
      </c>
      <c r="F46" s="7">
        <f>IF(Parameters!$F$5=1,E46,0)</f>
        <v>0.0</v>
      </c>
      <c r="G46" s="7">
        <f>Parameters!$F$27*G45+F46</f>
        <v>0.0</v>
      </c>
      <c r="H46" s="7">
        <f>IF(AND(Parameters!$F$5=1,Parameters!$F$26=1),SUMPRODUCT(--($A$45:A46&lt;A46),--(MOD(A46-$A$45:A46,Parameters!$F$28)=0),$F$45:F46,POWER(Parameters!$F$27,IF(A46-$A$45:A46=0,1,A46-$A$45:A46))),0)</f>
        <v>0.0</v>
      </c>
      <c r="I46" s="7">
        <f>Parameters!$F$23*I45+B46*Parameters!$F$22</f>
        <v>0.0</v>
      </c>
      <c r="J46" s="7">
        <f>E46*Parameters!$F$14*(1-Parameters!$F$15)</f>
        <v>0.0</v>
      </c>
      <c r="K46" s="7">
        <f>H46*Parameters!$F$29</f>
        <v>0.0</v>
      </c>
      <c r="L46" s="7">
        <f>I46*Parameters!$F$24</f>
        <v>0.0</v>
      </c>
      <c r="M46" s="7">
        <f>J46+K46+L46</f>
        <v>0.0</v>
      </c>
      <c r="N46" s="7">
        <f>C46*Parameters!$F$17+D46*Parameters!$F$18+E46*Parameters!$F$16+I46*Parameters!$F$25+G46*Parameters!$F$30</f>
        <v>0.024000000000000004</v>
      </c>
      <c r="O46" s="7">
        <f>0</f>
        <v>0</v>
      </c>
      <c r="P46" s="7">
        <f>M46-N46-O46</f>
        <v>-0.024000000000000004</v>
      </c>
      <c r="Q46" s="7">
        <f>0</f>
        <v>0</v>
      </c>
      <c r="R46" s="7">
        <f>P46-Q46</f>
        <v>-0.024000000000000004</v>
      </c>
      <c r="S46" s="7">
        <f>IF(A46&lt;1+Parameters!$F$31,0,INDEX($M$45:$M$80,A46-Parameters!$F$31))</f>
        <v>1.9</v>
      </c>
      <c r="T46" s="7">
        <f>T45+M46-S46</f>
        <v>0.0</v>
      </c>
      <c r="U46" s="7">
        <f>S46-N46-O46-Q46</f>
        <v>1.876</v>
      </c>
      <c r="V46" s="7">
        <f>V45+U46</f>
        <v>1.5759999999999998</v>
      </c>
      <c r="W46" s="7">
        <f>(1-Parameters!$F$7)*(C46-E46)+(1-Parameters!$F$8)*(D46+E46)</f>
        <v>0.016</v>
      </c>
      <c r="X46" s="7">
        <f>Parameters!$F$7*(C46-E46)+Parameters!$F$8*Parameters!$F$9*(D46+E46)</f>
        <v>0.0</v>
      </c>
      <c r="Y46" s="7">
        <f>Parameters!$F$8*(1-Parameters!$F$9)*(D46+E46)</f>
        <v>0.06400000000000002</v>
      </c>
      <c r="Z46" s="7">
        <f>POWER(1/(1+Parameters!$F$32),A46-1)*(M46-N46)</f>
        <v>-0.023762376237623766</v>
      </c>
    </row>
    <row r="47" spans="1:26">
      <c r="A47" s="7">
        <v>3</v>
      </c>
      <c r="B47" s="7">
        <f>0</f>
        <v>0</v>
      </c>
      <c r="C47" s="7">
        <f>X46+B47</f>
        <v>0.0</v>
      </c>
      <c r="D47" s="7">
        <f>Y46</f>
        <v>0.06400000000000002</v>
      </c>
      <c r="E47" s="7">
        <f>Parameters!$F$6*C47</f>
        <v>0.0</v>
      </c>
      <c r="F47" s="7">
        <f>IF(Parameters!$F$5=1,E47,0)</f>
        <v>0.0</v>
      </c>
      <c r="G47" s="7">
        <f>Parameters!$F$27*G46+F47</f>
        <v>0.0</v>
      </c>
      <c r="H47" s="7">
        <f>IF(AND(Parameters!$F$5=1,Parameters!$F$26=1),SUMPRODUCT(--($A$45:A47&lt;A47),--(MOD(A47-$A$45:A47,Parameters!$F$28)=0),$F$45:F47,POWER(Parameters!$F$27,IF(A47-$A$45:A47=0,1,A47-$A$45:A47))),0)</f>
        <v>0.0</v>
      </c>
      <c r="I47" s="7">
        <f>Parameters!$F$23*I46+B47*Parameters!$F$22</f>
        <v>0.0</v>
      </c>
      <c r="J47" s="7">
        <f>E47*Parameters!$F$14*(1-Parameters!$F$15)</f>
        <v>0.0</v>
      </c>
      <c r="K47" s="7">
        <f>H47*Parameters!$F$29</f>
        <v>0.0</v>
      </c>
      <c r="L47" s="7">
        <f>I47*Parameters!$F$24</f>
        <v>0.0</v>
      </c>
      <c r="M47" s="7">
        <f>J47+K47+L47</f>
        <v>0.0</v>
      </c>
      <c r="N47" s="7">
        <f>C47*Parameters!$F$17+D47*Parameters!$F$18+E47*Parameters!$F$16+I47*Parameters!$F$25+G47*Parameters!$F$30</f>
        <v>0.019200000000000005</v>
      </c>
      <c r="O47" s="7">
        <f>0</f>
        <v>0</v>
      </c>
      <c r="P47" s="7">
        <f>M47-N47-O47</f>
        <v>-0.019200000000000005</v>
      </c>
      <c r="Q47" s="7">
        <f>0</f>
        <v>0</v>
      </c>
      <c r="R47" s="7">
        <f>P47-Q47</f>
        <v>-0.019200000000000005</v>
      </c>
      <c r="S47" s="7">
        <f>IF(A47&lt;1+Parameters!$F$31,0,INDEX($M$45:$M$80,A47-Parameters!$F$31))</f>
        <v>0.0</v>
      </c>
      <c r="T47" s="7">
        <f>T46+M47-S47</f>
        <v>0.0</v>
      </c>
      <c r="U47" s="7">
        <f>S47-N47-O47-Q47</f>
        <v>-0.019200000000000005</v>
      </c>
      <c r="V47" s="7">
        <f>V46+U47</f>
        <v>1.5567999999999997</v>
      </c>
      <c r="W47" s="7">
        <f>(1-Parameters!$F$7)*(C47-E47)+(1-Parameters!$F$8)*(D47+E47)</f>
        <v>0.0128</v>
      </c>
      <c r="X47" s="7">
        <f>Parameters!$F$7*(C47-E47)+Parameters!$F$8*Parameters!$F$9*(D47+E47)</f>
        <v>0.0</v>
      </c>
      <c r="Y47" s="7">
        <f>Parameters!$F$8*(1-Parameters!$F$9)*(D47+E47)</f>
        <v>0.051200000000000016</v>
      </c>
      <c r="Z47" s="7">
        <f>POWER(1/(1+Parameters!$F$32),A47-1)*(M47-N47)</f>
        <v>-0.018821684148612884</v>
      </c>
    </row>
    <row r="48" spans="1:26">
      <c r="A48" s="7">
        <v>4</v>
      </c>
      <c r="B48" s="7">
        <f>0</f>
        <v>0</v>
      </c>
      <c r="C48" s="7">
        <f>X47+B48</f>
        <v>0.0</v>
      </c>
      <c r="D48" s="7">
        <f>Y47</f>
        <v>0.051200000000000016</v>
      </c>
      <c r="E48" s="7">
        <f>Parameters!$F$6*C48</f>
        <v>0.0</v>
      </c>
      <c r="F48" s="7">
        <f>IF(Parameters!$F$5=1,E48,0)</f>
        <v>0.0</v>
      </c>
      <c r="G48" s="7">
        <f>Parameters!$F$27*G47+F48</f>
        <v>0.0</v>
      </c>
      <c r="H48" s="7">
        <f>IF(AND(Parameters!$F$5=1,Parameters!$F$26=1),SUMPRODUCT(--($A$45:A48&lt;A48),--(MOD(A48-$A$45:A48,Parameters!$F$28)=0),$F$45:F48,POWER(Parameters!$F$27,IF(A48-$A$45:A48=0,1,A48-$A$45:A48))),0)</f>
        <v>0.0</v>
      </c>
      <c r="I48" s="7">
        <f>Parameters!$F$23*I47+B48*Parameters!$F$22</f>
        <v>0.0</v>
      </c>
      <c r="J48" s="7">
        <f>E48*Parameters!$F$14*(1-Parameters!$F$15)</f>
        <v>0.0</v>
      </c>
      <c r="K48" s="7">
        <f>H48*Parameters!$F$29</f>
        <v>0.0</v>
      </c>
      <c r="L48" s="7">
        <f>I48*Parameters!$F$24</f>
        <v>0.0</v>
      </c>
      <c r="M48" s="7">
        <f>J48+K48+L48</f>
        <v>0.0</v>
      </c>
      <c r="N48" s="7">
        <f>C48*Parameters!$F$17+D48*Parameters!$F$18+E48*Parameters!$F$16+I48*Parameters!$F$25+G48*Parameters!$F$30</f>
        <v>0.015360000000000004</v>
      </c>
      <c r="O48" s="7">
        <f>0</f>
        <v>0</v>
      </c>
      <c r="P48" s="7">
        <f>M48-N48-O48</f>
        <v>-0.015360000000000004</v>
      </c>
      <c r="Q48" s="7">
        <f>0</f>
        <v>0</v>
      </c>
      <c r="R48" s="7">
        <f>P48-Q48</f>
        <v>-0.015360000000000004</v>
      </c>
      <c r="S48" s="7">
        <f>IF(A48&lt;1+Parameters!$F$31,0,INDEX($M$45:$M$80,A48-Parameters!$F$31))</f>
        <v>0.0</v>
      </c>
      <c r="T48" s="7">
        <f>T47+M48-S48</f>
        <v>0.0</v>
      </c>
      <c r="U48" s="7">
        <f>S48-N48-O48-Q48</f>
        <v>-0.015360000000000004</v>
      </c>
      <c r="V48" s="7">
        <f>V47+U48</f>
        <v>1.5414399999999997</v>
      </c>
      <c r="W48" s="7">
        <f>(1-Parameters!$F$7)*(C48-E48)+(1-Parameters!$F$8)*(D48+E48)</f>
        <v>0.01024</v>
      </c>
      <c r="X48" s="7">
        <f>Parameters!$F$7*(C48-E48)+Parameters!$F$8*Parameters!$F$9*(D48+E48)</f>
        <v>0.0</v>
      </c>
      <c r="Y48" s="7">
        <f>Parameters!$F$8*(1-Parameters!$F$9)*(D48+E48)</f>
        <v>0.04096000000000002</v>
      </c>
      <c r="Z48" s="7">
        <f>POWER(1/(1+Parameters!$F$32),A48-1)*(M48-N48)</f>
        <v>-0.014908264672168622</v>
      </c>
    </row>
    <row r="49" spans="1:26">
      <c r="A49" s="7">
        <v>5</v>
      </c>
      <c r="B49" s="7">
        <f>0</f>
        <v>0</v>
      </c>
      <c r="C49" s="7">
        <f>X48+B49</f>
        <v>0.0</v>
      </c>
      <c r="D49" s="7">
        <f>Y48</f>
        <v>0.04096000000000002</v>
      </c>
      <c r="E49" s="7">
        <f>Parameters!$F$6*C49</f>
        <v>0.0</v>
      </c>
      <c r="F49" s="7">
        <f>IF(Parameters!$F$5=1,E49,0)</f>
        <v>0.0</v>
      </c>
      <c r="G49" s="7">
        <f>Parameters!$F$27*G48+F49</f>
        <v>0.0</v>
      </c>
      <c r="H49" s="7">
        <f>IF(AND(Parameters!$F$5=1,Parameters!$F$26=1),SUMPRODUCT(--($A$45:A49&lt;A49),--(MOD(A49-$A$45:A49,Parameters!$F$28)=0),$F$45:F49,POWER(Parameters!$F$27,IF(A49-$A$45:A49=0,1,A49-$A$45:A49))),0)</f>
        <v>0.0</v>
      </c>
      <c r="I49" s="7">
        <f>Parameters!$F$23*I48+B49*Parameters!$F$22</f>
        <v>0.0</v>
      </c>
      <c r="J49" s="7">
        <f>E49*Parameters!$F$14*(1-Parameters!$F$15)</f>
        <v>0.0</v>
      </c>
      <c r="K49" s="7">
        <f>H49*Parameters!$F$29</f>
        <v>0.0</v>
      </c>
      <c r="L49" s="7">
        <f>I49*Parameters!$F$24</f>
        <v>0.0</v>
      </c>
      <c r="M49" s="7">
        <f>J49+K49+L49</f>
        <v>0.0</v>
      </c>
      <c r="N49" s="7">
        <f>C49*Parameters!$F$17+D49*Parameters!$F$18+E49*Parameters!$F$16+I49*Parameters!$F$25+G49*Parameters!$F$30</f>
        <v>0.012288000000000006</v>
      </c>
      <c r="O49" s="7">
        <f>0</f>
        <v>0</v>
      </c>
      <c r="P49" s="7">
        <f>M49-N49-O49</f>
        <v>-0.012288000000000006</v>
      </c>
      <c r="Q49" s="7">
        <f>0</f>
        <v>0</v>
      </c>
      <c r="R49" s="7">
        <f>P49-Q49</f>
        <v>-0.012288000000000006</v>
      </c>
      <c r="S49" s="7">
        <f>IF(A49&lt;1+Parameters!$F$31,0,INDEX($M$45:$M$80,A49-Parameters!$F$31))</f>
        <v>0.0</v>
      </c>
      <c r="T49" s="7">
        <f>T48+M49-S49</f>
        <v>0.0</v>
      </c>
      <c r="U49" s="7">
        <f>S49-N49-O49-Q49</f>
        <v>-0.012288000000000006</v>
      </c>
      <c r="V49" s="7">
        <f>V48+U49</f>
        <v>1.5291519999999996</v>
      </c>
      <c r="W49" s="7">
        <f>(1-Parameters!$F$7)*(C49-E49)+(1-Parameters!$F$8)*(D49+E49)</f>
        <v>0.008192000000000001</v>
      </c>
      <c r="X49" s="7">
        <f>Parameters!$F$7*(C49-E49)+Parameters!$F$8*Parameters!$F$9*(D49+E49)</f>
        <v>0.0</v>
      </c>
      <c r="Y49" s="7">
        <f>Parameters!$F$8*(1-Parameters!$F$9)*(D49+E49)</f>
        <v>0.03276800000000001</v>
      </c>
      <c r="Z49" s="7">
        <f>POWER(1/(1+Parameters!$F$32),A49-1)*(M49-N49)</f>
        <v>-0.01180852647300485</v>
      </c>
    </row>
    <row r="50" spans="1:26">
      <c r="A50" s="7">
        <v>6</v>
      </c>
      <c r="B50" s="7">
        <f>0</f>
        <v>0</v>
      </c>
      <c r="C50" s="7">
        <f>X49+B50</f>
        <v>0.0</v>
      </c>
      <c r="D50" s="7">
        <f>Y49</f>
        <v>0.03276800000000001</v>
      </c>
      <c r="E50" s="7">
        <f>Parameters!$F$6*C50</f>
        <v>0.0</v>
      </c>
      <c r="F50" s="7">
        <f>IF(Parameters!$F$5=1,E50,0)</f>
        <v>0.0</v>
      </c>
      <c r="G50" s="7">
        <f>Parameters!$F$27*G49+F50</f>
        <v>0.0</v>
      </c>
      <c r="H50" s="7">
        <f>IF(AND(Parameters!$F$5=1,Parameters!$F$26=1),SUMPRODUCT(--($A$45:A50&lt;A50),--(MOD(A50-$A$45:A50,Parameters!$F$28)=0),$F$45:F50,POWER(Parameters!$F$27,IF(A50-$A$45:A50=0,1,A50-$A$45:A50))),0)</f>
        <v>0.0</v>
      </c>
      <c r="I50" s="7">
        <f>Parameters!$F$23*I49+B50*Parameters!$F$22</f>
        <v>0.0</v>
      </c>
      <c r="J50" s="7">
        <f>E50*Parameters!$F$14*(1-Parameters!$F$15)</f>
        <v>0.0</v>
      </c>
      <c r="K50" s="7">
        <f>H50*Parameters!$F$29</f>
        <v>0.0</v>
      </c>
      <c r="L50" s="7">
        <f>I50*Parameters!$F$24</f>
        <v>0.0</v>
      </c>
      <c r="M50" s="7">
        <f>J50+K50+L50</f>
        <v>0.0</v>
      </c>
      <c r="N50" s="7">
        <f>C50*Parameters!$F$17+D50*Parameters!$F$18+E50*Parameters!$F$16+I50*Parameters!$F$25+G50*Parameters!$F$30</f>
        <v>0.009830400000000003</v>
      </c>
      <c r="O50" s="7">
        <f>0</f>
        <v>0</v>
      </c>
      <c r="P50" s="7">
        <f>M50-N50-O50</f>
        <v>-0.009830400000000003</v>
      </c>
      <c r="Q50" s="7">
        <f>0</f>
        <v>0</v>
      </c>
      <c r="R50" s="7">
        <f>P50-Q50</f>
        <v>-0.009830400000000003</v>
      </c>
      <c r="S50" s="7">
        <f>IF(A50&lt;1+Parameters!$F$31,0,INDEX($M$45:$M$80,A50-Parameters!$F$31))</f>
        <v>0.0</v>
      </c>
      <c r="T50" s="7">
        <f>T49+M50-S50</f>
        <v>0.0</v>
      </c>
      <c r="U50" s="7">
        <f>S50-N50-O50-Q50</f>
        <v>-0.009830400000000003</v>
      </c>
      <c r="V50" s="7">
        <f>V49+U50</f>
        <v>1.5193215999999996</v>
      </c>
      <c r="W50" s="7">
        <f>(1-Parameters!$F$7)*(C50-E50)+(1-Parameters!$F$8)*(D50+E50)</f>
        <v>0.0065536000000000014</v>
      </c>
      <c r="X50" s="7">
        <f>Parameters!$F$7*(C50-E50)+Parameters!$F$8*Parameters!$F$9*(D50+E50)</f>
        <v>0.0</v>
      </c>
      <c r="Y50" s="7">
        <f>Parameters!$F$8*(1-Parameters!$F$9)*(D50+E50)</f>
        <v>0.026214400000000013</v>
      </c>
      <c r="Z50" s="7">
        <f>POWER(1/(1+Parameters!$F$32),A50-1)*(M50-N50)</f>
        <v>-0.009353288295449387</v>
      </c>
    </row>
    <row r="51" spans="1:26">
      <c r="A51" s="7">
        <v>7</v>
      </c>
      <c r="B51" s="7">
        <f>0</f>
        <v>0</v>
      </c>
      <c r="C51" s="7">
        <f>X50+B51</f>
        <v>0.0</v>
      </c>
      <c r="D51" s="7">
        <f>Y50</f>
        <v>0.026214400000000013</v>
      </c>
      <c r="E51" s="7">
        <f>Parameters!$F$6*C51</f>
        <v>0.0</v>
      </c>
      <c r="F51" s="7">
        <f>IF(Parameters!$F$5=1,E51,0)</f>
        <v>0.0</v>
      </c>
      <c r="G51" s="7">
        <f>Parameters!$F$27*G50+F51</f>
        <v>0.0</v>
      </c>
      <c r="H51" s="7">
        <f>IF(AND(Parameters!$F$5=1,Parameters!$F$26=1),SUMPRODUCT(--($A$45:A51&lt;A51),--(MOD(A51-$A$45:A51,Parameters!$F$28)=0),$F$45:F51,POWER(Parameters!$F$27,IF(A51-$A$45:A51=0,1,A51-$A$45:A51))),0)</f>
        <v>0.0</v>
      </c>
      <c r="I51" s="7">
        <f>Parameters!$F$23*I50+B51*Parameters!$F$22</f>
        <v>0.0</v>
      </c>
      <c r="J51" s="7">
        <f>E51*Parameters!$F$14*(1-Parameters!$F$15)</f>
        <v>0.0</v>
      </c>
      <c r="K51" s="7">
        <f>H51*Parameters!$F$29</f>
        <v>0.0</v>
      </c>
      <c r="L51" s="7">
        <f>I51*Parameters!$F$24</f>
        <v>0.0</v>
      </c>
      <c r="M51" s="7">
        <f>J51+K51+L51</f>
        <v>0.0</v>
      </c>
      <c r="N51" s="7">
        <f>C51*Parameters!$F$17+D51*Parameters!$F$18+E51*Parameters!$F$16+I51*Parameters!$F$25+G51*Parameters!$F$30</f>
        <v>0.007864320000000003</v>
      </c>
      <c r="O51" s="7">
        <f>0</f>
        <v>0</v>
      </c>
      <c r="P51" s="7">
        <f>M51-N51-O51</f>
        <v>-0.007864320000000003</v>
      </c>
      <c r="Q51" s="7">
        <f>0</f>
        <v>0</v>
      </c>
      <c r="R51" s="7">
        <f>P51-Q51</f>
        <v>-0.007864320000000003</v>
      </c>
      <c r="S51" s="7">
        <f>IF(A51&lt;1+Parameters!$F$31,0,INDEX($M$45:$M$80,A51-Parameters!$F$31))</f>
        <v>0.0</v>
      </c>
      <c r="T51" s="7">
        <f>T50+M51-S51</f>
        <v>0.0</v>
      </c>
      <c r="U51" s="7">
        <f>S51-N51-O51-Q51</f>
        <v>-0.007864320000000003</v>
      </c>
      <c r="V51" s="7">
        <f>V50+U51</f>
        <v>1.5114572799999997</v>
      </c>
      <c r="W51" s="7">
        <f>(1-Parameters!$F$7)*(C51-E51)+(1-Parameters!$F$8)*(D51+E51)</f>
        <v>0.005242880000000001</v>
      </c>
      <c r="X51" s="7">
        <f>Parameters!$F$7*(C51-E51)+Parameters!$F$8*Parameters!$F$9*(D51+E51)</f>
        <v>0.0</v>
      </c>
      <c r="Y51" s="7">
        <f>Parameters!$F$8*(1-Parameters!$F$9)*(D51+E51)</f>
        <v>0.02097152000000001</v>
      </c>
      <c r="Z51" s="7">
        <f>POWER(1/(1+Parameters!$F$32),A51-1)*(M51-N51)</f>
        <v>-0.0074085451845143655</v>
      </c>
    </row>
    <row r="52" spans="1:26">
      <c r="A52" s="7">
        <v>8</v>
      </c>
      <c r="B52" s="7">
        <f>0</f>
        <v>0</v>
      </c>
      <c r="C52" s="7">
        <f>X51+B52</f>
        <v>0.0</v>
      </c>
      <c r="D52" s="7">
        <f>Y51</f>
        <v>0.02097152000000001</v>
      </c>
      <c r="E52" s="7">
        <f>Parameters!$F$6*C52</f>
        <v>0.0</v>
      </c>
      <c r="F52" s="7">
        <f>IF(Parameters!$F$5=1,E52,0)</f>
        <v>0.0</v>
      </c>
      <c r="G52" s="7">
        <f>Parameters!$F$27*G51+F52</f>
        <v>0.0</v>
      </c>
      <c r="H52" s="7">
        <f>IF(AND(Parameters!$F$5=1,Parameters!$F$26=1),SUMPRODUCT(--($A$45:A52&lt;A52),--(MOD(A52-$A$45:A52,Parameters!$F$28)=0),$F$45:F52,POWER(Parameters!$F$27,IF(A52-$A$45:A52=0,1,A52-$A$45:A52))),0)</f>
        <v>0.0</v>
      </c>
      <c r="I52" s="7">
        <f>Parameters!$F$23*I51+B52*Parameters!$F$22</f>
        <v>0.0</v>
      </c>
      <c r="J52" s="7">
        <f>E52*Parameters!$F$14*(1-Parameters!$F$15)</f>
        <v>0.0</v>
      </c>
      <c r="K52" s="7">
        <f>H52*Parameters!$F$29</f>
        <v>0.0</v>
      </c>
      <c r="L52" s="7">
        <f>I52*Parameters!$F$24</f>
        <v>0.0</v>
      </c>
      <c r="M52" s="7">
        <f>J52+K52+L52</f>
        <v>0.0</v>
      </c>
      <c r="N52" s="7">
        <f>C52*Parameters!$F$17+D52*Parameters!$F$18+E52*Parameters!$F$16+I52*Parameters!$F$25+G52*Parameters!$F$30</f>
        <v>0.006291456000000003</v>
      </c>
      <c r="O52" s="7">
        <f>0</f>
        <v>0</v>
      </c>
      <c r="P52" s="7">
        <f>M52-N52-O52</f>
        <v>-0.006291456000000003</v>
      </c>
      <c r="Q52" s="7">
        <f>0</f>
        <v>0</v>
      </c>
      <c r="R52" s="7">
        <f>P52-Q52</f>
        <v>-0.006291456000000003</v>
      </c>
      <c r="S52" s="7">
        <f>IF(A52&lt;1+Parameters!$F$31,0,INDEX($M$45:$M$80,A52-Parameters!$F$31))</f>
        <v>0.0</v>
      </c>
      <c r="T52" s="7">
        <f>T51+M52-S52</f>
        <v>0.0</v>
      </c>
      <c r="U52" s="7">
        <f>S52-N52-O52-Q52</f>
        <v>-0.006291456000000003</v>
      </c>
      <c r="V52" s="7">
        <f>V51+U52</f>
        <v>1.5051658239999997</v>
      </c>
      <c r="W52" s="7">
        <f>(1-Parameters!$F$7)*(C52-E52)+(1-Parameters!$F$8)*(D52+E52)</f>
        <v>0.004194304000000001</v>
      </c>
      <c r="X52" s="7">
        <f>Parameters!$F$7*(C52-E52)+Parameters!$F$8*Parameters!$F$9*(D52+E52)</f>
        <v>0.0</v>
      </c>
      <c r="Y52" s="7">
        <f>Parameters!$F$8*(1-Parameters!$F$9)*(D52+E52)</f>
        <v>0.016777216000000008</v>
      </c>
      <c r="Z52" s="7">
        <f>POWER(1/(1+Parameters!$F$32),A52-1)*(M52-N52)</f>
        <v>-0.005868154601595538</v>
      </c>
    </row>
    <row r="53" spans="1:26">
      <c r="A53" s="7">
        <v>9</v>
      </c>
      <c r="B53" s="7">
        <f>0</f>
        <v>0</v>
      </c>
      <c r="C53" s="7">
        <f>X52+B53</f>
        <v>0.0</v>
      </c>
      <c r="D53" s="7">
        <f>Y52</f>
        <v>0.016777216000000008</v>
      </c>
      <c r="E53" s="7">
        <f>Parameters!$F$6*C53</f>
        <v>0.0</v>
      </c>
      <c r="F53" s="7">
        <f>IF(Parameters!$F$5=1,E53,0)</f>
        <v>0.0</v>
      </c>
      <c r="G53" s="7">
        <f>Parameters!$F$27*G52+F53</f>
        <v>0.0</v>
      </c>
      <c r="H53" s="7">
        <f>IF(AND(Parameters!$F$5=1,Parameters!$F$26=1),SUMPRODUCT(--($A$45:A53&lt;A53),--(MOD(A53-$A$45:A53,Parameters!$F$28)=0),$F$45:F53,POWER(Parameters!$F$27,IF(A53-$A$45:A53=0,1,A53-$A$45:A53))),0)</f>
        <v>0.0</v>
      </c>
      <c r="I53" s="7">
        <f>Parameters!$F$23*I52+B53*Parameters!$F$22</f>
        <v>0.0</v>
      </c>
      <c r="J53" s="7">
        <f>E53*Parameters!$F$14*(1-Parameters!$F$15)</f>
        <v>0.0</v>
      </c>
      <c r="K53" s="7">
        <f>H53*Parameters!$F$29</f>
        <v>0.0</v>
      </c>
      <c r="L53" s="7">
        <f>I53*Parameters!$F$24</f>
        <v>0.0</v>
      </c>
      <c r="M53" s="7">
        <f>J53+K53+L53</f>
        <v>0.0</v>
      </c>
      <c r="N53" s="7">
        <f>C53*Parameters!$F$17+D53*Parameters!$F$18+E53*Parameters!$F$16+I53*Parameters!$F$25+G53*Parameters!$F$30</f>
        <v>0.005033164800000003</v>
      </c>
      <c r="O53" s="7">
        <f>0</f>
        <v>0</v>
      </c>
      <c r="P53" s="7">
        <f>M53-N53-O53</f>
        <v>-0.005033164800000003</v>
      </c>
      <c r="Q53" s="7">
        <f>0</f>
        <v>0</v>
      </c>
      <c r="R53" s="7">
        <f>P53-Q53</f>
        <v>-0.005033164800000003</v>
      </c>
      <c r="S53" s="7">
        <f>IF(A53&lt;1+Parameters!$F$31,0,INDEX($M$45:$M$80,A53-Parameters!$F$31))</f>
        <v>0.0</v>
      </c>
      <c r="T53" s="7">
        <f>T52+M53-S53</f>
        <v>0.0</v>
      </c>
      <c r="U53" s="7">
        <f>S53-N53-O53-Q53</f>
        <v>-0.005033164800000003</v>
      </c>
      <c r="V53" s="7">
        <f>V52+U53</f>
        <v>1.5001326591999997</v>
      </c>
      <c r="W53" s="7">
        <f>(1-Parameters!$F$7)*(C53-E53)+(1-Parameters!$F$8)*(D53+E53)</f>
        <v>0.003355443200000001</v>
      </c>
      <c r="X53" s="7">
        <f>Parameters!$F$7*(C53-E53)+Parameters!$F$8*Parameters!$F$9*(D53+E53)</f>
        <v>0.0</v>
      </c>
      <c r="Y53" s="7">
        <f>Parameters!$F$8*(1-Parameters!$F$9)*(D53+E53)</f>
        <v>0.013421772800000007</v>
      </c>
      <c r="Z53" s="7">
        <f>POWER(1/(1+Parameters!$F$32),A53-1)*(M53-N53)</f>
        <v>-0.004648043248788545</v>
      </c>
    </row>
    <row r="54" spans="1:26">
      <c r="A54" s="7">
        <v>10</v>
      </c>
      <c r="B54" s="7">
        <f>0</f>
        <v>0</v>
      </c>
      <c r="C54" s="7">
        <f>X53+B54</f>
        <v>0.0</v>
      </c>
      <c r="D54" s="7">
        <f>Y53</f>
        <v>0.013421772800000007</v>
      </c>
      <c r="E54" s="7">
        <f>Parameters!$F$6*C54</f>
        <v>0.0</v>
      </c>
      <c r="F54" s="7">
        <f>IF(Parameters!$F$5=1,E54,0)</f>
        <v>0.0</v>
      </c>
      <c r="G54" s="7">
        <f>Parameters!$F$27*G53+F54</f>
        <v>0.0</v>
      </c>
      <c r="H54" s="7">
        <f>IF(AND(Parameters!$F$5=1,Parameters!$F$26=1),SUMPRODUCT(--($A$45:A54&lt;A54),--(MOD(A54-$A$45:A54,Parameters!$F$28)=0),$F$45:F54,POWER(Parameters!$F$27,IF(A54-$A$45:A54=0,1,A54-$A$45:A54))),0)</f>
        <v>0.0</v>
      </c>
      <c r="I54" s="7">
        <f>Parameters!$F$23*I53+B54*Parameters!$F$22</f>
        <v>0.0</v>
      </c>
      <c r="J54" s="7">
        <f>E54*Parameters!$F$14*(1-Parameters!$F$15)</f>
        <v>0.0</v>
      </c>
      <c r="K54" s="7">
        <f>H54*Parameters!$F$29</f>
        <v>0.0</v>
      </c>
      <c r="L54" s="7">
        <f>I54*Parameters!$F$24</f>
        <v>0.0</v>
      </c>
      <c r="M54" s="7">
        <f>J54+K54+L54</f>
        <v>0.0</v>
      </c>
      <c r="N54" s="7">
        <f>C54*Parameters!$F$17+D54*Parameters!$F$18+E54*Parameters!$F$16+I54*Parameters!$F$25+G54*Parameters!$F$30</f>
        <v>0.004026531840000002</v>
      </c>
      <c r="O54" s="7">
        <f>0</f>
        <v>0</v>
      </c>
      <c r="P54" s="7">
        <f>M54-N54-O54</f>
        <v>-0.004026531840000002</v>
      </c>
      <c r="Q54" s="7">
        <f>0</f>
        <v>0</v>
      </c>
      <c r="R54" s="7">
        <f>P54-Q54</f>
        <v>-0.004026531840000002</v>
      </c>
      <c r="S54" s="7">
        <f>IF(A54&lt;1+Parameters!$F$31,0,INDEX($M$45:$M$80,A54-Parameters!$F$31))</f>
        <v>0.0</v>
      </c>
      <c r="T54" s="7">
        <f>T53+M54-S54</f>
        <v>0.0</v>
      </c>
      <c r="U54" s="7">
        <f>S54-N54-O54-Q54</f>
        <v>-0.004026531840000002</v>
      </c>
      <c r="V54" s="7">
        <f>V53+U54</f>
        <v>1.4961061273599998</v>
      </c>
      <c r="W54" s="7">
        <f>(1-Parameters!$F$7)*(C54-E54)+(1-Parameters!$F$8)*(D54+E54)</f>
        <v>0.0026843545600000007</v>
      </c>
      <c r="X54" s="7">
        <f>Parameters!$F$7*(C54-E54)+Parameters!$F$8*Parameters!$F$9*(D54+E54)</f>
        <v>0.0</v>
      </c>
      <c r="Y54" s="7">
        <f>Parameters!$F$8*(1-Parameters!$F$9)*(D54+E54)</f>
        <v>0.010737418240000006</v>
      </c>
      <c r="Z54" s="7">
        <f>POWER(1/(1+Parameters!$F$32),A54-1)*(M54-N54)</f>
        <v>-0.0036816184148820152</v>
      </c>
    </row>
    <row r="55" spans="1:26">
      <c r="A55" s="7">
        <v>11</v>
      </c>
      <c r="B55" s="7">
        <f>0</f>
        <v>0</v>
      </c>
      <c r="C55" s="7">
        <f>X54+B55</f>
        <v>0.0</v>
      </c>
      <c r="D55" s="7">
        <f>Y54</f>
        <v>0.010737418240000006</v>
      </c>
      <c r="E55" s="7">
        <f>Parameters!$F$6*C55</f>
        <v>0.0</v>
      </c>
      <c r="F55" s="7">
        <f>IF(Parameters!$F$5=1,E55,0)</f>
        <v>0.0</v>
      </c>
      <c r="G55" s="7">
        <f>Parameters!$F$27*G54+F55</f>
        <v>0.0</v>
      </c>
      <c r="H55" s="7">
        <f>IF(AND(Parameters!$F$5=1,Parameters!$F$26=1),SUMPRODUCT(--($A$45:A55&lt;A55),--(MOD(A55-$A$45:A55,Parameters!$F$28)=0),$F$45:F55,POWER(Parameters!$F$27,IF(A55-$A$45:A55=0,1,A55-$A$45:A55))),0)</f>
        <v>0.0</v>
      </c>
      <c r="I55" s="7">
        <f>Parameters!$F$23*I54+B55*Parameters!$F$22</f>
        <v>0.0</v>
      </c>
      <c r="J55" s="7">
        <f>E55*Parameters!$F$14*(1-Parameters!$F$15)</f>
        <v>0.0</v>
      </c>
      <c r="K55" s="7">
        <f>H55*Parameters!$F$29</f>
        <v>0.0</v>
      </c>
      <c r="L55" s="7">
        <f>I55*Parameters!$F$24</f>
        <v>0.0</v>
      </c>
      <c r="M55" s="7">
        <f>J55+K55+L55</f>
        <v>0.0</v>
      </c>
      <c r="N55" s="7">
        <f>C55*Parameters!$F$17+D55*Parameters!$F$18+E55*Parameters!$F$16+I55*Parameters!$F$25+G55*Parameters!$F$30</f>
        <v>0.003221225472000002</v>
      </c>
      <c r="O55" s="7">
        <f>0</f>
        <v>0</v>
      </c>
      <c r="P55" s="7">
        <f>M55-N55-O55</f>
        <v>-0.003221225472000002</v>
      </c>
      <c r="Q55" s="7">
        <f>0</f>
        <v>0</v>
      </c>
      <c r="R55" s="7">
        <f>P55-Q55</f>
        <v>-0.003221225472000002</v>
      </c>
      <c r="S55" s="7">
        <f>IF(A55&lt;1+Parameters!$F$31,0,INDEX($M$45:$M$80,A55-Parameters!$F$31))</f>
        <v>0.0</v>
      </c>
      <c r="T55" s="7">
        <f>T54+M55-S55</f>
        <v>0.0</v>
      </c>
      <c r="U55" s="7">
        <f>S55-N55-O55-Q55</f>
        <v>-0.003221225472000002</v>
      </c>
      <c r="V55" s="7">
        <f>V54+U55</f>
        <v>1.4928849018879997</v>
      </c>
      <c r="W55" s="7">
        <f>(1-Parameters!$F$7)*(C55-E55)+(1-Parameters!$F$8)*(D55+E55)</f>
        <v>0.002147483648000001</v>
      </c>
      <c r="X55" s="7">
        <f>Parameters!$F$7*(C55-E55)+Parameters!$F$8*Parameters!$F$9*(D55+E55)</f>
        <v>0.0</v>
      </c>
      <c r="Y55" s="7">
        <f>Parameters!$F$8*(1-Parameters!$F$9)*(D55+E55)</f>
        <v>0.008589934592000005</v>
      </c>
      <c r="Z55" s="7">
        <f>POWER(1/(1+Parameters!$F$32),A55-1)*(M55-N55)</f>
        <v>-0.0029161333979263494</v>
      </c>
    </row>
    <row r="56" spans="1:26">
      <c r="A56" s="7">
        <v>12</v>
      </c>
      <c r="B56" s="7">
        <f>0</f>
        <v>0</v>
      </c>
      <c r="C56" s="7">
        <f>X55+B56</f>
        <v>0.0</v>
      </c>
      <c r="D56" s="7">
        <f>Y55</f>
        <v>0.008589934592000005</v>
      </c>
      <c r="E56" s="7">
        <f>Parameters!$F$6*C56</f>
        <v>0.0</v>
      </c>
      <c r="F56" s="7">
        <f>IF(Parameters!$F$5=1,E56,0)</f>
        <v>0.0</v>
      </c>
      <c r="G56" s="7">
        <f>Parameters!$F$27*G55+F56</f>
        <v>0.0</v>
      </c>
      <c r="H56" s="7">
        <f>IF(AND(Parameters!$F$5=1,Parameters!$F$26=1),SUMPRODUCT(--($A$45:A56&lt;A56),--(MOD(A56-$A$45:A56,Parameters!$F$28)=0),$F$45:F56,POWER(Parameters!$F$27,IF(A56-$A$45:A56=0,1,A56-$A$45:A56))),0)</f>
        <v>0.0</v>
      </c>
      <c r="I56" s="7">
        <f>Parameters!$F$23*I55+B56*Parameters!$F$22</f>
        <v>0.0</v>
      </c>
      <c r="J56" s="7">
        <f>E56*Parameters!$F$14*(1-Parameters!$F$15)</f>
        <v>0.0</v>
      </c>
      <c r="K56" s="7">
        <f>H56*Parameters!$F$29</f>
        <v>0.0</v>
      </c>
      <c r="L56" s="7">
        <f>I56*Parameters!$F$24</f>
        <v>0.0</v>
      </c>
      <c r="M56" s="7">
        <f>J56+K56+L56</f>
        <v>0.0</v>
      </c>
      <c r="N56" s="7">
        <f>C56*Parameters!$F$17+D56*Parameters!$F$18+E56*Parameters!$F$16+I56*Parameters!$F$25+G56*Parameters!$F$30</f>
        <v>0.0025769803776000016</v>
      </c>
      <c r="O56" s="7">
        <f>0</f>
        <v>0</v>
      </c>
      <c r="P56" s="7">
        <f>M56-N56-O56</f>
        <v>-0.0025769803776000016</v>
      </c>
      <c r="Q56" s="7">
        <f>0</f>
        <v>0</v>
      </c>
      <c r="R56" s="7">
        <f>P56-Q56</f>
        <v>-0.0025769803776000016</v>
      </c>
      <c r="S56" s="7">
        <f>IF(A56&lt;1+Parameters!$F$31,0,INDEX($M$45:$M$80,A56-Parameters!$F$31))</f>
        <v>0.0</v>
      </c>
      <c r="T56" s="7">
        <f>T55+M56-S56</f>
        <v>0.0</v>
      </c>
      <c r="U56" s="7">
        <f>S56-N56-O56-Q56</f>
        <v>-0.0025769803776000016</v>
      </c>
      <c r="V56" s="7">
        <f>V55+U56</f>
        <v>1.4903079215103998</v>
      </c>
      <c r="W56" s="7">
        <f>(1-Parameters!$F$7)*(C56-E56)+(1-Parameters!$F$8)*(D56+E56)</f>
        <v>0.0017179869184000007</v>
      </c>
      <c r="X56" s="7">
        <f>Parameters!$F$7*(C56-E56)+Parameters!$F$8*Parameters!$F$9*(D56+E56)</f>
        <v>0.0</v>
      </c>
      <c r="Y56" s="7">
        <f>Parameters!$F$8*(1-Parameters!$F$9)*(D56+E56)</f>
        <v>0.0068719476736000045</v>
      </c>
      <c r="Z56" s="7">
        <f>POWER(1/(1+Parameters!$F$32),A56-1)*(M56-N56)</f>
        <v>-0.0023098086320208705</v>
      </c>
    </row>
    <row r="57" spans="1:26">
      <c r="A57" s="7">
        <v>13</v>
      </c>
      <c r="B57" s="7">
        <f>0</f>
        <v>0</v>
      </c>
      <c r="C57" s="7">
        <f>X56+B57</f>
        <v>0.0</v>
      </c>
      <c r="D57" s="7">
        <f>Y56</f>
        <v>0.0068719476736000045</v>
      </c>
      <c r="E57" s="7">
        <f>Parameters!$F$6*C57</f>
        <v>0.0</v>
      </c>
      <c r="F57" s="7">
        <f>IF(Parameters!$F$5=1,E57,0)</f>
        <v>0.0</v>
      </c>
      <c r="G57" s="7">
        <f>Parameters!$F$27*G56+F57</f>
        <v>0.0</v>
      </c>
      <c r="H57" s="7">
        <f>IF(AND(Parameters!$F$5=1,Parameters!$F$26=1),SUMPRODUCT(--($A$45:A57&lt;A57),--(MOD(A57-$A$45:A57,Parameters!$F$28)=0),$F$45:F57,POWER(Parameters!$F$27,IF(A57-$A$45:A57=0,1,A57-$A$45:A57))),0)</f>
        <v>0.0</v>
      </c>
      <c r="I57" s="7">
        <f>Parameters!$F$23*I56+B57*Parameters!$F$22</f>
        <v>0.0</v>
      </c>
      <c r="J57" s="7">
        <f>E57*Parameters!$F$14*(1-Parameters!$F$15)</f>
        <v>0.0</v>
      </c>
      <c r="K57" s="7">
        <f>H57*Parameters!$F$29</f>
        <v>0.0</v>
      </c>
      <c r="L57" s="7">
        <f>I57*Parameters!$F$24</f>
        <v>0.0</v>
      </c>
      <c r="M57" s="7">
        <f>J57+K57+L57</f>
        <v>0.0</v>
      </c>
      <c r="N57" s="7">
        <f>C57*Parameters!$F$17+D57*Parameters!$F$18+E57*Parameters!$F$16+I57*Parameters!$F$25+G57*Parameters!$F$30</f>
        <v>0.002061584302080001</v>
      </c>
      <c r="O57" s="7">
        <f>0</f>
        <v>0</v>
      </c>
      <c r="P57" s="7">
        <f>M57-N57-O57</f>
        <v>-0.002061584302080001</v>
      </c>
      <c r="Q57" s="7">
        <f>0</f>
        <v>0</v>
      </c>
      <c r="R57" s="7">
        <f>P57-Q57</f>
        <v>-0.002061584302080001</v>
      </c>
      <c r="S57" s="7">
        <f>IF(A57&lt;1+Parameters!$F$31,0,INDEX($M$45:$M$80,A57-Parameters!$F$31))</f>
        <v>0.0</v>
      </c>
      <c r="T57" s="7">
        <f>T56+M57-S57</f>
        <v>0.0</v>
      </c>
      <c r="U57" s="7">
        <f>S57-N57-O57-Q57</f>
        <v>-0.002061584302080001</v>
      </c>
      <c r="V57" s="7">
        <f>V56+U57</f>
        <v>1.48824633720832</v>
      </c>
      <c r="W57" s="7">
        <f>(1-Parameters!$F$7)*(C57-E57)+(1-Parameters!$F$8)*(D57+E57)</f>
        <v>0.0013743895347200006</v>
      </c>
      <c r="X57" s="7">
        <f>Parameters!$F$7*(C57-E57)+Parameters!$F$8*Parameters!$F$9*(D57+E57)</f>
        <v>0.0</v>
      </c>
      <c r="Y57" s="7">
        <f>Parameters!$F$8*(1-Parameters!$F$9)*(D57+E57)</f>
        <v>0.005497558138880004</v>
      </c>
      <c r="Z57" s="7">
        <f>POWER(1/(1+Parameters!$F$32),A57-1)*(M57-N57)</f>
        <v>-0.0018295513916996994</v>
      </c>
    </row>
    <row r="58" spans="1:26">
      <c r="A58" s="7">
        <v>14</v>
      </c>
      <c r="B58" s="7">
        <f>0</f>
        <v>0</v>
      </c>
      <c r="C58" s="7">
        <f>X57+B58</f>
        <v>0.0</v>
      </c>
      <c r="D58" s="7">
        <f>Y57</f>
        <v>0.005497558138880004</v>
      </c>
      <c r="E58" s="7">
        <f>Parameters!$F$6*C58</f>
        <v>0.0</v>
      </c>
      <c r="F58" s="7">
        <f>IF(Parameters!$F$5=1,E58,0)</f>
        <v>0.0</v>
      </c>
      <c r="G58" s="7">
        <f>Parameters!$F$27*G57+F58</f>
        <v>0.0</v>
      </c>
      <c r="H58" s="7">
        <f>IF(AND(Parameters!$F$5=1,Parameters!$F$26=1),SUMPRODUCT(--($A$45:A58&lt;A58),--(MOD(A58-$A$45:A58,Parameters!$F$28)=0),$F$45:F58,POWER(Parameters!$F$27,IF(A58-$A$45:A58=0,1,A58-$A$45:A58))),0)</f>
        <v>0.0</v>
      </c>
      <c r="I58" s="7">
        <f>Parameters!$F$23*I57+B58*Parameters!$F$22</f>
        <v>0.0</v>
      </c>
      <c r="J58" s="7">
        <f>E58*Parameters!$F$14*(1-Parameters!$F$15)</f>
        <v>0.0</v>
      </c>
      <c r="K58" s="7">
        <f>H58*Parameters!$F$29</f>
        <v>0.0</v>
      </c>
      <c r="L58" s="7">
        <f>I58*Parameters!$F$24</f>
        <v>0.0</v>
      </c>
      <c r="M58" s="7">
        <f>J58+K58+L58</f>
        <v>0.0</v>
      </c>
      <c r="N58" s="7">
        <f>C58*Parameters!$F$17+D58*Parameters!$F$18+E58*Parameters!$F$16+I58*Parameters!$F$25+G58*Parameters!$F$30</f>
        <v>0.0016492674416640012</v>
      </c>
      <c r="O58" s="7">
        <f>0</f>
        <v>0</v>
      </c>
      <c r="P58" s="7">
        <f>M58-N58-O58</f>
        <v>-0.0016492674416640012</v>
      </c>
      <c r="Q58" s="7">
        <f>0</f>
        <v>0</v>
      </c>
      <c r="R58" s="7">
        <f>P58-Q58</f>
        <v>-0.0016492674416640012</v>
      </c>
      <c r="S58" s="7">
        <f>IF(A58&lt;1+Parameters!$F$31,0,INDEX($M$45:$M$80,A58-Parameters!$F$31))</f>
        <v>0.0</v>
      </c>
      <c r="T58" s="7">
        <f>T57+M58-S58</f>
        <v>0.0</v>
      </c>
      <c r="U58" s="7">
        <f>S58-N58-O58-Q58</f>
        <v>-0.0016492674416640012</v>
      </c>
      <c r="V58" s="7">
        <f>V57+U58</f>
        <v>1.486597069766656</v>
      </c>
      <c r="W58" s="7">
        <f>(1-Parameters!$F$7)*(C58-E58)+(1-Parameters!$F$8)*(D58+E58)</f>
        <v>0.0010995116277760005</v>
      </c>
      <c r="X58" s="7">
        <f>Parameters!$F$7*(C58-E58)+Parameters!$F$8*Parameters!$F$9*(D58+E58)</f>
        <v>0.0</v>
      </c>
      <c r="Y58" s="7">
        <f>Parameters!$F$8*(1-Parameters!$F$9)*(D58+E58)</f>
        <v>0.004398046511104004</v>
      </c>
      <c r="Z58" s="7">
        <f>POWER(1/(1+Parameters!$F$32),A58-1)*(M58-N58)</f>
        <v>-0.001449149617187881</v>
      </c>
    </row>
    <row r="59" spans="1:26">
      <c r="A59" s="7">
        <v>15</v>
      </c>
      <c r="B59" s="7">
        <f>0</f>
        <v>0</v>
      </c>
      <c r="C59" s="7">
        <f>X58+B59</f>
        <v>0.0</v>
      </c>
      <c r="D59" s="7">
        <f>Y58</f>
        <v>0.004398046511104004</v>
      </c>
      <c r="E59" s="7">
        <f>Parameters!$F$6*C59</f>
        <v>0.0</v>
      </c>
      <c r="F59" s="7">
        <f>IF(Parameters!$F$5=1,E59,0)</f>
        <v>0.0</v>
      </c>
      <c r="G59" s="7">
        <f>Parameters!$F$27*G58+F59</f>
        <v>0.0</v>
      </c>
      <c r="H59" s="7">
        <f>IF(AND(Parameters!$F$5=1,Parameters!$F$26=1),SUMPRODUCT(--($A$45:A59&lt;A59),--(MOD(A59-$A$45:A59,Parameters!$F$28)=0),$F$45:F59,POWER(Parameters!$F$27,IF(A59-$A$45:A59=0,1,A59-$A$45:A59))),0)</f>
        <v>0.0</v>
      </c>
      <c r="I59" s="7">
        <f>Parameters!$F$23*I58+B59*Parameters!$F$22</f>
        <v>0.0</v>
      </c>
      <c r="J59" s="7">
        <f>E59*Parameters!$F$14*(1-Parameters!$F$15)</f>
        <v>0.0</v>
      </c>
      <c r="K59" s="7">
        <f>H59*Parameters!$F$29</f>
        <v>0.0</v>
      </c>
      <c r="L59" s="7">
        <f>I59*Parameters!$F$24</f>
        <v>0.0</v>
      </c>
      <c r="M59" s="7">
        <f>J59+K59+L59</f>
        <v>0.0</v>
      </c>
      <c r="N59" s="7">
        <f>C59*Parameters!$F$17+D59*Parameters!$F$18+E59*Parameters!$F$16+I59*Parameters!$F$25+G59*Parameters!$F$30</f>
        <v>0.001319413953331201</v>
      </c>
      <c r="O59" s="7">
        <f>0</f>
        <v>0</v>
      </c>
      <c r="P59" s="7">
        <f>M59-N59-O59</f>
        <v>-0.001319413953331201</v>
      </c>
      <c r="Q59" s="7">
        <f>0</f>
        <v>0</v>
      </c>
      <c r="R59" s="7">
        <f>P59-Q59</f>
        <v>-0.001319413953331201</v>
      </c>
      <c r="S59" s="7">
        <f>IF(A59&lt;1+Parameters!$F$31,0,INDEX($M$45:$M$80,A59-Parameters!$F$31))</f>
        <v>0.0</v>
      </c>
      <c r="T59" s="7">
        <f>T58+M59-S59</f>
        <v>0.0</v>
      </c>
      <c r="U59" s="7">
        <f>S59-N59-O59-Q59</f>
        <v>-0.001319413953331201</v>
      </c>
      <c r="V59" s="7">
        <f>V58+U59</f>
        <v>1.4852776558133247</v>
      </c>
      <c r="W59" s="7">
        <f>(1-Parameters!$F$7)*(C59-E59)+(1-Parameters!$F$8)*(D59+E59)</f>
        <v>0.0008796093022208005</v>
      </c>
      <c r="X59" s="7">
        <f>Parameters!$F$7*(C59-E59)+Parameters!$F$8*Parameters!$F$9*(D59+E59)</f>
        <v>0.0</v>
      </c>
      <c r="Y59" s="7">
        <f>Parameters!$F$8*(1-Parameters!$F$9)*(D59+E59)</f>
        <v>0.0035184372088832034</v>
      </c>
      <c r="Z59" s="7">
        <f>POWER(1/(1+Parameters!$F$32),A59-1)*(M59-N59)</f>
        <v>-0.001147841280940896</v>
      </c>
    </row>
    <row r="60" spans="1:26">
      <c r="A60" s="7">
        <v>16</v>
      </c>
      <c r="B60" s="7">
        <f>0</f>
        <v>0</v>
      </c>
      <c r="C60" s="7">
        <f>X59+B60</f>
        <v>0.0</v>
      </c>
      <c r="D60" s="7">
        <f>Y59</f>
        <v>0.0035184372088832034</v>
      </c>
      <c r="E60" s="7">
        <f>Parameters!$F$6*C60</f>
        <v>0.0</v>
      </c>
      <c r="F60" s="7">
        <f>IF(Parameters!$F$5=1,E60,0)</f>
        <v>0.0</v>
      </c>
      <c r="G60" s="7">
        <f>Parameters!$F$27*G59+F60</f>
        <v>0.0</v>
      </c>
      <c r="H60" s="7">
        <f>IF(AND(Parameters!$F$5=1,Parameters!$F$26=1),SUMPRODUCT(--($A$45:A60&lt;A60),--(MOD(A60-$A$45:A60,Parameters!$F$28)=0),$F$45:F60,POWER(Parameters!$F$27,IF(A60-$A$45:A60=0,1,A60-$A$45:A60))),0)</f>
        <v>0.0</v>
      </c>
      <c r="I60" s="7">
        <f>Parameters!$F$23*I59+B60*Parameters!$F$22</f>
        <v>0.0</v>
      </c>
      <c r="J60" s="7">
        <f>E60*Parameters!$F$14*(1-Parameters!$F$15)</f>
        <v>0.0</v>
      </c>
      <c r="K60" s="7">
        <f>H60*Parameters!$F$29</f>
        <v>0.0</v>
      </c>
      <c r="L60" s="7">
        <f>I60*Parameters!$F$24</f>
        <v>0.0</v>
      </c>
      <c r="M60" s="7">
        <f>J60+K60+L60</f>
        <v>0.0</v>
      </c>
      <c r="N60" s="7">
        <f>C60*Parameters!$F$17+D60*Parameters!$F$18+E60*Parameters!$F$16+I60*Parameters!$F$25+G60*Parameters!$F$30</f>
        <v>0.0010555311626649609</v>
      </c>
      <c r="O60" s="7">
        <f>0</f>
        <v>0</v>
      </c>
      <c r="P60" s="7">
        <f>M60-N60-O60</f>
        <v>-0.0010555311626649609</v>
      </c>
      <c r="Q60" s="7">
        <f>0</f>
        <v>0</v>
      </c>
      <c r="R60" s="7">
        <f>P60-Q60</f>
        <v>-0.0010555311626649609</v>
      </c>
      <c r="S60" s="7">
        <f>IF(A60&lt;1+Parameters!$F$31,0,INDEX($M$45:$M$80,A60-Parameters!$F$31))</f>
        <v>0.0</v>
      </c>
      <c r="T60" s="7">
        <f>T59+M60-S60</f>
        <v>0.0</v>
      </c>
      <c r="U60" s="7">
        <f>S60-N60-O60-Q60</f>
        <v>-0.0010555311626649609</v>
      </c>
      <c r="V60" s="7">
        <f>V59+U60</f>
        <v>1.4842221246506597</v>
      </c>
      <c r="W60" s="7">
        <f>(1-Parameters!$F$7)*(C60-E60)+(1-Parameters!$F$8)*(D60+E60)</f>
        <v>0.0007036874417766405</v>
      </c>
      <c r="X60" s="7">
        <f>Parameters!$F$7*(C60-E60)+Parameters!$F$8*Parameters!$F$9*(D60+E60)</f>
        <v>0.0</v>
      </c>
      <c r="Y60" s="7">
        <f>Parameters!$F$8*(1-Parameters!$F$9)*(D60+E60)</f>
        <v>0.002814749767106563</v>
      </c>
      <c r="Z60" s="7">
        <f>POWER(1/(1+Parameters!$F$32),A60-1)*(M60-N60)</f>
        <v>-0.0009091812126264523</v>
      </c>
    </row>
    <row r="61" spans="1:26">
      <c r="A61" s="7">
        <v>17</v>
      </c>
      <c r="B61" s="7">
        <f>0</f>
        <v>0</v>
      </c>
      <c r="C61" s="7">
        <f>X60+B61</f>
        <v>0.0</v>
      </c>
      <c r="D61" s="7">
        <f>Y60</f>
        <v>0.002814749767106563</v>
      </c>
      <c r="E61" s="7">
        <f>Parameters!$F$6*C61</f>
        <v>0.0</v>
      </c>
      <c r="F61" s="7">
        <f>IF(Parameters!$F$5=1,E61,0)</f>
        <v>0.0</v>
      </c>
      <c r="G61" s="7">
        <f>Parameters!$F$27*G60+F61</f>
        <v>0.0</v>
      </c>
      <c r="H61" s="7">
        <f>IF(AND(Parameters!$F$5=1,Parameters!$F$26=1),SUMPRODUCT(--($A$45:A61&lt;A61),--(MOD(A61-$A$45:A61,Parameters!$F$28)=0),$F$45:F61,POWER(Parameters!$F$27,IF(A61-$A$45:A61=0,1,A61-$A$45:A61))),0)</f>
        <v>0.0</v>
      </c>
      <c r="I61" s="7">
        <f>Parameters!$F$23*I60+B61*Parameters!$F$22</f>
        <v>0.0</v>
      </c>
      <c r="J61" s="7">
        <f>E61*Parameters!$F$14*(1-Parameters!$F$15)</f>
        <v>0.0</v>
      </c>
      <c r="K61" s="7">
        <f>H61*Parameters!$F$29</f>
        <v>0.0</v>
      </c>
      <c r="L61" s="7">
        <f>I61*Parameters!$F$24</f>
        <v>0.0</v>
      </c>
      <c r="M61" s="7">
        <f>J61+K61+L61</f>
        <v>0.0</v>
      </c>
      <c r="N61" s="7">
        <f>C61*Parameters!$F$17+D61*Parameters!$F$18+E61*Parameters!$F$16+I61*Parameters!$F$25+G61*Parameters!$F$30</f>
        <v>0.0008444249301319688</v>
      </c>
      <c r="O61" s="7">
        <f>0</f>
        <v>0</v>
      </c>
      <c r="P61" s="7">
        <f>M61-N61-O61</f>
        <v>-0.0008444249301319688</v>
      </c>
      <c r="Q61" s="7">
        <f>0</f>
        <v>0</v>
      </c>
      <c r="R61" s="7">
        <f>P61-Q61</f>
        <v>-0.0008444249301319688</v>
      </c>
      <c r="S61" s="7">
        <f>IF(A61&lt;1+Parameters!$F$31,0,INDEX($M$45:$M$80,A61-Parameters!$F$31))</f>
        <v>0.0</v>
      </c>
      <c r="T61" s="7">
        <f>T60+M61-S61</f>
        <v>0.0</v>
      </c>
      <c r="U61" s="7">
        <f>S61-N61-O61-Q61</f>
        <v>-0.0008444249301319688</v>
      </c>
      <c r="V61" s="7">
        <f>V60+U61</f>
        <v>1.4833776997205277</v>
      </c>
      <c r="W61" s="7">
        <f>(1-Parameters!$F$7)*(C61-E61)+(1-Parameters!$F$8)*(D61+E61)</f>
        <v>0.0005629499534213125</v>
      </c>
      <c r="X61" s="7">
        <f>Parameters!$F$7*(C61-E61)+Parameters!$F$8*Parameters!$F$9*(D61+E61)</f>
        <v>0.0</v>
      </c>
      <c r="Y61" s="7">
        <f>Parameters!$F$8*(1-Parameters!$F$9)*(D61+E61)</f>
        <v>0.0022517998136852503</v>
      </c>
      <c r="Z61" s="7">
        <f>POWER(1/(1+Parameters!$F$32),A61-1)*(M61-N61)</f>
        <v>-0.0007201435347536256</v>
      </c>
    </row>
    <row r="62" spans="1:26">
      <c r="A62" s="7">
        <v>18</v>
      </c>
      <c r="B62" s="7">
        <f>0</f>
        <v>0</v>
      </c>
      <c r="C62" s="7">
        <f>X61+B62</f>
        <v>0.0</v>
      </c>
      <c r="D62" s="7">
        <f>Y61</f>
        <v>0.0022517998136852503</v>
      </c>
      <c r="E62" s="7">
        <f>Parameters!$F$6*C62</f>
        <v>0.0</v>
      </c>
      <c r="F62" s="7">
        <f>IF(Parameters!$F$5=1,E62,0)</f>
        <v>0.0</v>
      </c>
      <c r="G62" s="7">
        <f>Parameters!$F$27*G61+F62</f>
        <v>0.0</v>
      </c>
      <c r="H62" s="7">
        <f>IF(AND(Parameters!$F$5=1,Parameters!$F$26=1),SUMPRODUCT(--($A$45:A62&lt;A62),--(MOD(A62-$A$45:A62,Parameters!$F$28)=0),$F$45:F62,POWER(Parameters!$F$27,IF(A62-$A$45:A62=0,1,A62-$A$45:A62))),0)</f>
        <v>0.0</v>
      </c>
      <c r="I62" s="7">
        <f>Parameters!$F$23*I61+B62*Parameters!$F$22</f>
        <v>0.0</v>
      </c>
      <c r="J62" s="7">
        <f>E62*Parameters!$F$14*(1-Parameters!$F$15)</f>
        <v>0.0</v>
      </c>
      <c r="K62" s="7">
        <f>H62*Parameters!$F$29</f>
        <v>0.0</v>
      </c>
      <c r="L62" s="7">
        <f>I62*Parameters!$F$24</f>
        <v>0.0</v>
      </c>
      <c r="M62" s="7">
        <f>J62+K62+L62</f>
        <v>0.0</v>
      </c>
      <c r="N62" s="7">
        <f>C62*Parameters!$F$17+D62*Parameters!$F$18+E62*Parameters!$F$16+I62*Parameters!$F$25+G62*Parameters!$F$30</f>
        <v>0.000675539944105575</v>
      </c>
      <c r="O62" s="7">
        <f>0</f>
        <v>0</v>
      </c>
      <c r="P62" s="7">
        <f>M62-N62-O62</f>
        <v>-0.000675539944105575</v>
      </c>
      <c r="Q62" s="7">
        <f>0</f>
        <v>0</v>
      </c>
      <c r="R62" s="7">
        <f>P62-Q62</f>
        <v>-0.000675539944105575</v>
      </c>
      <c r="S62" s="7">
        <f>IF(A62&lt;1+Parameters!$F$31,0,INDEX($M$45:$M$80,A62-Parameters!$F$31))</f>
        <v>0.0</v>
      </c>
      <c r="T62" s="7">
        <f>T61+M62-S62</f>
        <v>0.0</v>
      </c>
      <c r="U62" s="7">
        <f>S62-N62-O62-Q62</f>
        <v>-0.000675539944105575</v>
      </c>
      <c r="V62" s="7">
        <f>V61+U62</f>
        <v>1.482702159776422</v>
      </c>
      <c r="W62" s="7">
        <f>(1-Parameters!$F$7)*(C62-E62)+(1-Parameters!$F$8)*(D62+E62)</f>
        <v>0.00045035996273704997</v>
      </c>
      <c r="X62" s="7">
        <f>Parameters!$F$7*(C62-E62)+Parameters!$F$8*Parameters!$F$9*(D62+E62)</f>
        <v>0.0</v>
      </c>
      <c r="Y62" s="7">
        <f>Parameters!$F$8*(1-Parameters!$F$9)*(D62+E62)</f>
        <v>0.0018014398509482003</v>
      </c>
      <c r="Z62" s="7">
        <f>POWER(1/(1+Parameters!$F$32),A62-1)*(M62-N62)</f>
        <v>-0.0005704107205969311</v>
      </c>
    </row>
    <row r="63" spans="1:26">
      <c r="A63" s="7">
        <v>19</v>
      </c>
      <c r="B63" s="7">
        <f>0</f>
        <v>0</v>
      </c>
      <c r="C63" s="7">
        <f>X62+B63</f>
        <v>0.0</v>
      </c>
      <c r="D63" s="7">
        <f>Y62</f>
        <v>0.0018014398509482003</v>
      </c>
      <c r="E63" s="7">
        <f>Parameters!$F$6*C63</f>
        <v>0.0</v>
      </c>
      <c r="F63" s="7">
        <f>IF(Parameters!$F$5=1,E63,0)</f>
        <v>0.0</v>
      </c>
      <c r="G63" s="7">
        <f>Parameters!$F$27*G62+F63</f>
        <v>0.0</v>
      </c>
      <c r="H63" s="7">
        <f>IF(AND(Parameters!$F$5=1,Parameters!$F$26=1),SUMPRODUCT(--($A$45:A63&lt;A63),--(MOD(A63-$A$45:A63,Parameters!$F$28)=0),$F$45:F63,POWER(Parameters!$F$27,IF(A63-$A$45:A63=0,1,A63-$A$45:A63))),0)</f>
        <v>0.0</v>
      </c>
      <c r="I63" s="7">
        <f>Parameters!$F$23*I62+B63*Parameters!$F$22</f>
        <v>0.0</v>
      </c>
      <c r="J63" s="7">
        <f>E63*Parameters!$F$14*(1-Parameters!$F$15)</f>
        <v>0.0</v>
      </c>
      <c r="K63" s="7">
        <f>H63*Parameters!$F$29</f>
        <v>0.0</v>
      </c>
      <c r="L63" s="7">
        <f>I63*Parameters!$F$24</f>
        <v>0.0</v>
      </c>
      <c r="M63" s="7">
        <f>J63+K63+L63</f>
        <v>0.0</v>
      </c>
      <c r="N63" s="7">
        <f>C63*Parameters!$F$17+D63*Parameters!$F$18+E63*Parameters!$F$16+I63*Parameters!$F$25+G63*Parameters!$F$30</f>
        <v>0.0005404319552844601</v>
      </c>
      <c r="O63" s="7">
        <f>0</f>
        <v>0</v>
      </c>
      <c r="P63" s="7">
        <f>M63-N63-O63</f>
        <v>-0.0005404319552844601</v>
      </c>
      <c r="Q63" s="7">
        <f>0</f>
        <v>0</v>
      </c>
      <c r="R63" s="7">
        <f>P63-Q63</f>
        <v>-0.0005404319552844601</v>
      </c>
      <c r="S63" s="7">
        <f>IF(A63&lt;1+Parameters!$F$31,0,INDEX($M$45:$M$80,A63-Parameters!$F$31))</f>
        <v>0.0</v>
      </c>
      <c r="T63" s="7">
        <f>T62+M63-S63</f>
        <v>0.0</v>
      </c>
      <c r="U63" s="7">
        <f>S63-N63-O63-Q63</f>
        <v>-0.0005404319552844601</v>
      </c>
      <c r="V63" s="7">
        <f>V62+U63</f>
        <v>1.4821617278211376</v>
      </c>
      <c r="W63" s="7">
        <f>(1-Parameters!$F$7)*(C63-E63)+(1-Parameters!$F$8)*(D63+E63)</f>
        <v>0.00036028797018964</v>
      </c>
      <c r="X63" s="7">
        <f>Parameters!$F$7*(C63-E63)+Parameters!$F$8*Parameters!$F$9*(D63+E63)</f>
        <v>0.0</v>
      </c>
      <c r="Y63" s="7">
        <f>Parameters!$F$8*(1-Parameters!$F$9)*(D63+E63)</f>
        <v>0.0014411518807585604</v>
      </c>
      <c r="Z63" s="7">
        <f>POWER(1/(1+Parameters!$F$32),A63-1)*(M63-N63)</f>
        <v>-0.00045181047175994553</v>
      </c>
    </row>
    <row r="64" spans="1:26">
      <c r="A64" s="7">
        <v>20</v>
      </c>
      <c r="B64" s="7">
        <f>0</f>
        <v>0</v>
      </c>
      <c r="C64" s="7">
        <f>X63+B64</f>
        <v>0.0</v>
      </c>
      <c r="D64" s="7">
        <f>Y63</f>
        <v>0.0014411518807585604</v>
      </c>
      <c r="E64" s="7">
        <f>Parameters!$F$6*C64</f>
        <v>0.0</v>
      </c>
      <c r="F64" s="7">
        <f>IF(Parameters!$F$5=1,E64,0)</f>
        <v>0.0</v>
      </c>
      <c r="G64" s="7">
        <f>Parameters!$F$27*G63+F64</f>
        <v>0.0</v>
      </c>
      <c r="H64" s="7">
        <f>IF(AND(Parameters!$F$5=1,Parameters!$F$26=1),SUMPRODUCT(--($A$45:A64&lt;A64),--(MOD(A64-$A$45:A64,Parameters!$F$28)=0),$F$45:F64,POWER(Parameters!$F$27,IF(A64-$A$45:A64=0,1,A64-$A$45:A64))),0)</f>
        <v>0.0</v>
      </c>
      <c r="I64" s="7">
        <f>Parameters!$F$23*I63+B64*Parameters!$F$22</f>
        <v>0.0</v>
      </c>
      <c r="J64" s="7">
        <f>E64*Parameters!$F$14*(1-Parameters!$F$15)</f>
        <v>0.0</v>
      </c>
      <c r="K64" s="7">
        <f>H64*Parameters!$F$29</f>
        <v>0.0</v>
      </c>
      <c r="L64" s="7">
        <f>I64*Parameters!$F$24</f>
        <v>0.0</v>
      </c>
      <c r="M64" s="7">
        <f>J64+K64+L64</f>
        <v>0.0</v>
      </c>
      <c r="N64" s="7">
        <f>C64*Parameters!$F$17+D64*Parameters!$F$18+E64*Parameters!$F$16+I64*Parameters!$F$25+G64*Parameters!$F$30</f>
        <v>0.0004323455642275681</v>
      </c>
      <c r="O64" s="7">
        <f>0</f>
        <v>0</v>
      </c>
      <c r="P64" s="7">
        <f>M64-N64-O64</f>
        <v>-0.0004323455642275681</v>
      </c>
      <c r="Q64" s="7">
        <f>0</f>
        <v>0</v>
      </c>
      <c r="R64" s="7">
        <f>P64-Q64</f>
        <v>-0.0004323455642275681</v>
      </c>
      <c r="S64" s="7">
        <f>IF(A64&lt;1+Parameters!$F$31,0,INDEX($M$45:$M$80,A64-Parameters!$F$31))</f>
        <v>0.0</v>
      </c>
      <c r="T64" s="7">
        <f>T63+M64-S64</f>
        <v>0.0</v>
      </c>
      <c r="U64" s="7">
        <f>S64-N64-O64-Q64</f>
        <v>-0.0004323455642275681</v>
      </c>
      <c r="V64" s="7">
        <f>V63+U64</f>
        <v>1.48172938225691</v>
      </c>
      <c r="W64" s="7">
        <f>(1-Parameters!$F$7)*(C64-E64)+(1-Parameters!$F$8)*(D64+E64)</f>
        <v>0.000288230376151712</v>
      </c>
      <c r="X64" s="7">
        <f>Parameters!$F$7*(C64-E64)+Parameters!$F$8*Parameters!$F$9*(D64+E64)</f>
        <v>0.0</v>
      </c>
      <c r="Y64" s="7">
        <f>Parameters!$F$8*(1-Parameters!$F$9)*(D64+E64)</f>
        <v>0.0011529215046068484</v>
      </c>
      <c r="Z64" s="7">
        <f>POWER(1/(1+Parameters!$F$32),A64-1)*(M64-N64)</f>
        <v>-0.00035786968060193703</v>
      </c>
    </row>
    <row r="65" spans="1:26">
      <c r="A65" s="7">
        <v>21</v>
      </c>
      <c r="B65" s="7">
        <f>0</f>
        <v>0</v>
      </c>
      <c r="C65" s="7">
        <f>X64+B65</f>
        <v>0.0</v>
      </c>
      <c r="D65" s="7">
        <f>Y64</f>
        <v>0.0011529215046068484</v>
      </c>
      <c r="E65" s="7">
        <f>Parameters!$F$6*C65</f>
        <v>0.0</v>
      </c>
      <c r="F65" s="7">
        <f>IF(Parameters!$F$5=1,E65,0)</f>
        <v>0.0</v>
      </c>
      <c r="G65" s="7">
        <f>Parameters!$F$27*G64+F65</f>
        <v>0.0</v>
      </c>
      <c r="H65" s="7">
        <f>IF(AND(Parameters!$F$5=1,Parameters!$F$26=1),SUMPRODUCT(--($A$45:A65&lt;A65),--(MOD(A65-$A$45:A65,Parameters!$F$28)=0),$F$45:F65,POWER(Parameters!$F$27,IF(A65-$A$45:A65=0,1,A65-$A$45:A65))),0)</f>
        <v>0.0</v>
      </c>
      <c r="I65" s="7">
        <f>Parameters!$F$23*I64+B65*Parameters!$F$22</f>
        <v>0.0</v>
      </c>
      <c r="J65" s="7">
        <f>E65*Parameters!$F$14*(1-Parameters!$F$15)</f>
        <v>0.0</v>
      </c>
      <c r="K65" s="7">
        <f>H65*Parameters!$F$29</f>
        <v>0.0</v>
      </c>
      <c r="L65" s="7">
        <f>I65*Parameters!$F$24</f>
        <v>0.0</v>
      </c>
      <c r="M65" s="7">
        <f>J65+K65+L65</f>
        <v>0.0</v>
      </c>
      <c r="N65" s="7">
        <f>C65*Parameters!$F$17+D65*Parameters!$F$18+E65*Parameters!$F$16+I65*Parameters!$F$25+G65*Parameters!$F$30</f>
        <v>0.0003458764513820545</v>
      </c>
      <c r="O65" s="7">
        <f>0</f>
        <v>0</v>
      </c>
      <c r="P65" s="7">
        <f>M65-N65-O65</f>
        <v>-0.0003458764513820545</v>
      </c>
      <c r="Q65" s="7">
        <f>0</f>
        <v>0</v>
      </c>
      <c r="R65" s="7">
        <f>P65-Q65</f>
        <v>-0.0003458764513820545</v>
      </c>
      <c r="S65" s="7">
        <f>IF(A65&lt;1+Parameters!$F$31,0,INDEX($M$45:$M$80,A65-Parameters!$F$31))</f>
        <v>0.0</v>
      </c>
      <c r="T65" s="7">
        <f>T64+M65-S65</f>
        <v>0.0</v>
      </c>
      <c r="U65" s="7">
        <f>S65-N65-O65-Q65</f>
        <v>-0.0003458764513820545</v>
      </c>
      <c r="V65" s="7">
        <f>V64+U65</f>
        <v>1.481383505805528</v>
      </c>
      <c r="W65" s="7">
        <f>(1-Parameters!$F$7)*(C65-E65)+(1-Parameters!$F$8)*(D65+E65)</f>
        <v>0.00023058430092136962</v>
      </c>
      <c r="X65" s="7">
        <f>Parameters!$F$7*(C65-E65)+Parameters!$F$8*Parameters!$F$9*(D65+E65)</f>
        <v>0.0</v>
      </c>
      <c r="Y65" s="7">
        <f>Parameters!$F$8*(1-Parameters!$F$9)*(D65+E65)</f>
        <v>0.0009223372036854787</v>
      </c>
      <c r="Z65" s="7">
        <f>POWER(1/(1+Parameters!$F$32),A65-1)*(M65-N65)</f>
        <v>-0.0002834611331500492</v>
      </c>
    </row>
    <row r="66" spans="1:26">
      <c r="A66" s="7">
        <v>22</v>
      </c>
      <c r="B66" s="7">
        <f>0</f>
        <v>0</v>
      </c>
      <c r="C66" s="7">
        <f>X65+B66</f>
        <v>0.0</v>
      </c>
      <c r="D66" s="7">
        <f>Y65</f>
        <v>0.0009223372036854787</v>
      </c>
      <c r="E66" s="7">
        <f>Parameters!$F$6*C66</f>
        <v>0.0</v>
      </c>
      <c r="F66" s="7">
        <f>IF(Parameters!$F$5=1,E66,0)</f>
        <v>0.0</v>
      </c>
      <c r="G66" s="7">
        <f>Parameters!$F$27*G65+F66</f>
        <v>0.0</v>
      </c>
      <c r="H66" s="7">
        <f>IF(AND(Parameters!$F$5=1,Parameters!$F$26=1),SUMPRODUCT(--($A$45:A66&lt;A66),--(MOD(A66-$A$45:A66,Parameters!$F$28)=0),$F$45:F66,POWER(Parameters!$F$27,IF(A66-$A$45:A66=0,1,A66-$A$45:A66))),0)</f>
        <v>0.0</v>
      </c>
      <c r="I66" s="7">
        <f>Parameters!$F$23*I65+B66*Parameters!$F$22</f>
        <v>0.0</v>
      </c>
      <c r="J66" s="7">
        <f>E66*Parameters!$F$14*(1-Parameters!$F$15)</f>
        <v>0.0</v>
      </c>
      <c r="K66" s="7">
        <f>H66*Parameters!$F$29</f>
        <v>0.0</v>
      </c>
      <c r="L66" s="7">
        <f>I66*Parameters!$F$24</f>
        <v>0.0</v>
      </c>
      <c r="M66" s="7">
        <f>J66+K66+L66</f>
        <v>0.0</v>
      </c>
      <c r="N66" s="7">
        <f>C66*Parameters!$F$17+D66*Parameters!$F$18+E66*Parameters!$F$16+I66*Parameters!$F$25+G66*Parameters!$F$30</f>
        <v>0.0002767011611056436</v>
      </c>
      <c r="O66" s="7">
        <f>0</f>
        <v>0</v>
      </c>
      <c r="P66" s="7">
        <f>M66-N66-O66</f>
        <v>-0.0002767011611056436</v>
      </c>
      <c r="Q66" s="7">
        <f>0</f>
        <v>0</v>
      </c>
      <c r="R66" s="7">
        <f>P66-Q66</f>
        <v>-0.0002767011611056436</v>
      </c>
      <c r="S66" s="7">
        <f>IF(A66&lt;1+Parameters!$F$31,0,INDEX($M$45:$M$80,A66-Parameters!$F$31))</f>
        <v>0.0</v>
      </c>
      <c r="T66" s="7">
        <f>T65+M66-S66</f>
        <v>0.0</v>
      </c>
      <c r="U66" s="7">
        <f>S66-N66-O66-Q66</f>
        <v>-0.0002767011611056436</v>
      </c>
      <c r="V66" s="7">
        <f>V65+U66</f>
        <v>1.4811068046444225</v>
      </c>
      <c r="W66" s="7">
        <f>(1-Parameters!$F$7)*(C66-E66)+(1-Parameters!$F$8)*(D66+E66)</f>
        <v>0.0001844674407370957</v>
      </c>
      <c r="X66" s="7">
        <f>Parameters!$F$7*(C66-E66)+Parameters!$F$8*Parameters!$F$9*(D66+E66)</f>
        <v>0.0</v>
      </c>
      <c r="Y66" s="7">
        <f>Parameters!$F$8*(1-Parameters!$F$9)*(D66+E66)</f>
        <v>0.000737869762948383</v>
      </c>
      <c r="Z66" s="7">
        <f>POWER(1/(1+Parameters!$F$32),A66-1)*(M66-N66)</f>
        <v>-0.00022452366982182113</v>
      </c>
    </row>
    <row r="67" spans="1:26">
      <c r="A67" s="7">
        <v>23</v>
      </c>
      <c r="B67" s="7">
        <f>0</f>
        <v>0</v>
      </c>
      <c r="C67" s="7">
        <f>X66+B67</f>
        <v>0.0</v>
      </c>
      <c r="D67" s="7">
        <f>Y66</f>
        <v>0.000737869762948383</v>
      </c>
      <c r="E67" s="7">
        <f>Parameters!$F$6*C67</f>
        <v>0.0</v>
      </c>
      <c r="F67" s="7">
        <f>IF(Parameters!$F$5=1,E67,0)</f>
        <v>0.0</v>
      </c>
      <c r="G67" s="7">
        <f>Parameters!$F$27*G66+F67</f>
        <v>0.0</v>
      </c>
      <c r="H67" s="7">
        <f>IF(AND(Parameters!$F$5=1,Parameters!$F$26=1),SUMPRODUCT(--($A$45:A67&lt;A67),--(MOD(A67-$A$45:A67,Parameters!$F$28)=0),$F$45:F67,POWER(Parameters!$F$27,IF(A67-$A$45:A67=0,1,A67-$A$45:A67))),0)</f>
        <v>0.0</v>
      </c>
      <c r="I67" s="7">
        <f>Parameters!$F$23*I66+B67*Parameters!$F$22</f>
        <v>0.0</v>
      </c>
      <c r="J67" s="7">
        <f>E67*Parameters!$F$14*(1-Parameters!$F$15)</f>
        <v>0.0</v>
      </c>
      <c r="K67" s="7">
        <f>H67*Parameters!$F$29</f>
        <v>0.0</v>
      </c>
      <c r="L67" s="7">
        <f>I67*Parameters!$F$24</f>
        <v>0.0</v>
      </c>
      <c r="M67" s="7">
        <f>J67+K67+L67</f>
        <v>0.0</v>
      </c>
      <c r="N67" s="7">
        <f>C67*Parameters!$F$17+D67*Parameters!$F$18+E67*Parameters!$F$16+I67*Parameters!$F$25+G67*Parameters!$F$30</f>
        <v>0.0002213609288845149</v>
      </c>
      <c r="O67" s="7">
        <f>0</f>
        <v>0</v>
      </c>
      <c r="P67" s="7">
        <f>M67-N67-O67</f>
        <v>-0.0002213609288845149</v>
      </c>
      <c r="Q67" s="7">
        <f>0</f>
        <v>0</v>
      </c>
      <c r="R67" s="7">
        <f>P67-Q67</f>
        <v>-0.0002213609288845149</v>
      </c>
      <c r="S67" s="7">
        <f>IF(A67&lt;1+Parameters!$F$31,0,INDEX($M$45:$M$80,A67-Parameters!$F$31))</f>
        <v>0.0</v>
      </c>
      <c r="T67" s="7">
        <f>T66+M67-S67</f>
        <v>0.0</v>
      </c>
      <c r="U67" s="7">
        <f>S67-N67-O67-Q67</f>
        <v>-0.0002213609288845149</v>
      </c>
      <c r="V67" s="7">
        <f>V66+U67</f>
        <v>1.4808854437155379</v>
      </c>
      <c r="W67" s="7">
        <f>(1-Parameters!$F$7)*(C67-E67)+(1-Parameters!$F$8)*(D67+E67)</f>
        <v>0.00014757395258967656</v>
      </c>
      <c r="X67" s="7">
        <f>Parameters!$F$7*(C67-E67)+Parameters!$F$8*Parameters!$F$9*(D67+E67)</f>
        <v>0.0</v>
      </c>
      <c r="Y67" s="7">
        <f>Parameters!$F$8*(1-Parameters!$F$9)*(D67+E67)</f>
        <v>0.0005902958103587065</v>
      </c>
      <c r="Z67" s="7">
        <f>POWER(1/(1+Parameters!$F$32),A67-1)*(M67-N67)</f>
        <v>-0.00017784053055193753</v>
      </c>
    </row>
    <row r="68" spans="1:26">
      <c r="A68" s="7">
        <v>24</v>
      </c>
      <c r="B68" s="7">
        <f>0</f>
        <v>0</v>
      </c>
      <c r="C68" s="7">
        <f>X67+B68</f>
        <v>0.0</v>
      </c>
      <c r="D68" s="7">
        <f>Y67</f>
        <v>0.0005902958103587065</v>
      </c>
      <c r="E68" s="7">
        <f>Parameters!$F$6*C68</f>
        <v>0.0</v>
      </c>
      <c r="F68" s="7">
        <f>IF(Parameters!$F$5=1,E68,0)</f>
        <v>0.0</v>
      </c>
      <c r="G68" s="7">
        <f>Parameters!$F$27*G67+F68</f>
        <v>0.0</v>
      </c>
      <c r="H68" s="7">
        <f>IF(AND(Parameters!$F$5=1,Parameters!$F$26=1),SUMPRODUCT(--($A$45:A68&lt;A68),--(MOD(A68-$A$45:A68,Parameters!$F$28)=0),$F$45:F68,POWER(Parameters!$F$27,IF(A68-$A$45:A68=0,1,A68-$A$45:A68))),0)</f>
        <v>0.0</v>
      </c>
      <c r="I68" s="7">
        <f>Parameters!$F$23*I67+B68*Parameters!$F$22</f>
        <v>0.0</v>
      </c>
      <c r="J68" s="7">
        <f>E68*Parameters!$F$14*(1-Parameters!$F$15)</f>
        <v>0.0</v>
      </c>
      <c r="K68" s="7">
        <f>H68*Parameters!$F$29</f>
        <v>0.0</v>
      </c>
      <c r="L68" s="7">
        <f>I68*Parameters!$F$24</f>
        <v>0.0</v>
      </c>
      <c r="M68" s="7">
        <f>J68+K68+L68</f>
        <v>0.0</v>
      </c>
      <c r="N68" s="7">
        <f>C68*Parameters!$F$17+D68*Parameters!$F$18+E68*Parameters!$F$16+I68*Parameters!$F$25+G68*Parameters!$F$30</f>
        <v>0.00017708874310761193</v>
      </c>
      <c r="O68" s="7">
        <f>0</f>
        <v>0</v>
      </c>
      <c r="P68" s="7">
        <f>M68-N68-O68</f>
        <v>-0.00017708874310761193</v>
      </c>
      <c r="Q68" s="7">
        <f>0</f>
        <v>0</v>
      </c>
      <c r="R68" s="7">
        <f>P68-Q68</f>
        <v>-0.00017708874310761193</v>
      </c>
      <c r="S68" s="7">
        <f>IF(A68&lt;1+Parameters!$F$31,0,INDEX($M$45:$M$80,A68-Parameters!$F$31))</f>
        <v>0.0</v>
      </c>
      <c r="T68" s="7">
        <f>T67+M68-S68</f>
        <v>0.0</v>
      </c>
      <c r="U68" s="7">
        <f>S68-N68-O68-Q68</f>
        <v>-0.00017708874310761193</v>
      </c>
      <c r="V68" s="7">
        <f>V67+U68</f>
        <v>1.4807083549724303</v>
      </c>
      <c r="W68" s="7">
        <f>(1-Parameters!$F$7)*(C68-E68)+(1-Parameters!$F$8)*(D68+E68)</f>
        <v>0.00011805916207174127</v>
      </c>
      <c r="X68" s="7">
        <f>Parameters!$F$7*(C68-E68)+Parameters!$F$8*Parameters!$F$9*(D68+E68)</f>
        <v>0.0</v>
      </c>
      <c r="Y68" s="7">
        <f>Parameters!$F$8*(1-Parameters!$F$9)*(D68+E68)</f>
        <v>0.0004722366482869652</v>
      </c>
      <c r="Z68" s="7">
        <f>POWER(1/(1+Parameters!$F$32),A68-1)*(M68-N68)</f>
        <v>-0.0001408637865757921</v>
      </c>
    </row>
    <row r="69" spans="1:26">
      <c r="A69" s="7">
        <v>25</v>
      </c>
      <c r="B69" s="7">
        <f>0</f>
        <v>0</v>
      </c>
      <c r="C69" s="7">
        <f>X68+B69</f>
        <v>0.0</v>
      </c>
      <c r="D69" s="7">
        <f>Y68</f>
        <v>0.0004722366482869652</v>
      </c>
      <c r="E69" s="7">
        <f>Parameters!$F$6*C69</f>
        <v>0.0</v>
      </c>
      <c r="F69" s="7">
        <f>IF(Parameters!$F$5=1,E69,0)</f>
        <v>0.0</v>
      </c>
      <c r="G69" s="7">
        <f>Parameters!$F$27*G68+F69</f>
        <v>0.0</v>
      </c>
      <c r="H69" s="7">
        <f>IF(AND(Parameters!$F$5=1,Parameters!$F$26=1),SUMPRODUCT(--($A$45:A69&lt;A69),--(MOD(A69-$A$45:A69,Parameters!$F$28)=0),$F$45:F69,POWER(Parameters!$F$27,IF(A69-$A$45:A69=0,1,A69-$A$45:A69))),0)</f>
        <v>0.0</v>
      </c>
      <c r="I69" s="7">
        <f>Parameters!$F$23*I68+B69*Parameters!$F$22</f>
        <v>0.0</v>
      </c>
      <c r="J69" s="7">
        <f>E69*Parameters!$F$14*(1-Parameters!$F$15)</f>
        <v>0.0</v>
      </c>
      <c r="K69" s="7">
        <f>H69*Parameters!$F$29</f>
        <v>0.0</v>
      </c>
      <c r="L69" s="7">
        <f>I69*Parameters!$F$24</f>
        <v>0.0</v>
      </c>
      <c r="M69" s="7">
        <f>J69+K69+L69</f>
        <v>0.0</v>
      </c>
      <c r="N69" s="7">
        <f>C69*Parameters!$F$17+D69*Parameters!$F$18+E69*Parameters!$F$16+I69*Parameters!$F$25+G69*Parameters!$F$30</f>
        <v>0.00014167099448608955</v>
      </c>
      <c r="O69" s="7">
        <f>0</f>
        <v>0</v>
      </c>
      <c r="P69" s="7">
        <f>M69-N69-O69</f>
        <v>-0.00014167099448608955</v>
      </c>
      <c r="Q69" s="7">
        <f>0</f>
        <v>0</v>
      </c>
      <c r="R69" s="7">
        <f>P69-Q69</f>
        <v>-0.00014167099448608955</v>
      </c>
      <c r="S69" s="7">
        <f>IF(A69&lt;1+Parameters!$F$31,0,INDEX($M$45:$M$80,A69-Parameters!$F$31))</f>
        <v>0.0</v>
      </c>
      <c r="T69" s="7">
        <f>T68+M69-S69</f>
        <v>0.0</v>
      </c>
      <c r="U69" s="7">
        <f>S69-N69-O69-Q69</f>
        <v>-0.00014167099448608955</v>
      </c>
      <c r="V69" s="7">
        <f>V68+U69</f>
        <v>1.480566683977944</v>
      </c>
      <c r="W69" s="7">
        <f>(1-Parameters!$F$7)*(C69-E69)+(1-Parameters!$F$8)*(D69+E69)</f>
        <v>9.444732965739302e-05</v>
      </c>
      <c r="X69" s="7">
        <f>Parameters!$F$7*(C69-E69)+Parameters!$F$8*Parameters!$F$9*(D69+E69)</f>
        <v>0.0</v>
      </c>
      <c r="Y69" s="7">
        <f>Parameters!$F$8*(1-Parameters!$F$9)*(D69+E69)</f>
        <v>0.0003777893186295722</v>
      </c>
      <c r="Z69" s="7">
        <f>POWER(1/(1+Parameters!$F$32),A69-1)*(M69-N69)</f>
        <v>-0.00011157527649567693</v>
      </c>
    </row>
    <row r="70" spans="1:26">
      <c r="A70" s="7">
        <v>26</v>
      </c>
      <c r="B70" s="7">
        <f>0</f>
        <v>0</v>
      </c>
      <c r="C70" s="7">
        <f>X69+B70</f>
        <v>0.0</v>
      </c>
      <c r="D70" s="7">
        <f>Y69</f>
        <v>0.0003777893186295722</v>
      </c>
      <c r="E70" s="7">
        <f>Parameters!$F$6*C70</f>
        <v>0.0</v>
      </c>
      <c r="F70" s="7">
        <f>IF(Parameters!$F$5=1,E70,0)</f>
        <v>0.0</v>
      </c>
      <c r="G70" s="7">
        <f>Parameters!$F$27*G69+F70</f>
        <v>0.0</v>
      </c>
      <c r="H70" s="7">
        <f>IF(AND(Parameters!$F$5=1,Parameters!$F$26=1),SUMPRODUCT(--($A$45:A70&lt;A70),--(MOD(A70-$A$45:A70,Parameters!$F$28)=0),$F$45:F70,POWER(Parameters!$F$27,IF(A70-$A$45:A70=0,1,A70-$A$45:A70))),0)</f>
        <v>0.0</v>
      </c>
      <c r="I70" s="7">
        <f>Parameters!$F$23*I69+B70*Parameters!$F$22</f>
        <v>0.0</v>
      </c>
      <c r="J70" s="7">
        <f>E70*Parameters!$F$14*(1-Parameters!$F$15)</f>
        <v>0.0</v>
      </c>
      <c r="K70" s="7">
        <f>H70*Parameters!$F$29</f>
        <v>0.0</v>
      </c>
      <c r="L70" s="7">
        <f>I70*Parameters!$F$24</f>
        <v>0.0</v>
      </c>
      <c r="M70" s="7">
        <f>J70+K70+L70</f>
        <v>0.0</v>
      </c>
      <c r="N70" s="7">
        <f>C70*Parameters!$F$17+D70*Parameters!$F$18+E70*Parameters!$F$16+I70*Parameters!$F$25+G70*Parameters!$F$30</f>
        <v>0.00011333679558887165</v>
      </c>
      <c r="O70" s="7">
        <f>0</f>
        <v>0</v>
      </c>
      <c r="P70" s="7">
        <f>M70-N70-O70</f>
        <v>-0.00011333679558887165</v>
      </c>
      <c r="Q70" s="7">
        <f>0</f>
        <v>0</v>
      </c>
      <c r="R70" s="7">
        <f>P70-Q70</f>
        <v>-0.00011333679558887165</v>
      </c>
      <c r="S70" s="7">
        <f>IF(A70&lt;1+Parameters!$F$31,0,INDEX($M$45:$M$80,A70-Parameters!$F$31))</f>
        <v>0.0</v>
      </c>
      <c r="T70" s="7">
        <f>T69+M70-S70</f>
        <v>0.0</v>
      </c>
      <c r="U70" s="7">
        <f>S70-N70-O70-Q70</f>
        <v>-0.00011333679558887165</v>
      </c>
      <c r="V70" s="7">
        <f>V69+U70</f>
        <v>1.4804533471823553</v>
      </c>
      <c r="W70" s="7">
        <f>(1-Parameters!$F$7)*(C70-E70)+(1-Parameters!$F$8)*(D70+E70)</f>
        <v>7.555786372591442e-05</v>
      </c>
      <c r="X70" s="7">
        <f>Parameters!$F$7*(C70-E70)+Parameters!$F$8*Parameters!$F$9*(D70+E70)</f>
        <v>0.0</v>
      </c>
      <c r="Y70" s="7">
        <f>Parameters!$F$8*(1-Parameters!$F$9)*(D70+E70)</f>
        <v>0.00030223145490365774</v>
      </c>
      <c r="Z70" s="7">
        <f>POWER(1/(1+Parameters!$F$32),A70-1)*(M70-N70)</f>
        <v>-8.837645663023915e-05</v>
      </c>
    </row>
    <row r="71" spans="1:26">
      <c r="A71" s="7">
        <v>27</v>
      </c>
      <c r="B71" s="7">
        <f>0</f>
        <v>0</v>
      </c>
      <c r="C71" s="7">
        <f>X70+B71</f>
        <v>0.0</v>
      </c>
      <c r="D71" s="7">
        <f>Y70</f>
        <v>0.00030223145490365774</v>
      </c>
      <c r="E71" s="7">
        <f>Parameters!$F$6*C71</f>
        <v>0.0</v>
      </c>
      <c r="F71" s="7">
        <f>IF(Parameters!$F$5=1,E71,0)</f>
        <v>0.0</v>
      </c>
      <c r="G71" s="7">
        <f>Parameters!$F$27*G70+F71</f>
        <v>0.0</v>
      </c>
      <c r="H71" s="7">
        <f>IF(AND(Parameters!$F$5=1,Parameters!$F$26=1),SUMPRODUCT(--($A$45:A71&lt;A71),--(MOD(A71-$A$45:A71,Parameters!$F$28)=0),$F$45:F71,POWER(Parameters!$F$27,IF(A71-$A$45:A71=0,1,A71-$A$45:A71))),0)</f>
        <v>0.0</v>
      </c>
      <c r="I71" s="7">
        <f>Parameters!$F$23*I70+B71*Parameters!$F$22</f>
        <v>0.0</v>
      </c>
      <c r="J71" s="7">
        <f>E71*Parameters!$F$14*(1-Parameters!$F$15)</f>
        <v>0.0</v>
      </c>
      <c r="K71" s="7">
        <f>H71*Parameters!$F$29</f>
        <v>0.0</v>
      </c>
      <c r="L71" s="7">
        <f>I71*Parameters!$F$24</f>
        <v>0.0</v>
      </c>
      <c r="M71" s="7">
        <f>J71+K71+L71</f>
        <v>0.0</v>
      </c>
      <c r="N71" s="7">
        <f>C71*Parameters!$F$17+D71*Parameters!$F$18+E71*Parameters!$F$16+I71*Parameters!$F$25+G71*Parameters!$F$30</f>
        <v>9.066943647109732e-05</v>
      </c>
      <c r="O71" s="7">
        <f>0</f>
        <v>0</v>
      </c>
      <c r="P71" s="7">
        <f>M71-N71-O71</f>
        <v>-9.066943647109732e-05</v>
      </c>
      <c r="Q71" s="7">
        <f>0</f>
        <v>0</v>
      </c>
      <c r="R71" s="7">
        <f>P71-Q71</f>
        <v>-9.066943647109732e-05</v>
      </c>
      <c r="S71" s="7">
        <f>IF(A71&lt;1+Parameters!$F$31,0,INDEX($M$45:$M$80,A71-Parameters!$F$31))</f>
        <v>0.0</v>
      </c>
      <c r="T71" s="7">
        <f>T70+M71-S71</f>
        <v>0.0</v>
      </c>
      <c r="U71" s="7">
        <f>S71-N71-O71-Q71</f>
        <v>-9.066943647109732e-05</v>
      </c>
      <c r="V71" s="7">
        <f>V70+U71</f>
        <v>1.4803626777458843</v>
      </c>
      <c r="W71" s="7">
        <f>(1-Parameters!$F$7)*(C71-E71)+(1-Parameters!$F$8)*(D71+E71)</f>
        <v>6.044629098073153e-05</v>
      </c>
      <c r="X71" s="7">
        <f>Parameters!$F$7*(C71-E71)+Parameters!$F$8*Parameters!$F$9*(D71+E71)</f>
        <v>0.0</v>
      </c>
      <c r="Y71" s="7">
        <f>Parameters!$F$8*(1-Parameters!$F$9)*(D71+E71)</f>
        <v>0.0002417851639229262</v>
      </c>
      <c r="Z71" s="7">
        <f>POWER(1/(1+Parameters!$F$32),A71-1)*(M71-N71)</f>
        <v>-7.000115376652607e-05</v>
      </c>
    </row>
    <row r="72" spans="1:26">
      <c r="A72" s="7">
        <v>28</v>
      </c>
      <c r="B72" s="7">
        <f>0</f>
        <v>0</v>
      </c>
      <c r="C72" s="7">
        <f>X71+B72</f>
        <v>0.0</v>
      </c>
      <c r="D72" s="7">
        <f>Y71</f>
        <v>0.0002417851639229262</v>
      </c>
      <c r="E72" s="7">
        <f>Parameters!$F$6*C72</f>
        <v>0.0</v>
      </c>
      <c r="F72" s="7">
        <f>IF(Parameters!$F$5=1,E72,0)</f>
        <v>0.0</v>
      </c>
      <c r="G72" s="7">
        <f>Parameters!$F$27*G71+F72</f>
        <v>0.0</v>
      </c>
      <c r="H72" s="7">
        <f>IF(AND(Parameters!$F$5=1,Parameters!$F$26=1),SUMPRODUCT(--($A$45:A72&lt;A72),--(MOD(A72-$A$45:A72,Parameters!$F$28)=0),$F$45:F72,POWER(Parameters!$F$27,IF(A72-$A$45:A72=0,1,A72-$A$45:A72))),0)</f>
        <v>0.0</v>
      </c>
      <c r="I72" s="7">
        <f>Parameters!$F$23*I71+B72*Parameters!$F$22</f>
        <v>0.0</v>
      </c>
      <c r="J72" s="7">
        <f>E72*Parameters!$F$14*(1-Parameters!$F$15)</f>
        <v>0.0</v>
      </c>
      <c r="K72" s="7">
        <f>H72*Parameters!$F$29</f>
        <v>0.0</v>
      </c>
      <c r="L72" s="7">
        <f>I72*Parameters!$F$24</f>
        <v>0.0</v>
      </c>
      <c r="M72" s="7">
        <f>J72+K72+L72</f>
        <v>0.0</v>
      </c>
      <c r="N72" s="7">
        <f>C72*Parameters!$F$17+D72*Parameters!$F$18+E72*Parameters!$F$16+I72*Parameters!$F$25+G72*Parameters!$F$30</f>
        <v>7.253554917687786e-05</v>
      </c>
      <c r="O72" s="7">
        <f>0</f>
        <v>0</v>
      </c>
      <c r="P72" s="7">
        <f>M72-N72-O72</f>
        <v>-7.253554917687786e-05</v>
      </c>
      <c r="Q72" s="7">
        <f>0</f>
        <v>0</v>
      </c>
      <c r="R72" s="7">
        <f>P72-Q72</f>
        <v>-7.253554917687786e-05</v>
      </c>
      <c r="S72" s="7">
        <f>IF(A72&lt;1+Parameters!$F$31,0,INDEX($M$45:$M$80,A72-Parameters!$F$31))</f>
        <v>0.0</v>
      </c>
      <c r="T72" s="7">
        <f>T71+M72-S72</f>
        <v>0.0</v>
      </c>
      <c r="U72" s="7">
        <f>S72-N72-O72-Q72</f>
        <v>-7.253554917687786e-05</v>
      </c>
      <c r="V72" s="7">
        <f>V71+U72</f>
        <v>1.4802901421967074</v>
      </c>
      <c r="W72" s="7">
        <f>(1-Parameters!$F$7)*(C72-E72)+(1-Parameters!$F$8)*(D72+E72)</f>
        <v>4.835703278458523e-05</v>
      </c>
      <c r="X72" s="7">
        <f>Parameters!$F$7*(C72-E72)+Parameters!$F$8*Parameters!$F$9*(D72+E72)</f>
        <v>0.0</v>
      </c>
      <c r="Y72" s="7">
        <f>Parameters!$F$8*(1-Parameters!$F$9)*(D72+E72)</f>
        <v>0.00019342813113834098</v>
      </c>
      <c r="Z72" s="7">
        <f>POWER(1/(1+Parameters!$F$32),A72-1)*(M72-N72)</f>
        <v>-5.544645842893154e-05</v>
      </c>
    </row>
    <row r="73" spans="1:26">
      <c r="A73" s="7">
        <v>29</v>
      </c>
      <c r="B73" s="7">
        <f>0</f>
        <v>0</v>
      </c>
      <c r="C73" s="7">
        <f>X72+B73</f>
        <v>0.0</v>
      </c>
      <c r="D73" s="7">
        <f>Y72</f>
        <v>0.00019342813113834098</v>
      </c>
      <c r="E73" s="7">
        <f>Parameters!$F$6*C73</f>
        <v>0.0</v>
      </c>
      <c r="F73" s="7">
        <f>IF(Parameters!$F$5=1,E73,0)</f>
        <v>0.0</v>
      </c>
      <c r="G73" s="7">
        <f>Parameters!$F$27*G72+F73</f>
        <v>0.0</v>
      </c>
      <c r="H73" s="7">
        <f>IF(AND(Parameters!$F$5=1,Parameters!$F$26=1),SUMPRODUCT(--($A$45:A73&lt;A73),--(MOD(A73-$A$45:A73,Parameters!$F$28)=0),$F$45:F73,POWER(Parameters!$F$27,IF(A73-$A$45:A73=0,1,A73-$A$45:A73))),0)</f>
        <v>0.0</v>
      </c>
      <c r="I73" s="7">
        <f>Parameters!$F$23*I72+B73*Parameters!$F$22</f>
        <v>0.0</v>
      </c>
      <c r="J73" s="7">
        <f>E73*Parameters!$F$14*(1-Parameters!$F$15)</f>
        <v>0.0</v>
      </c>
      <c r="K73" s="7">
        <f>H73*Parameters!$F$29</f>
        <v>0.0</v>
      </c>
      <c r="L73" s="7">
        <f>I73*Parameters!$F$24</f>
        <v>0.0</v>
      </c>
      <c r="M73" s="7">
        <f>J73+K73+L73</f>
        <v>0.0</v>
      </c>
      <c r="N73" s="7">
        <f>C73*Parameters!$F$17+D73*Parameters!$F$18+E73*Parameters!$F$16+I73*Parameters!$F$25+G73*Parameters!$F$30</f>
        <v>5.802843934150229e-05</v>
      </c>
      <c r="O73" s="7">
        <f>0</f>
        <v>0</v>
      </c>
      <c r="P73" s="7">
        <f>M73-N73-O73</f>
        <v>-5.802843934150229e-05</v>
      </c>
      <c r="Q73" s="7">
        <f>0</f>
        <v>0</v>
      </c>
      <c r="R73" s="7">
        <f>P73-Q73</f>
        <v>-5.802843934150229e-05</v>
      </c>
      <c r="S73" s="7">
        <f>IF(A73&lt;1+Parameters!$F$31,0,INDEX($M$45:$M$80,A73-Parameters!$F$31))</f>
        <v>0.0</v>
      </c>
      <c r="T73" s="7">
        <f>T72+M73-S73</f>
        <v>0.0</v>
      </c>
      <c r="U73" s="7">
        <f>S73-N73-O73-Q73</f>
        <v>-5.802843934150229e-05</v>
      </c>
      <c r="V73" s="7">
        <f>V72+U73</f>
        <v>1.480232113757366</v>
      </c>
      <c r="W73" s="7">
        <f>(1-Parameters!$F$7)*(C73-E73)+(1-Parameters!$F$8)*(D73+E73)</f>
        <v>3.868562622766819e-05</v>
      </c>
      <c r="X73" s="7">
        <f>Parameters!$F$7*(C73-E73)+Parameters!$F$8*Parameters!$F$9*(D73+E73)</f>
        <v>0.0</v>
      </c>
      <c r="Y73" s="7">
        <f>Parameters!$F$8*(1-Parameters!$F$9)*(D73+E73)</f>
        <v>0.0001547425049106728</v>
      </c>
      <c r="Z73" s="7">
        <f>POWER(1/(1+Parameters!$F$32),A73-1)*(M73-N73)</f>
        <v>-4.391798687440122e-05</v>
      </c>
    </row>
    <row r="74" spans="1:26">
      <c r="A74" s="7">
        <v>30</v>
      </c>
      <c r="B74" s="7">
        <f>0</f>
        <v>0</v>
      </c>
      <c r="C74" s="7">
        <f>X73+B74</f>
        <v>0.0</v>
      </c>
      <c r="D74" s="7">
        <f>Y73</f>
        <v>0.0001547425049106728</v>
      </c>
      <c r="E74" s="7">
        <f>Parameters!$F$6*C74</f>
        <v>0.0</v>
      </c>
      <c r="F74" s="7">
        <f>IF(Parameters!$F$5=1,E74,0)</f>
        <v>0.0</v>
      </c>
      <c r="G74" s="7">
        <f>Parameters!$F$27*G73+F74</f>
        <v>0.0</v>
      </c>
      <c r="H74" s="7">
        <f>IF(AND(Parameters!$F$5=1,Parameters!$F$26=1),SUMPRODUCT(--($A$45:A74&lt;A74),--(MOD(A74-$A$45:A74,Parameters!$F$28)=0),$F$45:F74,POWER(Parameters!$F$27,IF(A74-$A$45:A74=0,1,A74-$A$45:A74))),0)</f>
        <v>0.0</v>
      </c>
      <c r="I74" s="7">
        <f>Parameters!$F$23*I73+B74*Parameters!$F$22</f>
        <v>0.0</v>
      </c>
      <c r="J74" s="7">
        <f>E74*Parameters!$F$14*(1-Parameters!$F$15)</f>
        <v>0.0</v>
      </c>
      <c r="K74" s="7">
        <f>H74*Parameters!$F$29</f>
        <v>0.0</v>
      </c>
      <c r="L74" s="7">
        <f>I74*Parameters!$F$24</f>
        <v>0.0</v>
      </c>
      <c r="M74" s="7">
        <f>J74+K74+L74</f>
        <v>0.0</v>
      </c>
      <c r="N74" s="7">
        <f>C74*Parameters!$F$17+D74*Parameters!$F$18+E74*Parameters!$F$16+I74*Parameters!$F$25+G74*Parameters!$F$30</f>
        <v>4.642275147320184e-05</v>
      </c>
      <c r="O74" s="7">
        <f>0</f>
        <v>0</v>
      </c>
      <c r="P74" s="7">
        <f>M74-N74-O74</f>
        <v>-4.642275147320184e-05</v>
      </c>
      <c r="Q74" s="7">
        <f>0</f>
        <v>0</v>
      </c>
      <c r="R74" s="7">
        <f>P74-Q74</f>
        <v>-4.642275147320184e-05</v>
      </c>
      <c r="S74" s="7">
        <f>IF(A74&lt;1+Parameters!$F$31,0,INDEX($M$45:$M$80,A74-Parameters!$F$31))</f>
        <v>0.0</v>
      </c>
      <c r="T74" s="7">
        <f>T73+M74-S74</f>
        <v>0.0</v>
      </c>
      <c r="U74" s="7">
        <f>S74-N74-O74-Q74</f>
        <v>-4.642275147320184e-05</v>
      </c>
      <c r="V74" s="7">
        <f>V73+U74</f>
        <v>1.4801856910058928</v>
      </c>
      <c r="W74" s="7">
        <f>(1-Parameters!$F$7)*(C74-E74)+(1-Parameters!$F$8)*(D74+E74)</f>
        <v>3.094850098213455e-05</v>
      </c>
      <c r="X74" s="7">
        <f>Parameters!$F$7*(C74-E74)+Parameters!$F$8*Parameters!$F$9*(D74+E74)</f>
        <v>0.0</v>
      </c>
      <c r="Y74" s="7">
        <f>Parameters!$F$8*(1-Parameters!$F$9)*(D74+E74)</f>
        <v>0.00012379400392853823</v>
      </c>
      <c r="Z74" s="7">
        <f>POWER(1/(1+Parameters!$F$32),A74-1)*(M74-N74)</f>
        <v>-3.4786524256951465e-05</v>
      </c>
    </row>
    <row r="75" spans="1:26">
      <c r="A75" s="7">
        <v>31</v>
      </c>
      <c r="B75" s="7">
        <f>0</f>
        <v>0</v>
      </c>
      <c r="C75" s="7">
        <f>X74+B75</f>
        <v>0.0</v>
      </c>
      <c r="D75" s="7">
        <f>Y74</f>
        <v>0.00012379400392853823</v>
      </c>
      <c r="E75" s="7">
        <f>Parameters!$F$6*C75</f>
        <v>0.0</v>
      </c>
      <c r="F75" s="7">
        <f>IF(Parameters!$F$5=1,E75,0)</f>
        <v>0.0</v>
      </c>
      <c r="G75" s="7">
        <f>Parameters!$F$27*G74+F75</f>
        <v>0.0</v>
      </c>
      <c r="H75" s="7">
        <f>IF(AND(Parameters!$F$5=1,Parameters!$F$26=1),SUMPRODUCT(--($A$45:A75&lt;A75),--(MOD(A75-$A$45:A75,Parameters!$F$28)=0),$F$45:F75,POWER(Parameters!$F$27,IF(A75-$A$45:A75=0,1,A75-$A$45:A75))),0)</f>
        <v>0.0</v>
      </c>
      <c r="I75" s="7">
        <f>Parameters!$F$23*I74+B75*Parameters!$F$22</f>
        <v>0.0</v>
      </c>
      <c r="J75" s="7">
        <f>E75*Parameters!$F$14*(1-Parameters!$F$15)</f>
        <v>0.0</v>
      </c>
      <c r="K75" s="7">
        <f>H75*Parameters!$F$29</f>
        <v>0.0</v>
      </c>
      <c r="L75" s="7">
        <f>I75*Parameters!$F$24</f>
        <v>0.0</v>
      </c>
      <c r="M75" s="7">
        <f>J75+K75+L75</f>
        <v>0.0</v>
      </c>
      <c r="N75" s="7">
        <f>C75*Parameters!$F$17+D75*Parameters!$F$18+E75*Parameters!$F$16+I75*Parameters!$F$25+G75*Parameters!$F$30</f>
        <v>3.713820117856147e-05</v>
      </c>
      <c r="O75" s="7">
        <f>0</f>
        <v>0</v>
      </c>
      <c r="P75" s="7">
        <f>M75-N75-O75</f>
        <v>-3.713820117856147e-05</v>
      </c>
      <c r="Q75" s="7">
        <f>0</f>
        <v>0</v>
      </c>
      <c r="R75" s="7">
        <f>P75-Q75</f>
        <v>-3.713820117856147e-05</v>
      </c>
      <c r="S75" s="7">
        <f>IF(A75&lt;1+Parameters!$F$31,0,INDEX($M$45:$M$80,A75-Parameters!$F$31))</f>
        <v>0.0</v>
      </c>
      <c r="T75" s="7">
        <f>T74+M75-S75</f>
        <v>0.0</v>
      </c>
      <c r="U75" s="7">
        <f>S75-N75-O75-Q75</f>
        <v>-3.713820117856147e-05</v>
      </c>
      <c r="V75" s="7">
        <f>V74+U75</f>
        <v>1.4801485528047142</v>
      </c>
      <c r="W75" s="7">
        <f>(1-Parameters!$F$7)*(C75-E75)+(1-Parameters!$F$8)*(D75+E75)</f>
        <v>2.475880078570764e-05</v>
      </c>
      <c r="X75" s="7">
        <f>Parameters!$F$7*(C75-E75)+Parameters!$F$8*Parameters!$F$9*(D75+E75)</f>
        <v>0.0</v>
      </c>
      <c r="Y75" s="7">
        <f>Parameters!$F$8*(1-Parameters!$F$9)*(D75+E75)</f>
        <v>9.903520314283059e-05</v>
      </c>
      <c r="Z75" s="7">
        <f>POWER(1/(1+Parameters!$F$32),A75-1)*(M75-N75)</f>
        <v>-2.7553682579763533e-05</v>
      </c>
    </row>
    <row r="76" spans="1:26">
      <c r="A76" s="7">
        <v>32</v>
      </c>
      <c r="B76" s="7">
        <f>0</f>
        <v>0</v>
      </c>
      <c r="C76" s="7">
        <f>X75+B76</f>
        <v>0.0</v>
      </c>
      <c r="D76" s="7">
        <f>Y75</f>
        <v>9.903520314283059e-05</v>
      </c>
      <c r="E76" s="7">
        <f>Parameters!$F$6*C76</f>
        <v>0.0</v>
      </c>
      <c r="F76" s="7">
        <f>IF(Parameters!$F$5=1,E76,0)</f>
        <v>0.0</v>
      </c>
      <c r="G76" s="7">
        <f>Parameters!$F$27*G75+F76</f>
        <v>0.0</v>
      </c>
      <c r="H76" s="7">
        <f>IF(AND(Parameters!$F$5=1,Parameters!$F$26=1),SUMPRODUCT(--($A$45:A76&lt;A76),--(MOD(A76-$A$45:A76,Parameters!$F$28)=0),$F$45:F76,POWER(Parameters!$F$27,IF(A76-$A$45:A76=0,1,A76-$A$45:A76))),0)</f>
        <v>0.0</v>
      </c>
      <c r="I76" s="7">
        <f>Parameters!$F$23*I75+B76*Parameters!$F$22</f>
        <v>0.0</v>
      </c>
      <c r="J76" s="7">
        <f>E76*Parameters!$F$14*(1-Parameters!$F$15)</f>
        <v>0.0</v>
      </c>
      <c r="K76" s="7">
        <f>H76*Parameters!$F$29</f>
        <v>0.0</v>
      </c>
      <c r="L76" s="7">
        <f>I76*Parameters!$F$24</f>
        <v>0.0</v>
      </c>
      <c r="M76" s="7">
        <f>J76+K76+L76</f>
        <v>0.0</v>
      </c>
      <c r="N76" s="7">
        <f>C76*Parameters!$F$17+D76*Parameters!$F$18+E76*Parameters!$F$16+I76*Parameters!$F$25+G76*Parameters!$F$30</f>
        <v>2.9710560942849176e-05</v>
      </c>
      <c r="O76" s="7">
        <f>0</f>
        <v>0</v>
      </c>
      <c r="P76" s="7">
        <f>M76-N76-O76</f>
        <v>-2.9710560942849176e-05</v>
      </c>
      <c r="Q76" s="7">
        <f>0</f>
        <v>0</v>
      </c>
      <c r="R76" s="7">
        <f>P76-Q76</f>
        <v>-2.9710560942849176e-05</v>
      </c>
      <c r="S76" s="7">
        <f>IF(A76&lt;1+Parameters!$F$31,0,INDEX($M$45:$M$80,A76-Parameters!$F$31))</f>
        <v>0.0</v>
      </c>
      <c r="T76" s="7">
        <f>T75+M76-S76</f>
        <v>0.0</v>
      </c>
      <c r="U76" s="7">
        <f>S76-N76-O76-Q76</f>
        <v>-2.9710560942849176e-05</v>
      </c>
      <c r="V76" s="7">
        <f>V75+U76</f>
        <v>1.4801188422437714</v>
      </c>
      <c r="W76" s="7">
        <f>(1-Parameters!$F$7)*(C76-E76)+(1-Parameters!$F$8)*(D76+E76)</f>
        <v>1.9807040628566113e-05</v>
      </c>
      <c r="X76" s="7">
        <f>Parameters!$F$7*(C76-E76)+Parameters!$F$8*Parameters!$F$9*(D76+E76)</f>
        <v>0.0</v>
      </c>
      <c r="Y76" s="7">
        <f>Parameters!$F$8*(1-Parameters!$F$9)*(D76+E76)</f>
        <v>7.922816251426448e-05</v>
      </c>
      <c r="Z76" s="7">
        <f>POWER(1/(1+Parameters!$F$32),A76-1)*(M76-N76)</f>
        <v>-2.182469907308003e-05</v>
      </c>
    </row>
    <row r="77" spans="1:26">
      <c r="A77" s="7">
        <v>33</v>
      </c>
      <c r="B77" s="7">
        <f>0</f>
        <v>0</v>
      </c>
      <c r="C77" s="7">
        <f>X76+B77</f>
        <v>0.0</v>
      </c>
      <c r="D77" s="7">
        <f>Y76</f>
        <v>7.922816251426448e-05</v>
      </c>
      <c r="E77" s="7">
        <f>Parameters!$F$6*C77</f>
        <v>0.0</v>
      </c>
      <c r="F77" s="7">
        <f>IF(Parameters!$F$5=1,E77,0)</f>
        <v>0.0</v>
      </c>
      <c r="G77" s="7">
        <f>Parameters!$F$27*G76+F77</f>
        <v>0.0</v>
      </c>
      <c r="H77" s="7">
        <f>IF(AND(Parameters!$F$5=1,Parameters!$F$26=1),SUMPRODUCT(--($A$45:A77&lt;A77),--(MOD(A77-$A$45:A77,Parameters!$F$28)=0),$F$45:F77,POWER(Parameters!$F$27,IF(A77-$A$45:A77=0,1,A77-$A$45:A77))),0)</f>
        <v>0.0</v>
      </c>
      <c r="I77" s="7">
        <f>Parameters!$F$23*I76+B77*Parameters!$F$22</f>
        <v>0.0</v>
      </c>
      <c r="J77" s="7">
        <f>E77*Parameters!$F$14*(1-Parameters!$F$15)</f>
        <v>0.0</v>
      </c>
      <c r="K77" s="7">
        <f>H77*Parameters!$F$29</f>
        <v>0.0</v>
      </c>
      <c r="L77" s="7">
        <f>I77*Parameters!$F$24</f>
        <v>0.0</v>
      </c>
      <c r="M77" s="7">
        <f>J77+K77+L77</f>
        <v>0.0</v>
      </c>
      <c r="N77" s="7">
        <f>C77*Parameters!$F$17+D77*Parameters!$F$18+E77*Parameters!$F$16+I77*Parameters!$F$25+G77*Parameters!$F$30</f>
        <v>2.3768448754279342e-05</v>
      </c>
      <c r="O77" s="7">
        <f>0</f>
        <v>0</v>
      </c>
      <c r="P77" s="7">
        <f>M77-N77-O77</f>
        <v>-2.3768448754279342e-05</v>
      </c>
      <c r="Q77" s="7">
        <f>0</f>
        <v>0</v>
      </c>
      <c r="R77" s="7">
        <f>P77-Q77</f>
        <v>-2.3768448754279342e-05</v>
      </c>
      <c r="S77" s="7">
        <f>IF(A77&lt;1+Parameters!$F$31,0,INDEX($M$45:$M$80,A77-Parameters!$F$31))</f>
        <v>0.0</v>
      </c>
      <c r="T77" s="7">
        <f>T76+M77-S77</f>
        <v>0.0</v>
      </c>
      <c r="U77" s="7">
        <f>S77-N77-O77-Q77</f>
        <v>-2.3768448754279342e-05</v>
      </c>
      <c r="V77" s="7">
        <f>V76+U77</f>
        <v>1.4800950737950171</v>
      </c>
      <c r="W77" s="7">
        <f>(1-Parameters!$F$7)*(C77-E77)+(1-Parameters!$F$8)*(D77+E77)</f>
        <v>1.5845632502852893e-05</v>
      </c>
      <c r="X77" s="7">
        <f>Parameters!$F$7*(C77-E77)+Parameters!$F$8*Parameters!$F$9*(D77+E77)</f>
        <v>0.0</v>
      </c>
      <c r="Y77" s="7">
        <f>Parameters!$F$8*(1-Parameters!$F$9)*(D77+E77)</f>
        <v>6.338253001141159e-05</v>
      </c>
      <c r="Z77" s="7">
        <f>POWER(1/(1+Parameters!$F$32),A77-1)*(M77-N77)</f>
        <v>-1.7286890354914877e-05</v>
      </c>
    </row>
    <row r="78" spans="1:26">
      <c r="A78" s="7">
        <v>34</v>
      </c>
      <c r="B78" s="7">
        <f>0</f>
        <v>0</v>
      </c>
      <c r="C78" s="7">
        <f>X77+B78</f>
        <v>0.0</v>
      </c>
      <c r="D78" s="7">
        <f>Y77</f>
        <v>6.338253001141159e-05</v>
      </c>
      <c r="E78" s="7">
        <f>Parameters!$F$6*C78</f>
        <v>0.0</v>
      </c>
      <c r="F78" s="7">
        <f>IF(Parameters!$F$5=1,E78,0)</f>
        <v>0.0</v>
      </c>
      <c r="G78" s="7">
        <f>Parameters!$F$27*G77+F78</f>
        <v>0.0</v>
      </c>
      <c r="H78" s="7">
        <f>IF(AND(Parameters!$F$5=1,Parameters!$F$26=1),SUMPRODUCT(--($A$45:A78&lt;A78),--(MOD(A78-$A$45:A78,Parameters!$F$28)=0),$F$45:F78,POWER(Parameters!$F$27,IF(A78-$A$45:A78=0,1,A78-$A$45:A78))),0)</f>
        <v>0.0</v>
      </c>
      <c r="I78" s="7">
        <f>Parameters!$F$23*I77+B78*Parameters!$F$22</f>
        <v>0.0</v>
      </c>
      <c r="J78" s="7">
        <f>E78*Parameters!$F$14*(1-Parameters!$F$15)</f>
        <v>0.0</v>
      </c>
      <c r="K78" s="7">
        <f>H78*Parameters!$F$29</f>
        <v>0.0</v>
      </c>
      <c r="L78" s="7">
        <f>I78*Parameters!$F$24</f>
        <v>0.0</v>
      </c>
      <c r="M78" s="7">
        <f>J78+K78+L78</f>
        <v>0.0</v>
      </c>
      <c r="N78" s="7">
        <f>C78*Parameters!$F$17+D78*Parameters!$F$18+E78*Parameters!$F$16+I78*Parameters!$F$25+G78*Parameters!$F$30</f>
        <v>1.9014759003423474e-05</v>
      </c>
      <c r="O78" s="7">
        <f>0</f>
        <v>0</v>
      </c>
      <c r="P78" s="7">
        <f>M78-N78-O78</f>
        <v>-1.9014759003423474e-05</v>
      </c>
      <c r="Q78" s="7">
        <f>0</f>
        <v>0</v>
      </c>
      <c r="R78" s="7">
        <f>P78-Q78</f>
        <v>-1.9014759003423474e-05</v>
      </c>
      <c r="S78" s="7">
        <f>IF(A78&lt;1+Parameters!$F$31,0,INDEX($M$45:$M$80,A78-Parameters!$F$31))</f>
        <v>0.0</v>
      </c>
      <c r="T78" s="7">
        <f>T77+M78-S78</f>
        <v>0.0</v>
      </c>
      <c r="U78" s="7">
        <f>S78-N78-O78-Q78</f>
        <v>-1.9014759003423474e-05</v>
      </c>
      <c r="V78" s="7">
        <f>V77+U78</f>
        <v>1.4800760590360138</v>
      </c>
      <c r="W78" s="7">
        <f>(1-Parameters!$F$7)*(C78-E78)+(1-Parameters!$F$8)*(D78+E78)</f>
        <v>1.2676506002282314e-05</v>
      </c>
      <c r="X78" s="7">
        <f>Parameters!$F$7*(C78-E78)+Parameters!$F$8*Parameters!$F$9*(D78+E78)</f>
        <v>0.0</v>
      </c>
      <c r="Y78" s="7">
        <f>Parameters!$F$8*(1-Parameters!$F$9)*(D78+E78)</f>
        <v>5.070602400912927e-05</v>
      </c>
      <c r="Z78" s="7">
        <f>POWER(1/(1+Parameters!$F$32),A78-1)*(M78-N78)</f>
        <v>-1.3692586419734556e-05</v>
      </c>
    </row>
    <row r="79" spans="1:26">
      <c r="A79" s="7">
        <v>35</v>
      </c>
      <c r="B79" s="7">
        <f>0</f>
        <v>0</v>
      </c>
      <c r="C79" s="7">
        <f>X78+B79</f>
        <v>0.0</v>
      </c>
      <c r="D79" s="7">
        <f>Y78</f>
        <v>5.070602400912927e-05</v>
      </c>
      <c r="E79" s="7">
        <f>Parameters!$F$6*C79</f>
        <v>0.0</v>
      </c>
      <c r="F79" s="7">
        <f>IF(Parameters!$F$5=1,E79,0)</f>
        <v>0.0</v>
      </c>
      <c r="G79" s="7">
        <f>Parameters!$F$27*G78+F79</f>
        <v>0.0</v>
      </c>
      <c r="H79" s="7">
        <f>IF(AND(Parameters!$F$5=1,Parameters!$F$26=1),SUMPRODUCT(--($A$45:A79&lt;A79),--(MOD(A79-$A$45:A79,Parameters!$F$28)=0),$F$45:F79,POWER(Parameters!$F$27,IF(A79-$A$45:A79=0,1,A79-$A$45:A79))),0)</f>
        <v>0.0</v>
      </c>
      <c r="I79" s="7">
        <f>Parameters!$F$23*I78+B79*Parameters!$F$22</f>
        <v>0.0</v>
      </c>
      <c r="J79" s="7">
        <f>E79*Parameters!$F$14*(1-Parameters!$F$15)</f>
        <v>0.0</v>
      </c>
      <c r="K79" s="7">
        <f>H79*Parameters!$F$29</f>
        <v>0.0</v>
      </c>
      <c r="L79" s="7">
        <f>I79*Parameters!$F$24</f>
        <v>0.0</v>
      </c>
      <c r="M79" s="7">
        <f>J79+K79+L79</f>
        <v>0.0</v>
      </c>
      <c r="N79" s="7">
        <f>C79*Parameters!$F$17+D79*Parameters!$F$18+E79*Parameters!$F$16+I79*Parameters!$F$25+G79*Parameters!$F$30</f>
        <v>1.521180720273878e-05</v>
      </c>
      <c r="O79" s="7">
        <f>0</f>
        <v>0</v>
      </c>
      <c r="P79" s="7">
        <f>M79-N79-O79</f>
        <v>-1.521180720273878e-05</v>
      </c>
      <c r="Q79" s="7">
        <f>0</f>
        <v>0</v>
      </c>
      <c r="R79" s="7">
        <f>P79-Q79</f>
        <v>-1.521180720273878e-05</v>
      </c>
      <c r="S79" s="7">
        <f>IF(A79&lt;1+Parameters!$F$31,0,INDEX($M$45:$M$80,A79-Parameters!$F$31))</f>
        <v>0.0</v>
      </c>
      <c r="T79" s="7">
        <f>T78+M79-S79</f>
        <v>0.0</v>
      </c>
      <c r="U79" s="7">
        <f>S79-N79-O79-Q79</f>
        <v>-1.521180720273878e-05</v>
      </c>
      <c r="V79" s="7">
        <f>V78+U79</f>
        <v>1.480060847228811</v>
      </c>
      <c r="W79" s="7">
        <f>(1-Parameters!$F$7)*(C79-E79)+(1-Parameters!$F$8)*(D79+E79)</f>
        <v>1.0141204801825852e-05</v>
      </c>
      <c r="X79" s="7">
        <f>Parameters!$F$7*(C79-E79)+Parameters!$F$8*Parameters!$F$9*(D79+E79)</f>
        <v>0.0</v>
      </c>
      <c r="Y79" s="7">
        <f>Parameters!$F$8*(1-Parameters!$F$9)*(D79+E79)</f>
        <v>4.056481920730342e-05</v>
      </c>
      <c r="Z79" s="7">
        <f>POWER(1/(1+Parameters!$F$32),A79-1)*(M79-N79)</f>
        <v>-1.0845613005730341e-05</v>
      </c>
    </row>
    <row r="80" spans="1:26">
      <c r="A80" s="7">
        <v>36</v>
      </c>
      <c r="B80" s="7">
        <f>0</f>
        <v>0</v>
      </c>
      <c r="C80" s="7">
        <f>X79+B80</f>
        <v>0.0</v>
      </c>
      <c r="D80" s="7">
        <f>Y79</f>
        <v>4.056481920730342e-05</v>
      </c>
      <c r="E80" s="7">
        <f>Parameters!$F$6*C80</f>
        <v>0.0</v>
      </c>
      <c r="F80" s="7">
        <f>IF(Parameters!$F$5=1,E80,0)</f>
        <v>0.0</v>
      </c>
      <c r="G80" s="7">
        <f>Parameters!$F$27*G79+F80</f>
        <v>0.0</v>
      </c>
      <c r="H80" s="7">
        <f>IF(AND(Parameters!$F$5=1,Parameters!$F$26=1),SUMPRODUCT(--($A$45:A80&lt;A80),--(MOD(A80-$A$45:A80,Parameters!$F$28)=0),$F$45:F80,POWER(Parameters!$F$27,IF(A80-$A$45:A80=0,1,A80-$A$45:A80))),0)</f>
        <v>0.0</v>
      </c>
      <c r="I80" s="7">
        <f>Parameters!$F$23*I79+B80*Parameters!$F$22</f>
        <v>0.0</v>
      </c>
      <c r="J80" s="7">
        <f>E80*Parameters!$F$14*(1-Parameters!$F$15)</f>
        <v>0.0</v>
      </c>
      <c r="K80" s="7">
        <f>H80*Parameters!$F$29</f>
        <v>0.0</v>
      </c>
      <c r="L80" s="7">
        <f>I80*Parameters!$F$24</f>
        <v>0.0</v>
      </c>
      <c r="M80" s="7">
        <f>J80+K80+L80</f>
        <v>0.0</v>
      </c>
      <c r="N80" s="7">
        <f>C80*Parameters!$F$17+D80*Parameters!$F$18+E80*Parameters!$F$16+I80*Parameters!$F$25+G80*Parameters!$F$30</f>
        <v>1.2169445762191026e-05</v>
      </c>
      <c r="O80" s="7">
        <f>0</f>
        <v>0</v>
      </c>
      <c r="P80" s="7">
        <f>M80-N80-O80</f>
        <v>-1.2169445762191026e-05</v>
      </c>
      <c r="Q80" s="7">
        <f>0</f>
        <v>0</v>
      </c>
      <c r="R80" s="7">
        <f>P80-Q80</f>
        <v>-1.2169445762191026e-05</v>
      </c>
      <c r="S80" s="7">
        <f>IF(A80&lt;1+Parameters!$F$31,0,INDEX($M$45:$M$80,A80-Parameters!$F$31))</f>
        <v>0.0</v>
      </c>
      <c r="T80" s="7">
        <f>T79+M80-S80</f>
        <v>0.0</v>
      </c>
      <c r="U80" s="7">
        <f>S80-N80-O80-Q80</f>
        <v>-1.2169445762191026e-05</v>
      </c>
      <c r="V80" s="7">
        <f>V79+U80</f>
        <v>1.4800486777830488</v>
      </c>
      <c r="W80" s="7">
        <f>(1-Parameters!$F$7)*(C80-E80)+(1-Parameters!$F$8)*(D80+E80)</f>
        <v>8.112963841460682e-06</v>
      </c>
      <c r="X80" s="7">
        <f>Parameters!$F$7*(C80-E80)+Parameters!$F$8*Parameters!$F$9*(D80+E80)</f>
        <v>0.0</v>
      </c>
      <c r="Y80" s="7">
        <f>Parameters!$F$8*(1-Parameters!$F$9)*(D80+E80)</f>
        <v>3.2451855365842736e-05</v>
      </c>
      <c r="Z80" s="7">
        <f>POWER(1/(1+Parameters!$F$32),A80-1)*(M80-N80)</f>
        <v>-8.590584558994332e-06</v>
      </c>
    </row>
  </sheetData>
  <mergeCells count="3">
    <mergeCell ref="A1:Z1"/>
    <mergeCell ref="A2:Z2"/>
    <mergeCell ref="A43:Z4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Z80"/>
  <sheetViews>
    <sheetView showGridLines="0" zoomScale="85" zoomScaleNormal="85" workbookViewId="0">
      <pane xSplit="4" ySplit="4" topLeftCell="E5" activePane="bottomRight" state="frozen"/>
      <selection pane="topRight" activeCell="E1" sqref="E1"/>
      <selection pane="bottomLeft" activeCell="A5" sqref="A5"/>
      <selection pane="bottomRight"/>
    </sheetView>
  </sheetViews>
  <sheetFormatPr defaultRowHeight="15"/>
  <cols>
    <col min="1" max="1" width="10.7109375" customWidth="1"/>
    <col min="2" max="9" width="19.7109375" customWidth="1"/>
    <col min="10" max="26" width="22.7109375" customWidth="1"/>
  </cols>
  <sheetData>
    <row r="1" spans="1:26">
      <c r="A1" s="1" t="s">
        <v>195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3" t="s">
        <v>163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4" spans="1:26" ht="45" customHeight="1">
      <c r="A4" s="4" t="s">
        <v>164</v>
      </c>
      <c r="B4" s="4" t="s">
        <v>165</v>
      </c>
      <c r="C4" s="4" t="s">
        <v>166</v>
      </c>
      <c r="D4" s="4" t="s">
        <v>167</v>
      </c>
      <c r="E4" s="4" t="s">
        <v>168</v>
      </c>
      <c r="F4" s="4" t="s">
        <v>169</v>
      </c>
      <c r="G4" s="4" t="s">
        <v>170</v>
      </c>
      <c r="H4" s="4" t="s">
        <v>171</v>
      </c>
      <c r="I4" s="4" t="s">
        <v>172</v>
      </c>
      <c r="J4" s="4" t="s">
        <v>173</v>
      </c>
      <c r="K4" s="4" t="s">
        <v>174</v>
      </c>
      <c r="L4" s="4" t="s">
        <v>175</v>
      </c>
      <c r="M4" s="4" t="s">
        <v>176</v>
      </c>
      <c r="N4" s="4" t="s">
        <v>177</v>
      </c>
      <c r="O4" s="4" t="s">
        <v>99</v>
      </c>
      <c r="P4" s="4" t="s">
        <v>178</v>
      </c>
      <c r="Q4" s="4" t="s">
        <v>179</v>
      </c>
      <c r="R4" s="4" t="s">
        <v>180</v>
      </c>
      <c r="S4" s="4" t="s">
        <v>181</v>
      </c>
      <c r="T4" s="4" t="s">
        <v>182</v>
      </c>
      <c r="U4" s="4" t="s">
        <v>183</v>
      </c>
      <c r="V4" s="4" t="s">
        <v>184</v>
      </c>
      <c r="W4" s="4" t="s">
        <v>185</v>
      </c>
      <c r="X4" s="4" t="s">
        <v>186</v>
      </c>
      <c r="Y4" s="4" t="s">
        <v>187</v>
      </c>
      <c r="Z4" s="4" t="s">
        <v>188</v>
      </c>
    </row>
    <row r="5" spans="1:26">
      <c r="A5" s="7">
        <v>1</v>
      </c>
      <c r="B5" s="7">
        <f>Parameters!$G$20</f>
        <v>1000</v>
      </c>
      <c r="C5" s="7">
        <f>B5</f>
        <v>1000</v>
      </c>
      <c r="D5" s="7">
        <f>0</f>
        <v>0.0</v>
      </c>
      <c r="E5" s="7">
        <f>Parameters!$G$6*C5</f>
        <v>100.0</v>
      </c>
      <c r="F5" s="7">
        <f>IF(Parameters!$G$5=1,E5,0)</f>
        <v>0.0</v>
      </c>
      <c r="G5" s="7">
        <f>F5</f>
        <v>0.0</v>
      </c>
      <c r="H5" s="7">
        <f>IF(AND(Parameters!$G$5=1,Parameters!$G$26=1),SUMPRODUCT(--($A$5:A5&lt;A5),--(MOD(A5-$A$5:A5,Parameters!$G$28)=0),$F$5:F5,POWER(Parameters!$G$27,IF(A5-$A$5:A5=0,1,A5-$A$5:A5))),0)</f>
        <v>0.0</v>
      </c>
      <c r="I5" s="7">
        <f>B5*Parameters!$G$22</f>
        <v>0.0</v>
      </c>
      <c r="J5" s="7">
        <f>E5*Parameters!$G$14*(1-Parameters!$G$15)</f>
        <v>1900.0</v>
      </c>
      <c r="K5" s="7">
        <f>H5*Parameters!$G$29</f>
        <v>0.0</v>
      </c>
      <c r="L5" s="7">
        <f>I5*Parameters!$G$24</f>
        <v>0.0</v>
      </c>
      <c r="M5" s="7">
        <f>J5+K5+L5</f>
        <v>1900.0</v>
      </c>
      <c r="N5" s="7">
        <f>C5*Parameters!$G$17+D5*Parameters!$G$18+E5*Parameters!$G$16+I5*Parameters!$G$25+G5*Parameters!$G$30</f>
        <v>300.0</v>
      </c>
      <c r="O5" s="7">
        <f>B5*Parameters!$G$19</f>
        <v>4000</v>
      </c>
      <c r="P5" s="7">
        <f>M5-N5-O5</f>
        <v>-2400.0</v>
      </c>
      <c r="Q5" s="7">
        <f>Parameters!$G$21</f>
        <v>1000</v>
      </c>
      <c r="R5" s="7">
        <f>P5-Q5</f>
        <v>-3400.0</v>
      </c>
      <c r="S5" s="7">
        <f>IF(A5&lt;1+Parameters!$G$31,0,INDEX($M$5:$M$40,A5-Parameters!$G$31))</f>
        <v>0.0</v>
      </c>
      <c r="T5" s="7">
        <f>M5-S5</f>
        <v>1900.0</v>
      </c>
      <c r="U5" s="7">
        <f>S5-N5-O5-Q5</f>
        <v>-5300.0</v>
      </c>
      <c r="V5" s="7">
        <f>U5</f>
        <v>-5300.0</v>
      </c>
      <c r="W5" s="7">
        <f>(1-Parameters!$G$7)*(C5-E5)+(1-Parameters!$G$8)*(D5+E5)</f>
        <v>199.99999999999997</v>
      </c>
      <c r="X5" s="7">
        <f>Parameters!$G$7*(C5-E5)+Parameters!$G$8*Parameters!$G$9*(D5+E5)</f>
        <v>720.0</v>
      </c>
      <c r="Y5" s="7">
        <f>Parameters!$G$8*(1-Parameters!$G$9)*(D5+E5)</f>
        <v>80.0</v>
      </c>
      <c r="Z5" s="7">
        <f>POWER(1/(1+Parameters!$G$32),A5-1)*(M5-N5)</f>
        <v>1600.0</v>
      </c>
    </row>
    <row r="6" spans="1:26">
      <c r="A6" s="7">
        <v>2</v>
      </c>
      <c r="B6" s="7">
        <f>Parameters!$G$20</f>
        <v>1000</v>
      </c>
      <c r="C6" s="7">
        <f>X5+B6</f>
        <v>1720.0</v>
      </c>
      <c r="D6" s="7">
        <f>Y5</f>
        <v>80.00000000000001</v>
      </c>
      <c r="E6" s="7">
        <f>Parameters!$G$6*C6</f>
        <v>172.0</v>
      </c>
      <c r="F6" s="7">
        <f>IF(Parameters!$G$5=1,E6,0)</f>
        <v>0.0</v>
      </c>
      <c r="G6" s="7">
        <f>Parameters!$G$27*G5+F6</f>
        <v>0.0</v>
      </c>
      <c r="H6" s="7">
        <f>IF(AND(Parameters!$G$5=1,Parameters!$G$26=1),SUMPRODUCT(--($A$5:A6&lt;A6),--(MOD(A6-$A$5:A6,Parameters!$G$28)=0),$F$5:F6,POWER(Parameters!$G$27,IF(A6-$A$5:A6=0,1,A6-$A$5:A6))),0)</f>
        <v>0.0</v>
      </c>
      <c r="I6" s="7">
        <f>Parameters!$G$23*I5+B6*Parameters!$G$22</f>
        <v>0.0</v>
      </c>
      <c r="J6" s="7">
        <f>E6*Parameters!$G$14*(1-Parameters!$G$15)</f>
        <v>3268.0</v>
      </c>
      <c r="K6" s="7">
        <f>H6*Parameters!$G$29</f>
        <v>0.0</v>
      </c>
      <c r="L6" s="7">
        <f>I6*Parameters!$G$24</f>
        <v>0.0</v>
      </c>
      <c r="M6" s="7">
        <f>J6+K6+L6</f>
        <v>3268.0</v>
      </c>
      <c r="N6" s="7">
        <f>C6*Parameters!$G$17+D6*Parameters!$G$18+E6*Parameters!$G$16+I6*Parameters!$G$25+G6*Parameters!$G$30</f>
        <v>540.0</v>
      </c>
      <c r="O6" s="7">
        <f>B6*Parameters!$G$19</f>
        <v>4000</v>
      </c>
      <c r="P6" s="7">
        <f>M6-N6-O6</f>
        <v>-1272.0</v>
      </c>
      <c r="Q6" s="7">
        <f>Parameters!$G$21</f>
        <v>1000</v>
      </c>
      <c r="R6" s="7">
        <f>P6-Q6</f>
        <v>-2272.0</v>
      </c>
      <c r="S6" s="7">
        <f>IF(A6&lt;1+Parameters!$G$31,0,INDEX($M$5:$M$40,A6-Parameters!$G$31))</f>
        <v>1900.0</v>
      </c>
      <c r="T6" s="7">
        <f>T5+M6-S6</f>
        <v>3268.0</v>
      </c>
      <c r="U6" s="7">
        <f>S6-N6-O6-Q6</f>
        <v>-3640.0</v>
      </c>
      <c r="V6" s="7">
        <f>V5+U6</f>
        <v>-8940.0</v>
      </c>
      <c r="W6" s="7">
        <f>(1-Parameters!$G$7)*(C6-E6)+(1-Parameters!$G$8)*(D6+E6)</f>
        <v>360.0</v>
      </c>
      <c r="X6" s="7">
        <f>Parameters!$G$7*(C6-E6)+Parameters!$G$8*Parameters!$G$9*(D6+E6)</f>
        <v>1238.4</v>
      </c>
      <c r="Y6" s="7">
        <f>Parameters!$G$8*(1-Parameters!$G$9)*(D6+E6)</f>
        <v>201.60000000000002</v>
      </c>
      <c r="Z6" s="7">
        <f>POWER(1/(1+Parameters!$G$32),A6-1)*(M6-N6)</f>
        <v>2700.990099009901</v>
      </c>
    </row>
    <row r="7" spans="1:26">
      <c r="A7" s="7">
        <v>3</v>
      </c>
      <c r="B7" s="7">
        <f>Parameters!$G$20</f>
        <v>1000</v>
      </c>
      <c r="C7" s="7">
        <f>X6+B7</f>
        <v>2238.4</v>
      </c>
      <c r="D7" s="7">
        <f>Y6</f>
        <v>201.60000000000005</v>
      </c>
      <c r="E7" s="7">
        <f>Parameters!$G$6*C7</f>
        <v>223.84000000000003</v>
      </c>
      <c r="F7" s="7">
        <f>IF(Parameters!$G$5=1,E7,0)</f>
        <v>0.0</v>
      </c>
      <c r="G7" s="7">
        <f>Parameters!$G$27*G6+F7</f>
        <v>0.0</v>
      </c>
      <c r="H7" s="7">
        <f>IF(AND(Parameters!$G$5=1,Parameters!$G$26=1),SUMPRODUCT(--($A$5:A7&lt;A7),--(MOD(A7-$A$5:A7,Parameters!$G$28)=0),$F$5:F7,POWER(Parameters!$G$27,IF(A7-$A$5:A7=0,1,A7-$A$5:A7))),0)</f>
        <v>0.0</v>
      </c>
      <c r="I7" s="7">
        <f>Parameters!$G$23*I6+B7*Parameters!$G$22</f>
        <v>0.0</v>
      </c>
      <c r="J7" s="7">
        <f>E7*Parameters!$G$14*(1-Parameters!$G$15)</f>
        <v>4252.960000000001</v>
      </c>
      <c r="K7" s="7">
        <f>H7*Parameters!$G$29</f>
        <v>0.0</v>
      </c>
      <c r="L7" s="7">
        <f>I7*Parameters!$G$24</f>
        <v>0.0</v>
      </c>
      <c r="M7" s="7">
        <f>J7+K7+L7</f>
        <v>4252.960000000001</v>
      </c>
      <c r="N7" s="7">
        <f>C7*Parameters!$G$17+D7*Parameters!$G$18+E7*Parameters!$G$16+I7*Parameters!$G$25+G7*Parameters!$G$30</f>
        <v>732.0000000000001</v>
      </c>
      <c r="O7" s="7">
        <f>B7*Parameters!$G$19</f>
        <v>4000</v>
      </c>
      <c r="P7" s="7">
        <f>M7-N7-O7</f>
        <v>-479.03999999999905</v>
      </c>
      <c r="Q7" s="7">
        <f>Parameters!$G$21</f>
        <v>1000</v>
      </c>
      <c r="R7" s="7">
        <f>P7-Q7</f>
        <v>-1479.039999999999</v>
      </c>
      <c r="S7" s="7">
        <f>IF(A7&lt;1+Parameters!$G$31,0,INDEX($M$5:$M$40,A7-Parameters!$G$31))</f>
        <v>3268.0</v>
      </c>
      <c r="T7" s="7">
        <f>T6+M7-S7</f>
        <v>4252.960000000001</v>
      </c>
      <c r="U7" s="7">
        <f>S7-N7-O7-Q7</f>
        <v>-2464.0</v>
      </c>
      <c r="V7" s="7">
        <f>V6+U7</f>
        <v>-11404.0</v>
      </c>
      <c r="W7" s="7">
        <f>(1-Parameters!$G$7)*(C7-E7)+(1-Parameters!$G$8)*(D7+E7)</f>
        <v>488.0</v>
      </c>
      <c r="X7" s="7">
        <f>Parameters!$G$7*(C7-E7)+Parameters!$G$8*Parameters!$G$9*(D7+E7)</f>
        <v>1611.6480000000001</v>
      </c>
      <c r="Y7" s="7">
        <f>Parameters!$G$8*(1-Parameters!$G$9)*(D7+E7)</f>
        <v>340.3520000000001</v>
      </c>
      <c r="Z7" s="7">
        <f>POWER(1/(1+Parameters!$G$32),A7-1)*(M7-N7)</f>
        <v>3451.583178119793</v>
      </c>
    </row>
    <row r="8" spans="1:26">
      <c r="A8" s="7">
        <v>4</v>
      </c>
      <c r="B8" s="7">
        <f>Parameters!$G$20</f>
        <v>1000</v>
      </c>
      <c r="C8" s="7">
        <f>X7+B8</f>
        <v>2611.648</v>
      </c>
      <c r="D8" s="7">
        <f>Y7</f>
        <v>340.3520000000001</v>
      </c>
      <c r="E8" s="7">
        <f>Parameters!$G$6*C8</f>
        <v>261.1648</v>
      </c>
      <c r="F8" s="7">
        <f>IF(Parameters!$G$5=1,E8,0)</f>
        <v>0.0</v>
      </c>
      <c r="G8" s="7">
        <f>Parameters!$G$27*G7+F8</f>
        <v>0.0</v>
      </c>
      <c r="H8" s="7">
        <f>IF(AND(Parameters!$G$5=1,Parameters!$G$26=1),SUMPRODUCT(--($A$5:A8&lt;A8),--(MOD(A8-$A$5:A8,Parameters!$G$28)=0),$F$5:F8,POWER(Parameters!$G$27,IF(A8-$A$5:A8=0,1,A8-$A$5:A8))),0)</f>
        <v>0.0</v>
      </c>
      <c r="I8" s="7">
        <f>Parameters!$G$23*I7+B8*Parameters!$G$22</f>
        <v>0.0</v>
      </c>
      <c r="J8" s="7">
        <f>E8*Parameters!$G$14*(1-Parameters!$G$15)</f>
        <v>4962.1312</v>
      </c>
      <c r="K8" s="7">
        <f>H8*Parameters!$G$29</f>
        <v>0.0</v>
      </c>
      <c r="L8" s="7">
        <f>I8*Parameters!$G$24</f>
        <v>0.0</v>
      </c>
      <c r="M8" s="7">
        <f>J8+K8+L8</f>
        <v>4962.1312</v>
      </c>
      <c r="N8" s="7">
        <f>C8*Parameters!$G$17+D8*Parameters!$G$18+E8*Parameters!$G$16+I8*Parameters!$G$25+G8*Parameters!$G$30</f>
        <v>885.6</v>
      </c>
      <c r="O8" s="7">
        <f>B8*Parameters!$G$19</f>
        <v>4000</v>
      </c>
      <c r="P8" s="7">
        <f>M8-N8-O8</f>
        <v>76.5311999999999</v>
      </c>
      <c r="Q8" s="7">
        <f>Parameters!$G$21</f>
        <v>1000</v>
      </c>
      <c r="R8" s="7">
        <f>P8-Q8</f>
        <v>-923.4688000000001</v>
      </c>
      <c r="S8" s="7">
        <f>IF(A8&lt;1+Parameters!$G$31,0,INDEX($M$5:$M$40,A8-Parameters!$G$31))</f>
        <v>4252.960000000001</v>
      </c>
      <c r="T8" s="7">
        <f>T7+M8-S8</f>
        <v>4962.1312</v>
      </c>
      <c r="U8" s="7">
        <f>S8-N8-O8-Q8</f>
        <v>-1632.639999999999</v>
      </c>
      <c r="V8" s="7">
        <f>V7+U8</f>
        <v>-13036.64</v>
      </c>
      <c r="W8" s="7">
        <f>(1-Parameters!$G$7)*(C8-E8)+(1-Parameters!$G$8)*(D8+E8)</f>
        <v>590.4</v>
      </c>
      <c r="X8" s="7">
        <f>Parameters!$G$7*(C8-E8)+Parameters!$G$8*Parameters!$G$9*(D8+E8)</f>
        <v>1880.3865600000001</v>
      </c>
      <c r="Y8" s="7">
        <f>Parameters!$G$8*(1-Parameters!$G$9)*(D8+E8)</f>
        <v>481.2134400000001</v>
      </c>
      <c r="Z8" s="7">
        <f>POWER(1/(1+Parameters!$G$32),A8-1)*(M8-N8)</f>
        <v>3956.6410204396575</v>
      </c>
    </row>
    <row r="9" spans="1:26">
      <c r="A9" s="7">
        <v>5</v>
      </c>
      <c r="B9" s="7">
        <f>Parameters!$G$20</f>
        <v>1000</v>
      </c>
      <c r="C9" s="7">
        <f>X8+B9</f>
        <v>2880.3865600000004</v>
      </c>
      <c r="D9" s="7">
        <f>Y8</f>
        <v>481.2134400000001</v>
      </c>
      <c r="E9" s="7">
        <f>Parameters!$G$6*C9</f>
        <v>288.03865600000006</v>
      </c>
      <c r="F9" s="7">
        <f>IF(Parameters!$G$5=1,E9,0)</f>
        <v>0.0</v>
      </c>
      <c r="G9" s="7">
        <f>Parameters!$G$27*G8+F9</f>
        <v>0.0</v>
      </c>
      <c r="H9" s="7">
        <f>IF(AND(Parameters!$G$5=1,Parameters!$G$26=1),SUMPRODUCT(--($A$5:A9&lt;A9),--(MOD(A9-$A$5:A9,Parameters!$G$28)=0),$F$5:F9,POWER(Parameters!$G$27,IF(A9-$A$5:A9=0,1,A9-$A$5:A9))),0)</f>
        <v>0.0</v>
      </c>
      <c r="I9" s="7">
        <f>Parameters!$G$23*I8+B9*Parameters!$G$22</f>
        <v>0.0</v>
      </c>
      <c r="J9" s="7">
        <f>E9*Parameters!$G$14*(1-Parameters!$G$15)</f>
        <v>5472.734464000001</v>
      </c>
      <c r="K9" s="7">
        <f>H9*Parameters!$G$29</f>
        <v>0.0</v>
      </c>
      <c r="L9" s="7">
        <f>I9*Parameters!$G$24</f>
        <v>0.0</v>
      </c>
      <c r="M9" s="7">
        <f>J9+K9+L9</f>
        <v>5472.734464000001</v>
      </c>
      <c r="N9" s="7">
        <f>C9*Parameters!$G$17+D9*Parameters!$G$18+E9*Parameters!$G$16+I9*Parameters!$G$25+G9*Parameters!$G$30</f>
        <v>1008.4800000000002</v>
      </c>
      <c r="O9" s="7">
        <f>B9*Parameters!$G$19</f>
        <v>4000</v>
      </c>
      <c r="P9" s="7">
        <f>M9-N9-O9</f>
        <v>464.25446400000055</v>
      </c>
      <c r="Q9" s="7">
        <f>Parameters!$G$21</f>
        <v>1000</v>
      </c>
      <c r="R9" s="7">
        <f>P9-Q9</f>
        <v>-535.7455359999994</v>
      </c>
      <c r="S9" s="7">
        <f>IF(A9&lt;1+Parameters!$G$31,0,INDEX($M$5:$M$40,A9-Parameters!$G$31))</f>
        <v>4962.1312</v>
      </c>
      <c r="T9" s="7">
        <f>T8+M9-S9</f>
        <v>5472.734464000001</v>
      </c>
      <c r="U9" s="7">
        <f>S9-N9-O9-Q9</f>
        <v>-1046.3488000000007</v>
      </c>
      <c r="V9" s="7">
        <f>V8+U9</f>
        <v>-14082.9888</v>
      </c>
      <c r="W9" s="7">
        <f>(1-Parameters!$G$7)*(C9-E9)+(1-Parameters!$G$8)*(D9+E9)</f>
        <v>672.32</v>
      </c>
      <c r="X9" s="7">
        <f>Parameters!$G$7*(C9-E9)+Parameters!$G$8*Parameters!$G$9*(D9+E9)</f>
        <v>2073.8783232</v>
      </c>
      <c r="Y9" s="7">
        <f>Parameters!$G$8*(1-Parameters!$G$9)*(D9+E9)</f>
        <v>615.4016768000001</v>
      </c>
      <c r="Z9" s="7">
        <f>POWER(1/(1+Parameters!$G$32),A9-1)*(M9-N9)</f>
        <v>4290.06079267367</v>
      </c>
    </row>
    <row r="10" spans="1:26">
      <c r="A10" s="7">
        <v>6</v>
      </c>
      <c r="B10" s="7">
        <f>Parameters!$G$20</f>
        <v>1000</v>
      </c>
      <c r="C10" s="7">
        <f>X9+B10</f>
        <v>3073.8783232000005</v>
      </c>
      <c r="D10" s="7">
        <f>Y9</f>
        <v>615.4016768000001</v>
      </c>
      <c r="E10" s="7">
        <f>Parameters!$G$6*C10</f>
        <v>307.3878323200001</v>
      </c>
      <c r="F10" s="7">
        <f>IF(Parameters!$G$5=1,E10,0)</f>
        <v>0.0</v>
      </c>
      <c r="G10" s="7">
        <f>Parameters!$G$27*G9+F10</f>
        <v>0.0</v>
      </c>
      <c r="H10" s="7">
        <f>IF(AND(Parameters!$G$5=1,Parameters!$G$26=1),SUMPRODUCT(--($A$5:A10&lt;A10),--(MOD(A10-$A$5:A10,Parameters!$G$28)=0),$F$5:F10,POWER(Parameters!$G$27,IF(A10-$A$5:A10=0,1,A10-$A$5:A10))),0)</f>
        <v>0.0</v>
      </c>
      <c r="I10" s="7">
        <f>Parameters!$G$23*I9+B10*Parameters!$G$22</f>
        <v>0.0</v>
      </c>
      <c r="J10" s="7">
        <f>E10*Parameters!$G$14*(1-Parameters!$G$15)</f>
        <v>5840.368814080001</v>
      </c>
      <c r="K10" s="7">
        <f>H10*Parameters!$G$29</f>
        <v>0.0</v>
      </c>
      <c r="L10" s="7">
        <f>I10*Parameters!$G$24</f>
        <v>0.0</v>
      </c>
      <c r="M10" s="7">
        <f>J10+K10+L10</f>
        <v>5840.368814080001</v>
      </c>
      <c r="N10" s="7">
        <f>C10*Parameters!$G$17+D10*Parameters!$G$18+E10*Parameters!$G$16+I10*Parameters!$G$25+G10*Parameters!$G$30</f>
        <v>1106.7840000000003</v>
      </c>
      <c r="O10" s="7">
        <f>B10*Parameters!$G$19</f>
        <v>4000</v>
      </c>
      <c r="P10" s="7">
        <f>M10-N10-O10</f>
        <v>733.5848140800008</v>
      </c>
      <c r="Q10" s="7">
        <f>Parameters!$G$21</f>
        <v>1000</v>
      </c>
      <c r="R10" s="7">
        <f>P10-Q10</f>
        <v>-266.4151859199992</v>
      </c>
      <c r="S10" s="7">
        <f>IF(A10&lt;1+Parameters!$G$31,0,INDEX($M$5:$M$40,A10-Parameters!$G$31))</f>
        <v>5472.734464000001</v>
      </c>
      <c r="T10" s="7">
        <f>T9+M10-S10</f>
        <v>5840.368814080001</v>
      </c>
      <c r="U10" s="7">
        <f>S10-N10-O10-Q10</f>
        <v>-634.0495359999995</v>
      </c>
      <c r="V10" s="7">
        <f>V9+U10</f>
        <v>-14717.038335999998</v>
      </c>
      <c r="W10" s="7">
        <f>(1-Parameters!$G$7)*(C10-E10)+(1-Parameters!$G$8)*(D10+E10)</f>
        <v>737.856</v>
      </c>
      <c r="X10" s="7">
        <f>Parameters!$G$7*(C10-E10)+Parameters!$G$8*Parameters!$G$9*(D10+E10)</f>
        <v>2213.192392704</v>
      </c>
      <c r="Y10" s="7">
        <f>Parameters!$G$8*(1-Parameters!$G$9)*(D10+E10)</f>
        <v>738.2316072960002</v>
      </c>
      <c r="Z10" s="7">
        <f>POWER(1/(1+Parameters!$G$32),A10-1)*(M10-N10)</f>
        <v>4503.843529973492</v>
      </c>
    </row>
    <row r="11" spans="1:26">
      <c r="A11" s="7">
        <v>7</v>
      </c>
      <c r="B11" s="7">
        <f>Parameters!$G$20</f>
        <v>1000</v>
      </c>
      <c r="C11" s="7">
        <f>X10+B11</f>
        <v>3213.1923927040007</v>
      </c>
      <c r="D11" s="7">
        <f>Y10</f>
        <v>738.2316072960002</v>
      </c>
      <c r="E11" s="7">
        <f>Parameters!$G$6*C11</f>
        <v>321.3192392704001</v>
      </c>
      <c r="F11" s="7">
        <f>IF(Parameters!$G$5=1,E11,0)</f>
        <v>0.0</v>
      </c>
      <c r="G11" s="7">
        <f>Parameters!$G$27*G10+F11</f>
        <v>0.0</v>
      </c>
      <c r="H11" s="7">
        <f>IF(AND(Parameters!$G$5=1,Parameters!$G$26=1),SUMPRODUCT(--($A$5:A11&lt;A11),--(MOD(A11-$A$5:A11,Parameters!$G$28)=0),$F$5:F11,POWER(Parameters!$G$27,IF(A11-$A$5:A11=0,1,A11-$A$5:A11))),0)</f>
        <v>0.0</v>
      </c>
      <c r="I11" s="7">
        <f>Parameters!$G$23*I10+B11*Parameters!$G$22</f>
        <v>0.0</v>
      </c>
      <c r="J11" s="7">
        <f>E11*Parameters!$G$14*(1-Parameters!$G$15)</f>
        <v>6105.065546137601</v>
      </c>
      <c r="K11" s="7">
        <f>H11*Parameters!$G$29</f>
        <v>0.0</v>
      </c>
      <c r="L11" s="7">
        <f>I11*Parameters!$G$24</f>
        <v>0.0</v>
      </c>
      <c r="M11" s="7">
        <f>J11+K11+L11</f>
        <v>6105.065546137601</v>
      </c>
      <c r="N11" s="7">
        <f>C11*Parameters!$G$17+D11*Parameters!$G$18+E11*Parameters!$G$16+I11*Parameters!$G$25+G11*Parameters!$G$30</f>
        <v>1185.4272000000003</v>
      </c>
      <c r="O11" s="7">
        <f>B11*Parameters!$G$19</f>
        <v>4000</v>
      </c>
      <c r="P11" s="7">
        <f>M11-N11-O11</f>
        <v>919.6383461376008</v>
      </c>
      <c r="Q11" s="7">
        <f>Parameters!$G$21</f>
        <v>1000</v>
      </c>
      <c r="R11" s="7">
        <f>P11-Q11</f>
        <v>-80.36165386239918</v>
      </c>
      <c r="S11" s="7">
        <f>IF(A11&lt;1+Parameters!$G$31,0,INDEX($M$5:$M$40,A11-Parameters!$G$31))</f>
        <v>5840.368814080001</v>
      </c>
      <c r="T11" s="7">
        <f>T10+M11-S11</f>
        <v>6105.065546137601</v>
      </c>
      <c r="U11" s="7">
        <f>S11-N11-O11-Q11</f>
        <v>-345.0583859199987</v>
      </c>
      <c r="V11" s="7">
        <f>V10+U11</f>
        <v>-15062.096721919996</v>
      </c>
      <c r="W11" s="7">
        <f>(1-Parameters!$G$7)*(C11-E11)+(1-Parameters!$G$8)*(D11+E11)</f>
        <v>790.2848</v>
      </c>
      <c r="X11" s="7">
        <f>Parameters!$G$7*(C11-E11)+Parameters!$G$8*Parameters!$G$9*(D11+E11)</f>
        <v>2313.4985227468806</v>
      </c>
      <c r="Y11" s="7">
        <f>Parameters!$G$8*(1-Parameters!$G$9)*(D11+E11)</f>
        <v>847.6406772531202</v>
      </c>
      <c r="Z11" s="7">
        <f>POWER(1/(1+Parameters!$G$32),A11-1)*(M11-N11)</f>
        <v>4634.521863152812</v>
      </c>
    </row>
    <row r="12" spans="1:26">
      <c r="A12" s="7">
        <v>8</v>
      </c>
      <c r="B12" s="7">
        <f>Parameters!$G$20</f>
        <v>1000</v>
      </c>
      <c r="C12" s="7">
        <f>X11+B12</f>
        <v>3313.4985227468806</v>
      </c>
      <c r="D12" s="7">
        <f>Y11</f>
        <v>847.6406772531203</v>
      </c>
      <c r="E12" s="7">
        <f>Parameters!$G$6*C12</f>
        <v>331.3498522746881</v>
      </c>
      <c r="F12" s="7">
        <f>IF(Parameters!$G$5=1,E12,0)</f>
        <v>0.0</v>
      </c>
      <c r="G12" s="7">
        <f>Parameters!$G$27*G11+F12</f>
        <v>0.0</v>
      </c>
      <c r="H12" s="7">
        <f>IF(AND(Parameters!$G$5=1,Parameters!$G$26=1),SUMPRODUCT(--($A$5:A12&lt;A12),--(MOD(A12-$A$5:A12,Parameters!$G$28)=0),$F$5:F12,POWER(Parameters!$G$27,IF(A12-$A$5:A12=0,1,A12-$A$5:A12))),0)</f>
        <v>0.0</v>
      </c>
      <c r="I12" s="7">
        <f>Parameters!$G$23*I11+B12*Parameters!$G$22</f>
        <v>0.0</v>
      </c>
      <c r="J12" s="7">
        <f>E12*Parameters!$G$14*(1-Parameters!$G$15)</f>
        <v>6295.647193219073</v>
      </c>
      <c r="K12" s="7">
        <f>H12*Parameters!$G$29</f>
        <v>0.0</v>
      </c>
      <c r="L12" s="7">
        <f>I12*Parameters!$G$24</f>
        <v>0.0</v>
      </c>
      <c r="M12" s="7">
        <f>J12+K12+L12</f>
        <v>6295.647193219073</v>
      </c>
      <c r="N12" s="7">
        <f>C12*Parameters!$G$17+D12*Parameters!$G$18+E12*Parameters!$G$16+I12*Parameters!$G$25+G12*Parameters!$G$30</f>
        <v>1248.3417600000005</v>
      </c>
      <c r="O12" s="7">
        <f>B12*Parameters!$G$19</f>
        <v>4000</v>
      </c>
      <c r="P12" s="7">
        <f>M12-N12-O12</f>
        <v>1047.3054332190732</v>
      </c>
      <c r="Q12" s="7">
        <f>Parameters!$G$21</f>
        <v>1000</v>
      </c>
      <c r="R12" s="7">
        <f>P12-Q12</f>
        <v>47.305433219073166</v>
      </c>
      <c r="S12" s="7">
        <f>IF(A12&lt;1+Parameters!$G$31,0,INDEX($M$5:$M$40,A12-Parameters!$G$31))</f>
        <v>6105.065546137601</v>
      </c>
      <c r="T12" s="7">
        <f>T11+M12-S12</f>
        <v>6295.647193219073</v>
      </c>
      <c r="U12" s="7">
        <f>S12-N12-O12-Q12</f>
        <v>-143.27621386239935</v>
      </c>
      <c r="V12" s="7">
        <f>V11+U12</f>
        <v>-15205.372935782394</v>
      </c>
      <c r="W12" s="7">
        <f>(1-Parameters!$G$7)*(C12-E12)+(1-Parameters!$G$8)*(D12+E12)</f>
        <v>832.2278400000001</v>
      </c>
      <c r="X12" s="7">
        <f>Parameters!$G$7*(C12-E12)+Parameters!$G$8*Parameters!$G$9*(D12+E12)</f>
        <v>2385.718936377754</v>
      </c>
      <c r="Y12" s="7">
        <f>Parameters!$G$8*(1-Parameters!$G$9)*(D12+E12)</f>
        <v>943.1924236222467</v>
      </c>
      <c r="Z12" s="7">
        <f>POWER(1/(1+Parameters!$G$32),A12-1)*(M12-N12)</f>
        <v>4707.712905184849</v>
      </c>
    </row>
    <row r="13" spans="1:26">
      <c r="A13" s="7">
        <v>9</v>
      </c>
      <c r="B13" s="7">
        <f>Parameters!$G$20</f>
        <v>1000</v>
      </c>
      <c r="C13" s="7">
        <f>X12+B13</f>
        <v>3385.7189363777543</v>
      </c>
      <c r="D13" s="7">
        <f>Y12</f>
        <v>943.1924236222468</v>
      </c>
      <c r="E13" s="7">
        <f>Parameters!$G$6*C13</f>
        <v>338.5718936377755</v>
      </c>
      <c r="F13" s="7">
        <f>IF(Parameters!$G$5=1,E13,0)</f>
        <v>0.0</v>
      </c>
      <c r="G13" s="7">
        <f>Parameters!$G$27*G12+F13</f>
        <v>0.0</v>
      </c>
      <c r="H13" s="7">
        <f>IF(AND(Parameters!$G$5=1,Parameters!$G$26=1),SUMPRODUCT(--($A$5:A13&lt;A13),--(MOD(A13-$A$5:A13,Parameters!$G$28)=0),$F$5:F13,POWER(Parameters!$G$27,IF(A13-$A$5:A13=0,1,A13-$A$5:A13))),0)</f>
        <v>0.0</v>
      </c>
      <c r="I13" s="7">
        <f>Parameters!$G$23*I12+B13*Parameters!$G$22</f>
        <v>0.0</v>
      </c>
      <c r="J13" s="7">
        <f>E13*Parameters!$G$14*(1-Parameters!$G$15)</f>
        <v>6432.865979117733</v>
      </c>
      <c r="K13" s="7">
        <f>H13*Parameters!$G$29</f>
        <v>0.0</v>
      </c>
      <c r="L13" s="7">
        <f>I13*Parameters!$G$24</f>
        <v>0.0</v>
      </c>
      <c r="M13" s="7">
        <f>J13+K13+L13</f>
        <v>6432.865979117733</v>
      </c>
      <c r="N13" s="7">
        <f>C13*Parameters!$G$17+D13*Parameters!$G$18+E13*Parameters!$G$16+I13*Parameters!$G$25+G13*Parameters!$G$30</f>
        <v>1298.6734080000006</v>
      </c>
      <c r="O13" s="7">
        <f>B13*Parameters!$G$19</f>
        <v>4000</v>
      </c>
      <c r="P13" s="7">
        <f>M13-N13-O13</f>
        <v>1134.1925711177328</v>
      </c>
      <c r="Q13" s="7">
        <f>Parameters!$G$21</f>
        <v>1000</v>
      </c>
      <c r="R13" s="7">
        <f>P13-Q13</f>
        <v>134.19257111773277</v>
      </c>
      <c r="S13" s="7">
        <f>IF(A13&lt;1+Parameters!$G$31,0,INDEX($M$5:$M$40,A13-Parameters!$G$31))</f>
        <v>6295.647193219073</v>
      </c>
      <c r="T13" s="7">
        <f>T12+M13-S13</f>
        <v>6432.865979117733</v>
      </c>
      <c r="U13" s="7">
        <f>S13-N13-O13-Q13</f>
        <v>-3.0262147809271482</v>
      </c>
      <c r="V13" s="7">
        <f>V12+U13</f>
        <v>-15208.39915056332</v>
      </c>
      <c r="W13" s="7">
        <f>(1-Parameters!$G$7)*(C13-E13)+(1-Parameters!$G$8)*(D13+E13)</f>
        <v>865.7822720000001</v>
      </c>
      <c r="X13" s="7">
        <f>Parameters!$G$7*(C13-E13)+Parameters!$G$8*Parameters!$G$9*(D13+E13)</f>
        <v>2437.7176341919835</v>
      </c>
      <c r="Y13" s="7">
        <f>Parameters!$G$8*(1-Parameters!$G$9)*(D13+E13)</f>
        <v>1025.411453808018</v>
      </c>
      <c r="Z13" s="7">
        <f>POWER(1/(1+Parameters!$G$32),A13-1)*(M13-N13)</f>
        <v>4741.340700420552</v>
      </c>
    </row>
    <row r="14" spans="1:26">
      <c r="A14" s="7">
        <v>10</v>
      </c>
      <c r="B14" s="7">
        <f>Parameters!$G$20</f>
        <v>1000</v>
      </c>
      <c r="C14" s="7">
        <f>X13+B14</f>
        <v>3437.7176341919835</v>
      </c>
      <c r="D14" s="7">
        <f>Y13</f>
        <v>1025.4114538080178</v>
      </c>
      <c r="E14" s="7">
        <f>Parameters!$G$6*C14</f>
        <v>343.77176341919835</v>
      </c>
      <c r="F14" s="7">
        <f>IF(Parameters!$G$5=1,E14,0)</f>
        <v>0.0</v>
      </c>
      <c r="G14" s="7">
        <f>Parameters!$G$27*G13+F14</f>
        <v>0.0</v>
      </c>
      <c r="H14" s="7">
        <f>IF(AND(Parameters!$G$5=1,Parameters!$G$26=1),SUMPRODUCT(--($A$5:A14&lt;A14),--(MOD(A14-$A$5:A14,Parameters!$G$28)=0),$F$5:F14,POWER(Parameters!$G$27,IF(A14-$A$5:A14=0,1,A14-$A$5:A14))),0)</f>
        <v>0.0</v>
      </c>
      <c r="I14" s="7">
        <f>Parameters!$G$23*I13+B14*Parameters!$G$22</f>
        <v>0.0</v>
      </c>
      <c r="J14" s="7">
        <f>E14*Parameters!$G$14*(1-Parameters!$G$15)</f>
        <v>6531.663504964768</v>
      </c>
      <c r="K14" s="7">
        <f>H14*Parameters!$G$29</f>
        <v>0.0</v>
      </c>
      <c r="L14" s="7">
        <f>I14*Parameters!$G$24</f>
        <v>0.0</v>
      </c>
      <c r="M14" s="7">
        <f>J14+K14+L14</f>
        <v>6531.663504964768</v>
      </c>
      <c r="N14" s="7">
        <f>C14*Parameters!$G$17+D14*Parameters!$G$18+E14*Parameters!$G$16+I14*Parameters!$G$25+G14*Parameters!$G$30</f>
        <v>1338.9387264000004</v>
      </c>
      <c r="O14" s="7">
        <f>B14*Parameters!$G$19</f>
        <v>4000</v>
      </c>
      <c r="P14" s="7">
        <f>M14-N14-O14</f>
        <v>1192.7247785647678</v>
      </c>
      <c r="Q14" s="7">
        <f>Parameters!$G$21</f>
        <v>1000</v>
      </c>
      <c r="R14" s="7">
        <f>P14-Q14</f>
        <v>192.7247785647678</v>
      </c>
      <c r="S14" s="7">
        <f>IF(A14&lt;1+Parameters!$G$31,0,INDEX($M$5:$M$40,A14-Parameters!$G$31))</f>
        <v>6432.865979117733</v>
      </c>
      <c r="T14" s="7">
        <f>T13+M14-S14</f>
        <v>6531.663504964768</v>
      </c>
      <c r="U14" s="7">
        <f>S14-N14-O14-Q14</f>
        <v>93.9272527177327</v>
      </c>
      <c r="V14" s="7">
        <f>V13+U14</f>
        <v>-15114.471897845588</v>
      </c>
      <c r="W14" s="7">
        <f>(1-Parameters!$G$7)*(C14-E14)+(1-Parameters!$G$8)*(D14+E14)</f>
        <v>892.6258176000001</v>
      </c>
      <c r="X14" s="7">
        <f>Parameters!$G$7*(C14-E14)+Parameters!$G$8*Parameters!$G$9*(D14+E14)</f>
        <v>2475.1566966182286</v>
      </c>
      <c r="Y14" s="7">
        <f>Parameters!$G$8*(1-Parameters!$G$9)*(D14+E14)</f>
        <v>1095.346573781773</v>
      </c>
      <c r="Z14" s="7">
        <f>POWER(1/(1+Parameters!$G$32),A14-1)*(M14-N14)</f>
        <v>4747.915061359151</v>
      </c>
    </row>
    <row r="15" spans="1:26">
      <c r="A15" s="7">
        <v>11</v>
      </c>
      <c r="B15" s="7">
        <f>Parameters!$G$20</f>
        <v>1000</v>
      </c>
      <c r="C15" s="7">
        <f>X14+B15</f>
        <v>3475.1566966182286</v>
      </c>
      <c r="D15" s="7">
        <f>Y14</f>
        <v>1095.346573781773</v>
      </c>
      <c r="E15" s="7">
        <f>Parameters!$G$6*C15</f>
        <v>347.51566966182287</v>
      </c>
      <c r="F15" s="7">
        <f>IF(Parameters!$G$5=1,E15,0)</f>
        <v>0.0</v>
      </c>
      <c r="G15" s="7">
        <f>Parameters!$G$27*G14+F15</f>
        <v>0.0</v>
      </c>
      <c r="H15" s="7">
        <f>IF(AND(Parameters!$G$5=1,Parameters!$G$26=1),SUMPRODUCT(--($A$5:A15&lt;A15),--(MOD(A15-$A$5:A15,Parameters!$G$28)=0),$F$5:F15,POWER(Parameters!$G$27,IF(A15-$A$5:A15=0,1,A15-$A$5:A15))),0)</f>
        <v>0.0</v>
      </c>
      <c r="I15" s="7">
        <f>Parameters!$G$23*I14+B15*Parameters!$G$22</f>
        <v>0.0</v>
      </c>
      <c r="J15" s="7">
        <f>E15*Parameters!$G$14*(1-Parameters!$G$15)</f>
        <v>6602.797723574634</v>
      </c>
      <c r="K15" s="7">
        <f>H15*Parameters!$G$29</f>
        <v>0.0</v>
      </c>
      <c r="L15" s="7">
        <f>I15*Parameters!$G$24</f>
        <v>0.0</v>
      </c>
      <c r="M15" s="7">
        <f>J15+K15+L15</f>
        <v>6602.797723574634</v>
      </c>
      <c r="N15" s="7">
        <f>C15*Parameters!$G$17+D15*Parameters!$G$18+E15*Parameters!$G$16+I15*Parameters!$G$25+G15*Parameters!$G$30</f>
        <v>1371.1509811200006</v>
      </c>
      <c r="O15" s="7">
        <f>B15*Parameters!$G$19</f>
        <v>4000</v>
      </c>
      <c r="P15" s="7">
        <f>M15-N15-O15</f>
        <v>1231.6467424546336</v>
      </c>
      <c r="Q15" s="7">
        <f>Parameters!$G$21</f>
        <v>1000</v>
      </c>
      <c r="R15" s="7">
        <f>P15-Q15</f>
        <v>231.64674245463357</v>
      </c>
      <c r="S15" s="7">
        <f>IF(A15&lt;1+Parameters!$G$31,0,INDEX($M$5:$M$40,A15-Parameters!$G$31))</f>
        <v>6531.663504964768</v>
      </c>
      <c r="T15" s="7">
        <f>T14+M15-S15</f>
        <v>6602.797723574634</v>
      </c>
      <c r="U15" s="7">
        <f>S15-N15-O15-Q15</f>
        <v>160.5125238447681</v>
      </c>
      <c r="V15" s="7">
        <f>V14+U15</f>
        <v>-14953.95937400082</v>
      </c>
      <c r="W15" s="7">
        <f>(1-Parameters!$G$7)*(C15-E15)+(1-Parameters!$G$8)*(D15+E15)</f>
        <v>914.1006540800001</v>
      </c>
      <c r="X15" s="7">
        <f>Parameters!$G$7*(C15-E15)+Parameters!$G$8*Parameters!$G$9*(D15+E15)</f>
        <v>2502.1128215651247</v>
      </c>
      <c r="Y15" s="7">
        <f>Parameters!$G$8*(1-Parameters!$G$9)*(D15+E15)</f>
        <v>1154.2897947548768</v>
      </c>
      <c r="Z15" s="7">
        <f>POWER(1/(1+Parameters!$G$32),A15-1)*(M15-N15)</f>
        <v>4736.141547506221</v>
      </c>
    </row>
    <row r="16" spans="1:26">
      <c r="A16" s="7">
        <v>12</v>
      </c>
      <c r="B16" s="7">
        <f>Parameters!$G$20</f>
        <v>1000</v>
      </c>
      <c r="C16" s="7">
        <f>X15+B16</f>
        <v>3502.1128215651247</v>
      </c>
      <c r="D16" s="7">
        <f>Y15</f>
        <v>1154.2897947548768</v>
      </c>
      <c r="E16" s="7">
        <f>Parameters!$G$6*C16</f>
        <v>350.2112821565125</v>
      </c>
      <c r="F16" s="7">
        <f>IF(Parameters!$G$5=1,E16,0)</f>
        <v>0.0</v>
      </c>
      <c r="G16" s="7">
        <f>Parameters!$G$27*G15+F16</f>
        <v>0.0</v>
      </c>
      <c r="H16" s="7">
        <f>IF(AND(Parameters!$G$5=1,Parameters!$G$26=1),SUMPRODUCT(--($A$5:A16&lt;A16),--(MOD(A16-$A$5:A16,Parameters!$G$28)=0),$F$5:F16,POWER(Parameters!$G$27,IF(A16-$A$5:A16=0,1,A16-$A$5:A16))),0)</f>
        <v>0.0</v>
      </c>
      <c r="I16" s="7">
        <f>Parameters!$G$23*I15+B16*Parameters!$G$22</f>
        <v>0.0</v>
      </c>
      <c r="J16" s="7">
        <f>E16*Parameters!$G$14*(1-Parameters!$G$15)</f>
        <v>6654.014360973737</v>
      </c>
      <c r="K16" s="7">
        <f>H16*Parameters!$G$29</f>
        <v>0.0</v>
      </c>
      <c r="L16" s="7">
        <f>I16*Parameters!$G$24</f>
        <v>0.0</v>
      </c>
      <c r="M16" s="7">
        <f>J16+K16+L16</f>
        <v>6654.014360973737</v>
      </c>
      <c r="N16" s="7">
        <f>C16*Parameters!$G$17+D16*Parameters!$G$18+E16*Parameters!$G$16+I16*Parameters!$G$25+G16*Parameters!$G$30</f>
        <v>1396.9207848960004</v>
      </c>
      <c r="O16" s="7">
        <f>B16*Parameters!$G$19</f>
        <v>4000</v>
      </c>
      <c r="P16" s="7">
        <f>M16-N16-O16</f>
        <v>1257.0935760777365</v>
      </c>
      <c r="Q16" s="7">
        <f>Parameters!$G$21</f>
        <v>1000</v>
      </c>
      <c r="R16" s="7">
        <f>P16-Q16</f>
        <v>257.09357607773654</v>
      </c>
      <c r="S16" s="7">
        <f>IF(A16&lt;1+Parameters!$G$31,0,INDEX($M$5:$M$40,A16-Parameters!$G$31))</f>
        <v>6602.797723574634</v>
      </c>
      <c r="T16" s="7">
        <f>T15+M16-S16</f>
        <v>6654.014360973737</v>
      </c>
      <c r="U16" s="7">
        <f>S16-N16-O16-Q16</f>
        <v>205.87693867863345</v>
      </c>
      <c r="V16" s="7">
        <f>V15+U16</f>
        <v>-14748.082435322187</v>
      </c>
      <c r="W16" s="7">
        <f>(1-Parameters!$G$7)*(C16-E16)+(1-Parameters!$G$8)*(D16+E16)</f>
        <v>931.2805232640002</v>
      </c>
      <c r="X16" s="7">
        <f>Parameters!$G$7*(C16-E16)+Parameters!$G$8*Parameters!$G$9*(D16+E16)</f>
        <v>2521.52123152689</v>
      </c>
      <c r="Y16" s="7">
        <f>Parameters!$G$8*(1-Parameters!$G$9)*(D16+E16)</f>
        <v>1203.6008615291114</v>
      </c>
      <c r="Z16" s="7">
        <f>POWER(1/(1+Parameters!$G$32),A16-1)*(M16-N16)</f>
        <v>4712.05765744897</v>
      </c>
    </row>
    <row r="17" spans="1:26">
      <c r="A17" s="7">
        <v>13</v>
      </c>
      <c r="B17" s="7">
        <f>Parameters!$G$20</f>
        <v>1000</v>
      </c>
      <c r="C17" s="7">
        <f>X16+B17</f>
        <v>3521.52123152689</v>
      </c>
      <c r="D17" s="7">
        <f>Y16</f>
        <v>1203.6008615291114</v>
      </c>
      <c r="E17" s="7">
        <f>Parameters!$G$6*C17</f>
        <v>352.152123152689</v>
      </c>
      <c r="F17" s="7">
        <f>IF(Parameters!$G$5=1,E17,0)</f>
        <v>0.0</v>
      </c>
      <c r="G17" s="7">
        <f>Parameters!$G$27*G16+F17</f>
        <v>0.0</v>
      </c>
      <c r="H17" s="7">
        <f>IF(AND(Parameters!$G$5=1,Parameters!$G$26=1),SUMPRODUCT(--($A$5:A17&lt;A17),--(MOD(A17-$A$5:A17,Parameters!$G$28)=0),$F$5:F17,POWER(Parameters!$G$27,IF(A17-$A$5:A17=0,1,A17-$A$5:A17))),0)</f>
        <v>0.0</v>
      </c>
      <c r="I17" s="7">
        <f>Parameters!$G$23*I16+B17*Parameters!$G$22</f>
        <v>0.0</v>
      </c>
      <c r="J17" s="7">
        <f>E17*Parameters!$G$14*(1-Parameters!$G$15)</f>
        <v>6690.890339901091</v>
      </c>
      <c r="K17" s="7">
        <f>H17*Parameters!$G$29</f>
        <v>0.0</v>
      </c>
      <c r="L17" s="7">
        <f>I17*Parameters!$G$24</f>
        <v>0.0</v>
      </c>
      <c r="M17" s="7">
        <f>J17+K17+L17</f>
        <v>6690.890339901091</v>
      </c>
      <c r="N17" s="7">
        <f>C17*Parameters!$G$17+D17*Parameters!$G$18+E17*Parameters!$G$16+I17*Parameters!$G$25+G17*Parameters!$G$30</f>
        <v>1417.5366279168004</v>
      </c>
      <c r="O17" s="7">
        <f>B17*Parameters!$G$19</f>
        <v>4000</v>
      </c>
      <c r="P17" s="7">
        <f>M17-N17-O17</f>
        <v>1273.3537119842904</v>
      </c>
      <c r="Q17" s="7">
        <f>Parameters!$G$21</f>
        <v>1000</v>
      </c>
      <c r="R17" s="7">
        <f>P17-Q17</f>
        <v>273.3537119842904</v>
      </c>
      <c r="S17" s="7">
        <f>IF(A17&lt;1+Parameters!$G$31,0,INDEX($M$5:$M$40,A17-Parameters!$G$31))</f>
        <v>6654.014360973737</v>
      </c>
      <c r="T17" s="7">
        <f>T16+M17-S17</f>
        <v>6690.890339901091</v>
      </c>
      <c r="U17" s="7">
        <f>S17-N17-O17-Q17</f>
        <v>236.4777330569368</v>
      </c>
      <c r="V17" s="7">
        <f>V16+U17</f>
        <v>-14511.60470226525</v>
      </c>
      <c r="W17" s="7">
        <f>(1-Parameters!$G$7)*(C17-E17)+(1-Parameters!$G$8)*(D17+E17)</f>
        <v>945.0244186112002</v>
      </c>
      <c r="X17" s="7">
        <f>Parameters!$G$7*(C17-E17)+Parameters!$G$8*Parameters!$G$9*(D17+E17)</f>
        <v>2535.495286699361</v>
      </c>
      <c r="Y17" s="7">
        <f>Parameters!$G$8*(1-Parameters!$G$9)*(D17+E17)</f>
        <v>1244.6023877454404</v>
      </c>
      <c r="Z17" s="7">
        <f>POWER(1/(1+Parameters!$G$32),A17-1)*(M17-N17)</f>
        <v>4679.83366624958</v>
      </c>
    </row>
    <row r="18" spans="1:26">
      <c r="A18" s="7">
        <v>14</v>
      </c>
      <c r="B18" s="7">
        <f>Parameters!$G$20</f>
        <v>1000</v>
      </c>
      <c r="C18" s="7">
        <f>X17+B18</f>
        <v>3535.4952866993613</v>
      </c>
      <c r="D18" s="7">
        <f>Y17</f>
        <v>1244.6023877454404</v>
      </c>
      <c r="E18" s="7">
        <f>Parameters!$G$6*C18</f>
        <v>353.54952866993614</v>
      </c>
      <c r="F18" s="7">
        <f>IF(Parameters!$G$5=1,E18,0)</f>
        <v>0.0</v>
      </c>
      <c r="G18" s="7">
        <f>Parameters!$G$27*G17+F18</f>
        <v>0.0</v>
      </c>
      <c r="H18" s="7">
        <f>IF(AND(Parameters!$G$5=1,Parameters!$G$26=1),SUMPRODUCT(--($A$5:A18&lt;A18),--(MOD(A18-$A$5:A18,Parameters!$G$28)=0),$F$5:F18,POWER(Parameters!$G$27,IF(A18-$A$5:A18=0,1,A18-$A$5:A18))),0)</f>
        <v>0.0</v>
      </c>
      <c r="I18" s="7">
        <f>Parameters!$G$23*I17+B18*Parameters!$G$22</f>
        <v>0.0</v>
      </c>
      <c r="J18" s="7">
        <f>E18*Parameters!$G$14*(1-Parameters!$G$15)</f>
        <v>6717.441044728786</v>
      </c>
      <c r="K18" s="7">
        <f>H18*Parameters!$G$29</f>
        <v>0.0</v>
      </c>
      <c r="L18" s="7">
        <f>I18*Parameters!$G$24</f>
        <v>0.0</v>
      </c>
      <c r="M18" s="7">
        <f>J18+K18+L18</f>
        <v>6717.441044728786</v>
      </c>
      <c r="N18" s="7">
        <f>C18*Parameters!$G$17+D18*Parameters!$G$18+E18*Parameters!$G$16+I18*Parameters!$G$25+G18*Parameters!$G$30</f>
        <v>1434.0293023334405</v>
      </c>
      <c r="O18" s="7">
        <f>B18*Parameters!$G$19</f>
        <v>4000</v>
      </c>
      <c r="P18" s="7">
        <f>M18-N18-O18</f>
        <v>1283.4117423953458</v>
      </c>
      <c r="Q18" s="7">
        <f>Parameters!$G$21</f>
        <v>1000</v>
      </c>
      <c r="R18" s="7">
        <f>P18-Q18</f>
        <v>283.41174239534575</v>
      </c>
      <c r="S18" s="7">
        <f>IF(A18&lt;1+Parameters!$G$31,0,INDEX($M$5:$M$40,A18-Parameters!$G$31))</f>
        <v>6690.890339901091</v>
      </c>
      <c r="T18" s="7">
        <f>T17+M18-S18</f>
        <v>6717.441044728786</v>
      </c>
      <c r="U18" s="7">
        <f>S18-N18-O18-Q18</f>
        <v>256.8610375676499</v>
      </c>
      <c r="V18" s="7">
        <f>V17+U18</f>
        <v>-14254.743664697598</v>
      </c>
      <c r="W18" s="7">
        <f>(1-Parameters!$G$7)*(C18-E18)+(1-Parameters!$G$8)*(D18+E18)</f>
        <v>956.0195348889602</v>
      </c>
      <c r="X18" s="7">
        <f>Parameters!$G$7*(C18-E18)+Parameters!$G$8*Parameters!$G$9*(D18+E18)</f>
        <v>2545.5566064235404</v>
      </c>
      <c r="Y18" s="7">
        <f>Parameters!$G$8*(1-Parameters!$G$9)*(D18+E18)</f>
        <v>1278.5215331323013</v>
      </c>
      <c r="Z18" s="7">
        <f>POWER(1/(1+Parameters!$G$32),A18-1)*(M18-N18)</f>
        <v>4642.336294599569</v>
      </c>
    </row>
    <row r="19" spans="1:26">
      <c r="A19" s="7">
        <v>15</v>
      </c>
      <c r="B19" s="7">
        <f>Parameters!$G$20</f>
        <v>1000</v>
      </c>
      <c r="C19" s="7">
        <f>X18+B19</f>
        <v>3545.5566064235404</v>
      </c>
      <c r="D19" s="7">
        <f>Y18</f>
        <v>1278.5215331323013</v>
      </c>
      <c r="E19" s="7">
        <f>Parameters!$G$6*C19</f>
        <v>354.55566064235404</v>
      </c>
      <c r="F19" s="7">
        <f>IF(Parameters!$G$5=1,E19,0)</f>
        <v>0.0</v>
      </c>
      <c r="G19" s="7">
        <f>Parameters!$G$27*G18+F19</f>
        <v>0.0</v>
      </c>
      <c r="H19" s="7">
        <f>IF(AND(Parameters!$G$5=1,Parameters!$G$26=1),SUMPRODUCT(--($A$5:A19&lt;A19),--(MOD(A19-$A$5:A19,Parameters!$G$28)=0),$F$5:F19,POWER(Parameters!$G$27,IF(A19-$A$5:A19=0,1,A19-$A$5:A19))),0)</f>
        <v>0.0</v>
      </c>
      <c r="I19" s="7">
        <f>Parameters!$G$23*I18+B19*Parameters!$G$22</f>
        <v>0.0</v>
      </c>
      <c r="J19" s="7">
        <f>E19*Parameters!$G$14*(1-Parameters!$G$15)</f>
        <v>6736.557552204727</v>
      </c>
      <c r="K19" s="7">
        <f>H19*Parameters!$G$29</f>
        <v>0.0</v>
      </c>
      <c r="L19" s="7">
        <f>I19*Parameters!$G$24</f>
        <v>0.0</v>
      </c>
      <c r="M19" s="7">
        <f>J19+K19+L19</f>
        <v>6736.557552204727</v>
      </c>
      <c r="N19" s="7">
        <f>C19*Parameters!$G$17+D19*Parameters!$G$18+E19*Parameters!$G$16+I19*Parameters!$G$25+G19*Parameters!$G$30</f>
        <v>1447.2234418667524</v>
      </c>
      <c r="O19" s="7">
        <f>B19*Parameters!$G$19</f>
        <v>4000</v>
      </c>
      <c r="P19" s="7">
        <f>M19-N19-O19</f>
        <v>1289.3341103379744</v>
      </c>
      <c r="Q19" s="7">
        <f>Parameters!$G$21</f>
        <v>1000</v>
      </c>
      <c r="R19" s="7">
        <f>P19-Q19</f>
        <v>289.3341103379744</v>
      </c>
      <c r="S19" s="7">
        <f>IF(A19&lt;1+Parameters!$G$31,0,INDEX($M$5:$M$40,A19-Parameters!$G$31))</f>
        <v>6717.441044728786</v>
      </c>
      <c r="T19" s="7">
        <f>T18+M19-S19</f>
        <v>6736.557552204727</v>
      </c>
      <c r="U19" s="7">
        <f>S19-N19-O19-Q19</f>
        <v>270.21760286203425</v>
      </c>
      <c r="V19" s="7">
        <f>V18+U19</f>
        <v>-13984.526061835564</v>
      </c>
      <c r="W19" s="7">
        <f>(1-Parameters!$G$7)*(C19-E19)+(1-Parameters!$G$8)*(D19+E19)</f>
        <v>964.8156279111682</v>
      </c>
      <c r="X19" s="7">
        <f>Parameters!$G$7*(C19-E19)+Parameters!$G$8*Parameters!$G$9*(D19+E19)</f>
        <v>2552.8007566249494</v>
      </c>
      <c r="Y19" s="7">
        <f>Parameters!$G$8*(1-Parameters!$G$9)*(D19+E19)</f>
        <v>1306.4617550197245</v>
      </c>
      <c r="Z19" s="7">
        <f>POWER(1/(1+Parameters!$G$32),A19-1)*(M19-N19)</f>
        <v>4601.524809712759</v>
      </c>
    </row>
    <row r="20" spans="1:26">
      <c r="A20" s="7">
        <v>16</v>
      </c>
      <c r="B20" s="7">
        <f>Parameters!$G$20</f>
        <v>1000</v>
      </c>
      <c r="C20" s="7">
        <f>X19+B20</f>
        <v>3552.8007566249494</v>
      </c>
      <c r="D20" s="7">
        <f>Y19</f>
        <v>1306.4617550197245</v>
      </c>
      <c r="E20" s="7">
        <f>Parameters!$G$6*C20</f>
        <v>355.28007566249494</v>
      </c>
      <c r="F20" s="7">
        <f>IF(Parameters!$G$5=1,E20,0)</f>
        <v>0.0</v>
      </c>
      <c r="G20" s="7">
        <f>Parameters!$G$27*G19+F20</f>
        <v>0.0</v>
      </c>
      <c r="H20" s="7">
        <f>IF(AND(Parameters!$G$5=1,Parameters!$G$26=1),SUMPRODUCT(--($A$5:A20&lt;A20),--(MOD(A20-$A$5:A20,Parameters!$G$28)=0),$F$5:F20,POWER(Parameters!$G$27,IF(A20-$A$5:A20=0,1,A20-$A$5:A20))),0)</f>
        <v>0.0</v>
      </c>
      <c r="I20" s="7">
        <f>Parameters!$G$23*I19+B20*Parameters!$G$22</f>
        <v>0.0</v>
      </c>
      <c r="J20" s="7">
        <f>E20*Parameters!$G$14*(1-Parameters!$G$15)</f>
        <v>6750.321437587403</v>
      </c>
      <c r="K20" s="7">
        <f>H20*Parameters!$G$29</f>
        <v>0.0</v>
      </c>
      <c r="L20" s="7">
        <f>I20*Parameters!$G$24</f>
        <v>0.0</v>
      </c>
      <c r="M20" s="7">
        <f>J20+K20+L20</f>
        <v>6750.321437587403</v>
      </c>
      <c r="N20" s="7">
        <f>C20*Parameters!$G$17+D20*Parameters!$G$18+E20*Parameters!$G$16+I20*Parameters!$G$25+G20*Parameters!$G$30</f>
        <v>1457.778753493402</v>
      </c>
      <c r="O20" s="7">
        <f>B20*Parameters!$G$19</f>
        <v>4000</v>
      </c>
      <c r="P20" s="7">
        <f>M20-N20-O20</f>
        <v>1292.5426840940008</v>
      </c>
      <c r="Q20" s="7">
        <f>Parameters!$G$21</f>
        <v>1000</v>
      </c>
      <c r="R20" s="7">
        <f>P20-Q20</f>
        <v>292.54268409400083</v>
      </c>
      <c r="S20" s="7">
        <f>IF(A20&lt;1+Parameters!$G$31,0,INDEX($M$5:$M$40,A20-Parameters!$G$31))</f>
        <v>6736.557552204727</v>
      </c>
      <c r="T20" s="7">
        <f>T19+M20-S20</f>
        <v>6750.321437587403</v>
      </c>
      <c r="U20" s="7">
        <f>S20-N20-O20-Q20</f>
        <v>278.77879871132427</v>
      </c>
      <c r="V20" s="7">
        <f>V19+U20</f>
        <v>-13705.74726312424</v>
      </c>
      <c r="W20" s="7">
        <f>(1-Parameters!$G$7)*(C20-E20)+(1-Parameters!$G$8)*(D20+E20)</f>
        <v>971.8525023289346</v>
      </c>
      <c r="X20" s="7">
        <f>Parameters!$G$7*(C20-E20)+Parameters!$G$8*Parameters!$G$9*(D20+E20)</f>
        <v>2558.0165447699637</v>
      </c>
      <c r="Y20" s="7">
        <f>Parameters!$G$8*(1-Parameters!$G$9)*(D20+E20)</f>
        <v>1329.3934645457757</v>
      </c>
      <c r="Z20" s="7">
        <f>POWER(1/(1+Parameters!$G$32),A20-1)*(M20-N20)</f>
        <v>4558.728861451146</v>
      </c>
    </row>
    <row r="21" spans="1:26">
      <c r="A21" s="7">
        <v>17</v>
      </c>
      <c r="B21" s="7">
        <f>Parameters!$G$20</f>
        <v>1000</v>
      </c>
      <c r="C21" s="7">
        <f>X20+B21</f>
        <v>3558.0165447699637</v>
      </c>
      <c r="D21" s="7">
        <f>Y20</f>
        <v>1329.3934645457755</v>
      </c>
      <c r="E21" s="7">
        <f>Parameters!$G$6*C21</f>
        <v>355.8016544769964</v>
      </c>
      <c r="F21" s="7">
        <f>IF(Parameters!$G$5=1,E21,0)</f>
        <v>0.0</v>
      </c>
      <c r="G21" s="7">
        <f>Parameters!$G$27*G20+F21</f>
        <v>0.0</v>
      </c>
      <c r="H21" s="7">
        <f>IF(AND(Parameters!$G$5=1,Parameters!$G$26=1),SUMPRODUCT(--($A$5:A21&lt;A21),--(MOD(A21-$A$5:A21,Parameters!$G$28)=0),$F$5:F21,POWER(Parameters!$G$27,IF(A21-$A$5:A21=0,1,A21-$A$5:A21))),0)</f>
        <v>0.0</v>
      </c>
      <c r="I21" s="7">
        <f>Parameters!$G$23*I20+B21*Parameters!$G$22</f>
        <v>0.0</v>
      </c>
      <c r="J21" s="7">
        <f>E21*Parameters!$G$14*(1-Parameters!$G$15)</f>
        <v>6760.231435062931</v>
      </c>
      <c r="K21" s="7">
        <f>H21*Parameters!$G$29</f>
        <v>0.0</v>
      </c>
      <c r="L21" s="7">
        <f>I21*Parameters!$G$24</f>
        <v>0.0</v>
      </c>
      <c r="M21" s="7">
        <f>J21+K21+L21</f>
        <v>6760.231435062931</v>
      </c>
      <c r="N21" s="7">
        <f>C21*Parameters!$G$17+D21*Parameters!$G$18+E21*Parameters!$G$16+I21*Parameters!$G$25+G21*Parameters!$G$30</f>
        <v>1466.2230027947219</v>
      </c>
      <c r="O21" s="7">
        <f>B21*Parameters!$G$19</f>
        <v>4000</v>
      </c>
      <c r="P21" s="7">
        <f>M21-N21-O21</f>
        <v>1294.0084322682096</v>
      </c>
      <c r="Q21" s="7">
        <f>Parameters!$G$21</f>
        <v>1000</v>
      </c>
      <c r="R21" s="7">
        <f>P21-Q21</f>
        <v>294.0084322682096</v>
      </c>
      <c r="S21" s="7">
        <f>IF(A21&lt;1+Parameters!$G$31,0,INDEX($M$5:$M$40,A21-Parameters!$G$31))</f>
        <v>6750.321437587403</v>
      </c>
      <c r="T21" s="7">
        <f>T20+M21-S21</f>
        <v>6760.231435062931</v>
      </c>
      <c r="U21" s="7">
        <f>S21-N21-O21-Q21</f>
        <v>284.0984347926815</v>
      </c>
      <c r="V21" s="7">
        <f>V20+U21</f>
        <v>-13421.64882833156</v>
      </c>
      <c r="W21" s="7">
        <f>(1-Parameters!$G$7)*(C21-E21)+(1-Parameters!$G$8)*(D21+E21)</f>
        <v>977.4820018631477</v>
      </c>
      <c r="X21" s="7">
        <f>Parameters!$G$7*(C21-E21)+Parameters!$G$8*Parameters!$G$9*(D21+E21)</f>
        <v>2561.771912234374</v>
      </c>
      <c r="Y21" s="7">
        <f>Parameters!$G$8*(1-Parameters!$G$9)*(D21+E21)</f>
        <v>1348.1560952182176</v>
      </c>
      <c r="Z21" s="7">
        <f>POWER(1/(1+Parameters!$G$32),A21-1)*(M21-N21)</f>
        <v>4514.842953337853</v>
      </c>
    </row>
    <row r="22" spans="1:26">
      <c r="A22" s="7">
        <v>18</v>
      </c>
      <c r="B22" s="7">
        <f>Parameters!$G$20</f>
        <v>1000</v>
      </c>
      <c r="C22" s="7">
        <f>X21+B22</f>
        <v>3561.771912234374</v>
      </c>
      <c r="D22" s="7">
        <f>Y21</f>
        <v>1348.1560952182176</v>
      </c>
      <c r="E22" s="7">
        <f>Parameters!$G$6*C22</f>
        <v>356.17719122343743</v>
      </c>
      <c r="F22" s="7">
        <f>IF(Parameters!$G$5=1,E22,0)</f>
        <v>0.0</v>
      </c>
      <c r="G22" s="7">
        <f>Parameters!$G$27*G21+F22</f>
        <v>0.0</v>
      </c>
      <c r="H22" s="7">
        <f>IF(AND(Parameters!$G$5=1,Parameters!$G$26=1),SUMPRODUCT(--($A$5:A22&lt;A22),--(MOD(A22-$A$5:A22,Parameters!$G$28)=0),$F$5:F22,POWER(Parameters!$G$27,IF(A22-$A$5:A22=0,1,A22-$A$5:A22))),0)</f>
        <v>0.0</v>
      </c>
      <c r="I22" s="7">
        <f>Parameters!$G$23*I21+B22*Parameters!$G$22</f>
        <v>0.0</v>
      </c>
      <c r="J22" s="7">
        <f>E22*Parameters!$G$14*(1-Parameters!$G$15)</f>
        <v>6767.36663324531</v>
      </c>
      <c r="K22" s="7">
        <f>H22*Parameters!$G$29</f>
        <v>0.0</v>
      </c>
      <c r="L22" s="7">
        <f>I22*Parameters!$G$24</f>
        <v>0.0</v>
      </c>
      <c r="M22" s="7">
        <f>J22+K22+L22</f>
        <v>6767.36663324531</v>
      </c>
      <c r="N22" s="7">
        <f>C22*Parameters!$G$17+D22*Parameters!$G$18+E22*Parameters!$G$16+I22*Parameters!$G$25+G22*Parameters!$G$30</f>
        <v>1472.9784022357776</v>
      </c>
      <c r="O22" s="7">
        <f>B22*Parameters!$G$19</f>
        <v>4000</v>
      </c>
      <c r="P22" s="7">
        <f>M22-N22-O22</f>
        <v>1294.3882310095323</v>
      </c>
      <c r="Q22" s="7">
        <f>Parameters!$G$21</f>
        <v>1000</v>
      </c>
      <c r="R22" s="7">
        <f>P22-Q22</f>
        <v>294.3882310095323</v>
      </c>
      <c r="S22" s="7">
        <f>IF(A22&lt;1+Parameters!$G$31,0,INDEX($M$5:$M$40,A22-Parameters!$G$31))</f>
        <v>6760.231435062931</v>
      </c>
      <c r="T22" s="7">
        <f>T21+M22-S22</f>
        <v>6767.36663324531</v>
      </c>
      <c r="U22" s="7">
        <f>S22-N22-O22-Q22</f>
        <v>287.2530328271532</v>
      </c>
      <c r="V22" s="7">
        <f>V21+U22</f>
        <v>-13134.395795504406</v>
      </c>
      <c r="W22" s="7">
        <f>(1-Parameters!$G$7)*(C22-E22)+(1-Parameters!$G$8)*(D22+E22)</f>
        <v>981.9856014905182</v>
      </c>
      <c r="X22" s="7">
        <f>Parameters!$G$7*(C22-E22)+Parameters!$G$8*Parameters!$G$9*(D22+E22)</f>
        <v>2564.4757768087493</v>
      </c>
      <c r="Y22" s="7">
        <f>Parameters!$G$8*(1-Parameters!$G$9)*(D22+E22)</f>
        <v>1363.466629153324</v>
      </c>
      <c r="Z22" s="7">
        <f>POWER(1/(1+Parameters!$G$32),A22-1)*(M22-N22)</f>
        <v>4470.462231465161</v>
      </c>
    </row>
    <row r="23" spans="1:26">
      <c r="A23" s="7">
        <v>19</v>
      </c>
      <c r="B23" s="7">
        <f>Parameters!$G$20</f>
        <v>1000</v>
      </c>
      <c r="C23" s="7">
        <f>X22+B23</f>
        <v>3564.4757768087497</v>
      </c>
      <c r="D23" s="7">
        <f>Y22</f>
        <v>1363.4666291533242</v>
      </c>
      <c r="E23" s="7">
        <f>Parameters!$G$6*C23</f>
        <v>356.447577680875</v>
      </c>
      <c r="F23" s="7">
        <f>IF(Parameters!$G$5=1,E23,0)</f>
        <v>0.0</v>
      </c>
      <c r="G23" s="7">
        <f>Parameters!$G$27*G22+F23</f>
        <v>0.0</v>
      </c>
      <c r="H23" s="7">
        <f>IF(AND(Parameters!$G$5=1,Parameters!$G$26=1),SUMPRODUCT(--($A$5:A23&lt;A23),--(MOD(A23-$A$5:A23,Parameters!$G$28)=0),$F$5:F23,POWER(Parameters!$G$27,IF(A23-$A$5:A23=0,1,A23-$A$5:A23))),0)</f>
        <v>0.0</v>
      </c>
      <c r="I23" s="7">
        <f>Parameters!$G$23*I22+B23*Parameters!$G$22</f>
        <v>0.0</v>
      </c>
      <c r="J23" s="7">
        <f>E23*Parameters!$G$14*(1-Parameters!$G$15)</f>
        <v>6772.503975936625</v>
      </c>
      <c r="K23" s="7">
        <f>H23*Parameters!$G$29</f>
        <v>0.0</v>
      </c>
      <c r="L23" s="7">
        <f>I23*Parameters!$G$24</f>
        <v>0.0</v>
      </c>
      <c r="M23" s="7">
        <f>J23+K23+L23</f>
        <v>6772.503975936625</v>
      </c>
      <c r="N23" s="7">
        <f>C23*Parameters!$G$17+D23*Parameters!$G$18+E23*Parameters!$G$16+I23*Parameters!$G$25+G23*Parameters!$G$30</f>
        <v>1478.3827217886221</v>
      </c>
      <c r="O23" s="7">
        <f>B23*Parameters!$G$19</f>
        <v>4000</v>
      </c>
      <c r="P23" s="7">
        <f>M23-N23-O23</f>
        <v>1294.1212541480027</v>
      </c>
      <c r="Q23" s="7">
        <f>Parameters!$G$21</f>
        <v>1000</v>
      </c>
      <c r="R23" s="7">
        <f>P23-Q23</f>
        <v>294.12125414800266</v>
      </c>
      <c r="S23" s="7">
        <f>IF(A23&lt;1+Parameters!$G$31,0,INDEX($M$5:$M$40,A23-Parameters!$G$31))</f>
        <v>6767.36663324531</v>
      </c>
      <c r="T23" s="7">
        <f>T22+M23-S23</f>
        <v>6772.503975936625</v>
      </c>
      <c r="U23" s="7">
        <f>S23-N23-O23-Q23</f>
        <v>288.9839114566885</v>
      </c>
      <c r="V23" s="7">
        <f>V22+U23</f>
        <v>-12845.411884047717</v>
      </c>
      <c r="W23" s="7">
        <f>(1-Parameters!$G$7)*(C23-E23)+(1-Parameters!$G$8)*(D23+E23)</f>
        <v>985.5884811924146</v>
      </c>
      <c r="X23" s="7">
        <f>Parameters!$G$7*(C23-E23)+Parameters!$G$8*Parameters!$G$9*(D23+E23)</f>
        <v>2566.4225593023</v>
      </c>
      <c r="Y23" s="7">
        <f>Parameters!$G$8*(1-Parameters!$G$9)*(D23+E23)</f>
        <v>1375.9313654673595</v>
      </c>
      <c r="Z23" s="7">
        <f>POWER(1/(1+Parameters!$G$32),A23-1)*(M23-N23)</f>
        <v>4425.977031894699</v>
      </c>
    </row>
    <row r="24" spans="1:26">
      <c r="A24" s="7">
        <v>20</v>
      </c>
      <c r="B24" s="7">
        <f>Parameters!$G$20</f>
        <v>1000</v>
      </c>
      <c r="C24" s="7">
        <f>X23+B24</f>
        <v>3566.4225593023</v>
      </c>
      <c r="D24" s="7">
        <f>Y23</f>
        <v>1375.9313654673595</v>
      </c>
      <c r="E24" s="7">
        <f>Parameters!$G$6*C24</f>
        <v>356.64225593023</v>
      </c>
      <c r="F24" s="7">
        <f>IF(Parameters!$G$5=1,E24,0)</f>
        <v>0.0</v>
      </c>
      <c r="G24" s="7">
        <f>Parameters!$G$27*G23+F24</f>
        <v>0.0</v>
      </c>
      <c r="H24" s="7">
        <f>IF(AND(Parameters!$G$5=1,Parameters!$G$26=1),SUMPRODUCT(--($A$5:A24&lt;A24),--(MOD(A24-$A$5:A24,Parameters!$G$28)=0),$F$5:F24,POWER(Parameters!$G$27,IF(A24-$A$5:A24=0,1,A24-$A$5:A24))),0)</f>
        <v>0.0</v>
      </c>
      <c r="I24" s="7">
        <f>Parameters!$G$23*I23+B24*Parameters!$G$22</f>
        <v>0.0</v>
      </c>
      <c r="J24" s="7">
        <f>E24*Parameters!$G$14*(1-Parameters!$G$15)</f>
        <v>6776.20286267437</v>
      </c>
      <c r="K24" s="7">
        <f>H24*Parameters!$G$29</f>
        <v>0.0</v>
      </c>
      <c r="L24" s="7">
        <f>I24*Parameters!$G$24</f>
        <v>0.0</v>
      </c>
      <c r="M24" s="7">
        <f>J24+K24+L24</f>
        <v>6776.20286267437</v>
      </c>
      <c r="N24" s="7">
        <f>C24*Parameters!$G$17+D24*Parameters!$G$18+E24*Parameters!$G$16+I24*Parameters!$G$25+G24*Parameters!$G$30</f>
        <v>1482.706177430898</v>
      </c>
      <c r="O24" s="7">
        <f>B24*Parameters!$G$19</f>
        <v>4000</v>
      </c>
      <c r="P24" s="7">
        <f>M24-N24-O24</f>
        <v>1293.4966852434727</v>
      </c>
      <c r="Q24" s="7">
        <f>Parameters!$G$21</f>
        <v>1000</v>
      </c>
      <c r="R24" s="7">
        <f>P24-Q24</f>
        <v>293.4966852434727</v>
      </c>
      <c r="S24" s="7">
        <f>IF(A24&lt;1+Parameters!$G$31,0,INDEX($M$5:$M$40,A24-Parameters!$G$31))</f>
        <v>6772.503975936625</v>
      </c>
      <c r="T24" s="7">
        <f>T23+M24-S24</f>
        <v>6776.20286267437</v>
      </c>
      <c r="U24" s="7">
        <f>S24-N24-O24-Q24</f>
        <v>289.79779850572686</v>
      </c>
      <c r="V24" s="7">
        <f>V23+U24</f>
        <v>-12555.61408554199</v>
      </c>
      <c r="W24" s="7">
        <f>(1-Parameters!$G$7)*(C24-E24)+(1-Parameters!$G$8)*(D24+E24)</f>
        <v>988.4707849539318</v>
      </c>
      <c r="X24" s="7">
        <f>Parameters!$G$7*(C24-E24)+Parameters!$G$8*Parameters!$G$9*(D24+E24)</f>
        <v>2567.8242426976562</v>
      </c>
      <c r="Y24" s="7">
        <f>Parameters!$G$8*(1-Parameters!$G$9)*(D24+E24)</f>
        <v>1386.0588971180716</v>
      </c>
      <c r="Z24" s="7">
        <f>POWER(1/(1+Parameters!$G$32),A24-1)*(M24-N24)</f>
        <v>4381.638496511491</v>
      </c>
    </row>
    <row r="25" spans="1:26">
      <c r="A25" s="7">
        <v>21</v>
      </c>
      <c r="B25" s="7">
        <f>Parameters!$G$20</f>
        <v>1000</v>
      </c>
      <c r="C25" s="7">
        <f>X24+B25</f>
        <v>3567.8242426976562</v>
      </c>
      <c r="D25" s="7">
        <f>Y24</f>
        <v>1386.0588971180716</v>
      </c>
      <c r="E25" s="7">
        <f>Parameters!$G$6*C25</f>
        <v>356.78242426976567</v>
      </c>
      <c r="F25" s="7">
        <f>IF(Parameters!$G$5=1,E25,0)</f>
        <v>0.0</v>
      </c>
      <c r="G25" s="7">
        <f>Parameters!$G$27*G24+F25</f>
        <v>0.0</v>
      </c>
      <c r="H25" s="7">
        <f>IF(AND(Parameters!$G$5=1,Parameters!$G$26=1),SUMPRODUCT(--($A$5:A25&lt;A25),--(MOD(A25-$A$5:A25,Parameters!$G$28)=0),$F$5:F25,POWER(Parameters!$G$27,IF(A25-$A$5:A25=0,1,A25-$A$5:A25))),0)</f>
        <v>0.0</v>
      </c>
      <c r="I25" s="7">
        <f>Parameters!$G$23*I24+B25*Parameters!$G$22</f>
        <v>0.0</v>
      </c>
      <c r="J25" s="7">
        <f>E25*Parameters!$G$14*(1-Parameters!$G$15)</f>
        <v>6778.866061125547</v>
      </c>
      <c r="K25" s="7">
        <f>H25*Parameters!$G$29</f>
        <v>0.0</v>
      </c>
      <c r="L25" s="7">
        <f>I25*Parameters!$G$24</f>
        <v>0.0</v>
      </c>
      <c r="M25" s="7">
        <f>J25+K25+L25</f>
        <v>6778.866061125547</v>
      </c>
      <c r="N25" s="7">
        <f>C25*Parameters!$G$17+D25*Parameters!$G$18+E25*Parameters!$G$16+I25*Parameters!$G$25+G25*Parameters!$G$30</f>
        <v>1486.1649419447185</v>
      </c>
      <c r="O25" s="7">
        <f>B25*Parameters!$G$19</f>
        <v>4000</v>
      </c>
      <c r="P25" s="7">
        <f>M25-N25-O25</f>
        <v>1292.7011191808288</v>
      </c>
      <c r="Q25" s="7">
        <f>Parameters!$G$21</f>
        <v>1000</v>
      </c>
      <c r="R25" s="7">
        <f>P25-Q25</f>
        <v>292.70111918082875</v>
      </c>
      <c r="S25" s="7">
        <f>IF(A25&lt;1+Parameters!$G$31,0,INDEX($M$5:$M$40,A25-Parameters!$G$31))</f>
        <v>6776.20286267437</v>
      </c>
      <c r="T25" s="7">
        <f>T24+M25-S25</f>
        <v>6778.866061125547</v>
      </c>
      <c r="U25" s="7">
        <f>S25-N25-O25-Q25</f>
        <v>290.0379207296519</v>
      </c>
      <c r="V25" s="7">
        <f>V24+U25</f>
        <v>-12265.576164812339</v>
      </c>
      <c r="W25" s="7">
        <f>(1-Parameters!$G$7)*(C25-E25)+(1-Parameters!$G$8)*(D25+E25)</f>
        <v>990.7766279631454</v>
      </c>
      <c r="X25" s="7">
        <f>Parameters!$G$7*(C25-E25)+Parameters!$G$8*Parameters!$G$9*(D25+E25)</f>
        <v>2568.833454742313</v>
      </c>
      <c r="Y25" s="7">
        <f>Parameters!$G$8*(1-Parameters!$G$9)*(D25+E25)</f>
        <v>1394.27305711027</v>
      </c>
      <c r="Z25" s="7">
        <f>POWER(1/(1+Parameters!$G$32),A25-1)*(M25-N25)</f>
        <v>4337.603935372663</v>
      </c>
    </row>
    <row r="26" spans="1:26">
      <c r="A26" s="7">
        <v>22</v>
      </c>
      <c r="B26" s="7">
        <f>Parameters!$G$20</f>
        <v>1000</v>
      </c>
      <c r="C26" s="7">
        <f>X25+B26</f>
        <v>3568.833454742313</v>
      </c>
      <c r="D26" s="7">
        <f>Y25</f>
        <v>1394.27305711027</v>
      </c>
      <c r="E26" s="7">
        <f>Parameters!$G$6*C26</f>
        <v>356.8833454742313</v>
      </c>
      <c r="F26" s="7">
        <f>IF(Parameters!$G$5=1,E26,0)</f>
        <v>0.0</v>
      </c>
      <c r="G26" s="7">
        <f>Parameters!$G$27*G25+F26</f>
        <v>0.0</v>
      </c>
      <c r="H26" s="7">
        <f>IF(AND(Parameters!$G$5=1,Parameters!$G$26=1),SUMPRODUCT(--($A$5:A26&lt;A26),--(MOD(A26-$A$5:A26,Parameters!$G$28)=0),$F$5:F26,POWER(Parameters!$G$27,IF(A26-$A$5:A26=0,1,A26-$A$5:A26))),0)</f>
        <v>0.0</v>
      </c>
      <c r="I26" s="7">
        <f>Parameters!$G$23*I25+B26*Parameters!$G$22</f>
        <v>0.0</v>
      </c>
      <c r="J26" s="7">
        <f>E26*Parameters!$G$14*(1-Parameters!$G$15)</f>
        <v>6780.783564010394</v>
      </c>
      <c r="K26" s="7">
        <f>H26*Parameters!$G$29</f>
        <v>0.0</v>
      </c>
      <c r="L26" s="7">
        <f>I26*Parameters!$G$24</f>
        <v>0.0</v>
      </c>
      <c r="M26" s="7">
        <f>J26+K26+L26</f>
        <v>6780.783564010394</v>
      </c>
      <c r="N26" s="7">
        <f>C26*Parameters!$G$17+D26*Parameters!$G$18+E26*Parameters!$G$16+I26*Parameters!$G$25+G26*Parameters!$G$30</f>
        <v>1488.9319535557747</v>
      </c>
      <c r="O26" s="7">
        <f>B26*Parameters!$G$19</f>
        <v>4000</v>
      </c>
      <c r="P26" s="7">
        <f>M26-N26-O26</f>
        <v>1291.8516104546197</v>
      </c>
      <c r="Q26" s="7">
        <f>Parameters!$G$21</f>
        <v>1000</v>
      </c>
      <c r="R26" s="7">
        <f>P26-Q26</f>
        <v>291.85161045461973</v>
      </c>
      <c r="S26" s="7">
        <f>IF(A26&lt;1+Parameters!$G$31,0,INDEX($M$5:$M$40,A26-Parameters!$G$31))</f>
        <v>6778.866061125547</v>
      </c>
      <c r="T26" s="7">
        <f>T25+M26-S26</f>
        <v>6780.783564010394</v>
      </c>
      <c r="U26" s="7">
        <f>S26-N26-O26-Q26</f>
        <v>289.9341075697721</v>
      </c>
      <c r="V26" s="7">
        <f>V25+U26</f>
        <v>-11975.642057242567</v>
      </c>
      <c r="W26" s="7">
        <f>(1-Parameters!$G$7)*(C26-E26)+(1-Parameters!$G$8)*(D26+E26)</f>
        <v>992.6213023705164</v>
      </c>
      <c r="X26" s="7">
        <f>Parameters!$G$7*(C26-E26)+Parameters!$G$8*Parameters!$G$9*(D26+E26)</f>
        <v>2569.5600874144657</v>
      </c>
      <c r="Y26" s="7">
        <f>Parameters!$G$8*(1-Parameters!$G$9)*(D26+E26)</f>
        <v>1400.9251220676013</v>
      </c>
      <c r="Z26" s="7">
        <f>POWER(1/(1+Parameters!$G$32),A26-1)*(M26-N26)</f>
        <v>4293.968044746134</v>
      </c>
    </row>
    <row r="27" spans="1:26">
      <c r="A27" s="7">
        <v>23</v>
      </c>
      <c r="B27" s="7">
        <f>Parameters!$G$20</f>
        <v>1000</v>
      </c>
      <c r="C27" s="7">
        <f>X26+B27</f>
        <v>3569.5600874144657</v>
      </c>
      <c r="D27" s="7">
        <f>Y26</f>
        <v>1400.925122067601</v>
      </c>
      <c r="E27" s="7">
        <f>Parameters!$G$6*C27</f>
        <v>356.95600874144657</v>
      </c>
      <c r="F27" s="7">
        <f>IF(Parameters!$G$5=1,E27,0)</f>
        <v>0.0</v>
      </c>
      <c r="G27" s="7">
        <f>Parameters!$G$27*G26+F27</f>
        <v>0.0</v>
      </c>
      <c r="H27" s="7">
        <f>IF(AND(Parameters!$G$5=1,Parameters!$G$26=1),SUMPRODUCT(--($A$5:A27&lt;A27),--(MOD(A27-$A$5:A27,Parameters!$G$28)=0),$F$5:F27,POWER(Parameters!$G$27,IF(A27-$A$5:A27=0,1,A27-$A$5:A27))),0)</f>
        <v>0.0</v>
      </c>
      <c r="I27" s="7">
        <f>Parameters!$G$23*I26+B27*Parameters!$G$22</f>
        <v>0.0</v>
      </c>
      <c r="J27" s="7">
        <f>E27*Parameters!$G$14*(1-Parameters!$G$15)</f>
        <v>6782.164166087485</v>
      </c>
      <c r="K27" s="7">
        <f>H27*Parameters!$G$29</f>
        <v>0.0</v>
      </c>
      <c r="L27" s="7">
        <f>I27*Parameters!$G$24</f>
        <v>0.0</v>
      </c>
      <c r="M27" s="7">
        <f>J27+K27+L27</f>
        <v>6782.164166087485</v>
      </c>
      <c r="N27" s="7">
        <f>C27*Parameters!$G$17+D27*Parameters!$G$18+E27*Parameters!$G$16+I27*Parameters!$G$25+G27*Parameters!$G$30</f>
        <v>1491.14556284462</v>
      </c>
      <c r="O27" s="7">
        <f>B27*Parameters!$G$19</f>
        <v>4000</v>
      </c>
      <c r="P27" s="7">
        <f>M27-N27-O27</f>
        <v>1291.0186032428646</v>
      </c>
      <c r="Q27" s="7">
        <f>Parameters!$G$21</f>
        <v>1000</v>
      </c>
      <c r="R27" s="7">
        <f>P27-Q27</f>
        <v>291.01860324286463</v>
      </c>
      <c r="S27" s="7">
        <f>IF(A27&lt;1+Parameters!$G$31,0,INDEX($M$5:$M$40,A27-Parameters!$G$31))</f>
        <v>6780.783564010394</v>
      </c>
      <c r="T27" s="7">
        <f>T26+M27-S27</f>
        <v>6782.164166087485</v>
      </c>
      <c r="U27" s="7">
        <f>S27-N27-O27-Q27</f>
        <v>289.63800116577386</v>
      </c>
      <c r="V27" s="7">
        <f>V26+U27</f>
        <v>-11686.004056076792</v>
      </c>
      <c r="W27" s="7">
        <f>(1-Parameters!$G$7)*(C27-E27)+(1-Parameters!$G$8)*(D27+E27)</f>
        <v>994.0970418964132</v>
      </c>
      <c r="X27" s="7">
        <f>Parameters!$G$7*(C27-E27)+Parameters!$G$8*Parameters!$G$9*(D27+E27)</f>
        <v>2570.0832629384154</v>
      </c>
      <c r="Y27" s="7">
        <f>Parameters!$G$8*(1-Parameters!$G$9)*(D27+E27)</f>
        <v>1406.3049046472381</v>
      </c>
      <c r="Z27" s="7">
        <f>POWER(1/(1+Parameters!$G$32),A27-1)*(M27-N27)</f>
        <v>4250.784274815655</v>
      </c>
    </row>
    <row r="28" spans="1:26">
      <c r="A28" s="7">
        <v>24</v>
      </c>
      <c r="B28" s="7">
        <f>Parameters!$G$20</f>
        <v>1000</v>
      </c>
      <c r="C28" s="7">
        <f>X27+B28</f>
        <v>3570.0832629384154</v>
      </c>
      <c r="D28" s="7">
        <f>Y27</f>
        <v>1406.3049046472381</v>
      </c>
      <c r="E28" s="7">
        <f>Parameters!$G$6*C28</f>
        <v>357.00832629384155</v>
      </c>
      <c r="F28" s="7">
        <f>IF(Parameters!$G$5=1,E28,0)</f>
        <v>0.0</v>
      </c>
      <c r="G28" s="7">
        <f>Parameters!$G$27*G27+F28</f>
        <v>0.0</v>
      </c>
      <c r="H28" s="7">
        <f>IF(AND(Parameters!$G$5=1,Parameters!$G$26=1),SUMPRODUCT(--($A$5:A28&lt;A28),--(MOD(A28-$A$5:A28,Parameters!$G$28)=0),$F$5:F28,POWER(Parameters!$G$27,IF(A28-$A$5:A28=0,1,A28-$A$5:A28))),0)</f>
        <v>0.0</v>
      </c>
      <c r="I28" s="7">
        <f>Parameters!$G$23*I27+B28*Parameters!$G$22</f>
        <v>0.0</v>
      </c>
      <c r="J28" s="7">
        <f>E28*Parameters!$G$14*(1-Parameters!$G$15)</f>
        <v>6783.158199582989</v>
      </c>
      <c r="K28" s="7">
        <f>H28*Parameters!$G$29</f>
        <v>0.0</v>
      </c>
      <c r="L28" s="7">
        <f>I28*Parameters!$G$24</f>
        <v>0.0</v>
      </c>
      <c r="M28" s="7">
        <f>J28+K28+L28</f>
        <v>6783.158199582989</v>
      </c>
      <c r="N28" s="7">
        <f>C28*Parameters!$G$17+D28*Parameters!$G$18+E28*Parameters!$G$16+I28*Parameters!$G$25+G28*Parameters!$G$30</f>
        <v>1492.916450275696</v>
      </c>
      <c r="O28" s="7">
        <f>B28*Parameters!$G$19</f>
        <v>4000</v>
      </c>
      <c r="P28" s="7">
        <f>M28-N28-O28</f>
        <v>1290.2417493072935</v>
      </c>
      <c r="Q28" s="7">
        <f>Parameters!$G$21</f>
        <v>1000</v>
      </c>
      <c r="R28" s="7">
        <f>P28-Q28</f>
        <v>290.2417493072935</v>
      </c>
      <c r="S28" s="7">
        <f>IF(A28&lt;1+Parameters!$G$31,0,INDEX($M$5:$M$40,A28-Parameters!$G$31))</f>
        <v>6782.164166087485</v>
      </c>
      <c r="T28" s="7">
        <f>T27+M28-S28</f>
        <v>6783.158199582989</v>
      </c>
      <c r="U28" s="7">
        <f>S28-N28-O28-Q28</f>
        <v>289.247715811789</v>
      </c>
      <c r="V28" s="7">
        <f>V27+U28</f>
        <v>-11396.756340265003</v>
      </c>
      <c r="W28" s="7">
        <f>(1-Parameters!$G$7)*(C28-E28)+(1-Parameters!$G$8)*(D28+E28)</f>
        <v>995.2776335171305</v>
      </c>
      <c r="X28" s="7">
        <f>Parameters!$G$7*(C28-E28)+Parameters!$G$8*Parameters!$G$9*(D28+E28)</f>
        <v>2570.4599493156593</v>
      </c>
      <c r="Y28" s="7">
        <f>Parameters!$G$8*(1-Parameters!$G$9)*(D28+E28)</f>
        <v>1410.6505847528638</v>
      </c>
      <c r="Z28" s="7">
        <f>POWER(1/(1+Parameters!$G$32),A28-1)*(M28-N28)</f>
        <v>4208.079359713611</v>
      </c>
    </row>
    <row r="29" spans="1:26">
      <c r="A29" s="7">
        <v>25</v>
      </c>
      <c r="B29" s="7">
        <f>Parameters!$G$20</f>
        <v>1000</v>
      </c>
      <c r="C29" s="7">
        <f>X28+B29</f>
        <v>3570.4599493156597</v>
      </c>
      <c r="D29" s="7">
        <f>Y28</f>
        <v>1410.6505847528638</v>
      </c>
      <c r="E29" s="7">
        <f>Parameters!$G$6*C29</f>
        <v>357.045994931566</v>
      </c>
      <c r="F29" s="7">
        <f>IF(Parameters!$G$5=1,E29,0)</f>
        <v>0.0</v>
      </c>
      <c r="G29" s="7">
        <f>Parameters!$G$27*G28+F29</f>
        <v>0.0</v>
      </c>
      <c r="H29" s="7">
        <f>IF(AND(Parameters!$G$5=1,Parameters!$G$26=1),SUMPRODUCT(--($A$5:A29&lt;A29),--(MOD(A29-$A$5:A29,Parameters!$G$28)=0),$F$5:F29,POWER(Parameters!$G$27,IF(A29-$A$5:A29=0,1,A29-$A$5:A29))),0)</f>
        <v>0.0</v>
      </c>
      <c r="I29" s="7">
        <f>Parameters!$G$23*I28+B29*Parameters!$G$22</f>
        <v>0.0</v>
      </c>
      <c r="J29" s="7">
        <f>E29*Parameters!$G$14*(1-Parameters!$G$15)</f>
        <v>6783.873903699753</v>
      </c>
      <c r="K29" s="7">
        <f>H29*Parameters!$G$29</f>
        <v>0.0</v>
      </c>
      <c r="L29" s="7">
        <f>I29*Parameters!$G$24</f>
        <v>0.0</v>
      </c>
      <c r="M29" s="7">
        <f>J29+K29+L29</f>
        <v>6783.873903699753</v>
      </c>
      <c r="N29" s="7">
        <f>C29*Parameters!$G$17+D29*Parameters!$G$18+E29*Parameters!$G$16+I29*Parameters!$G$25+G29*Parameters!$G$30</f>
        <v>1494.3331602205571</v>
      </c>
      <c r="O29" s="7">
        <f>B29*Parameters!$G$19</f>
        <v>4000</v>
      </c>
      <c r="P29" s="7">
        <f>M29-N29-O29</f>
        <v>1289.540743479196</v>
      </c>
      <c r="Q29" s="7">
        <f>Parameters!$G$21</f>
        <v>1000</v>
      </c>
      <c r="R29" s="7">
        <f>P29-Q29</f>
        <v>289.54074347919595</v>
      </c>
      <c r="S29" s="7">
        <f>IF(A29&lt;1+Parameters!$G$31,0,INDEX($M$5:$M$40,A29-Parameters!$G$31))</f>
        <v>6783.158199582989</v>
      </c>
      <c r="T29" s="7">
        <f>T28+M29-S29</f>
        <v>6783.873903699753</v>
      </c>
      <c r="U29" s="7">
        <f>S29-N29-O29-Q29</f>
        <v>288.8250393624321</v>
      </c>
      <c r="V29" s="7">
        <f>V28+U29</f>
        <v>-11107.931300902572</v>
      </c>
      <c r="W29" s="7">
        <f>(1-Parameters!$G$7)*(C29-E29)+(1-Parameters!$G$8)*(D29+E29)</f>
        <v>996.2221068137045</v>
      </c>
      <c r="X29" s="7">
        <f>Parameters!$G$7*(C29-E29)+Parameters!$G$8*Parameters!$G$9*(D29+E29)</f>
        <v>2570.731163507275</v>
      </c>
      <c r="Y29" s="7">
        <f>Parameters!$G$8*(1-Parameters!$G$9)*(D29+E29)</f>
        <v>1414.1572637475438</v>
      </c>
      <c r="Z29" s="7">
        <f>POWER(1/(1+Parameters!$G$32),A29-1)*(M29-N29)</f>
        <v>4165.863119191902</v>
      </c>
    </row>
    <row r="30" spans="1:26">
      <c r="A30" s="7">
        <v>26</v>
      </c>
      <c r="B30" s="7">
        <f>Parameters!$G$20</f>
        <v>1000</v>
      </c>
      <c r="C30" s="7">
        <f>X29+B30</f>
        <v>3570.731163507275</v>
      </c>
      <c r="D30" s="7">
        <f>Y29</f>
        <v>1414.157263747544</v>
      </c>
      <c r="E30" s="7">
        <f>Parameters!$G$6*C30</f>
        <v>357.0731163507275</v>
      </c>
      <c r="F30" s="7">
        <f>IF(Parameters!$G$5=1,E30,0)</f>
        <v>0.0</v>
      </c>
      <c r="G30" s="7">
        <f>Parameters!$G$27*G29+F30</f>
        <v>0.0</v>
      </c>
      <c r="H30" s="7">
        <f>IF(AND(Parameters!$G$5=1,Parameters!$G$26=1),SUMPRODUCT(--($A$5:A30&lt;A30),--(MOD(A30-$A$5:A30,Parameters!$G$28)=0),$F$5:F30,POWER(Parameters!$G$27,IF(A30-$A$5:A30=0,1,A30-$A$5:A30))),0)</f>
        <v>0.0</v>
      </c>
      <c r="I30" s="7">
        <f>Parameters!$G$23*I29+B30*Parameters!$G$22</f>
        <v>0.0</v>
      </c>
      <c r="J30" s="7">
        <f>E30*Parameters!$G$14*(1-Parameters!$G$15)</f>
        <v>6784.389210663822</v>
      </c>
      <c r="K30" s="7">
        <f>H30*Parameters!$G$29</f>
        <v>0.0</v>
      </c>
      <c r="L30" s="7">
        <f>I30*Parameters!$G$24</f>
        <v>0.0</v>
      </c>
      <c r="M30" s="7">
        <f>J30+K30+L30</f>
        <v>6784.389210663822</v>
      </c>
      <c r="N30" s="7">
        <f>C30*Parameters!$G$17+D30*Parameters!$G$18+E30*Parameters!$G$16+I30*Parameters!$G$25+G30*Parameters!$G$30</f>
        <v>1495.466528176446</v>
      </c>
      <c r="O30" s="7">
        <f>B30*Parameters!$G$19</f>
        <v>4000</v>
      </c>
      <c r="P30" s="7">
        <f>M30-N30-O30</f>
        <v>1288.9226824873767</v>
      </c>
      <c r="Q30" s="7">
        <f>Parameters!$G$21</f>
        <v>1000</v>
      </c>
      <c r="R30" s="7">
        <f>P30-Q30</f>
        <v>288.92268248737673</v>
      </c>
      <c r="S30" s="7">
        <f>IF(A30&lt;1+Parameters!$G$31,0,INDEX($M$5:$M$40,A30-Parameters!$G$31))</f>
        <v>6783.873903699753</v>
      </c>
      <c r="T30" s="7">
        <f>T29+M30-S30</f>
        <v>6784.389210663822</v>
      </c>
      <c r="U30" s="7">
        <f>S30-N30-O30-Q30</f>
        <v>288.40737552330756</v>
      </c>
      <c r="V30" s="7">
        <f>V29+U30</f>
        <v>-10819.523925379264</v>
      </c>
      <c r="W30" s="7">
        <f>(1-Parameters!$G$7)*(C30-E30)+(1-Parameters!$G$8)*(D30+E30)</f>
        <v>996.9776854509637</v>
      </c>
      <c r="X30" s="7">
        <f>Parameters!$G$7*(C30-E30)+Parameters!$G$8*Parameters!$G$9*(D30+E30)</f>
        <v>2570.9264377252384</v>
      </c>
      <c r="Y30" s="7">
        <f>Parameters!$G$8*(1-Parameters!$G$9)*(D30+E30)</f>
        <v>1416.9843040786172</v>
      </c>
      <c r="Z30" s="7">
        <f>POWER(1/(1+Parameters!$G$32),A30-1)*(M30-N30)</f>
        <v>4124.1350052376865</v>
      </c>
    </row>
    <row r="31" spans="1:26">
      <c r="A31" s="7">
        <v>27</v>
      </c>
      <c r="B31" s="7">
        <f>Parameters!$G$20</f>
        <v>1000</v>
      </c>
      <c r="C31" s="7">
        <f>X30+B31</f>
        <v>3570.9264377252384</v>
      </c>
      <c r="D31" s="7">
        <f>Y30</f>
        <v>1416.9843040786172</v>
      </c>
      <c r="E31" s="7">
        <f>Parameters!$G$6*C31</f>
        <v>357.09264377252384</v>
      </c>
      <c r="F31" s="7">
        <f>IF(Parameters!$G$5=1,E31,0)</f>
        <v>0.0</v>
      </c>
      <c r="G31" s="7">
        <f>Parameters!$G$27*G30+F31</f>
        <v>0.0</v>
      </c>
      <c r="H31" s="7">
        <f>IF(AND(Parameters!$G$5=1,Parameters!$G$26=1),SUMPRODUCT(--($A$5:A31&lt;A31),--(MOD(A31-$A$5:A31,Parameters!$G$28)=0),$F$5:F31,POWER(Parameters!$G$27,IF(A31-$A$5:A31=0,1,A31-$A$5:A31))),0)</f>
        <v>0.0</v>
      </c>
      <c r="I31" s="7">
        <f>Parameters!$G$23*I30+B31*Parameters!$G$22</f>
        <v>0.0</v>
      </c>
      <c r="J31" s="7">
        <f>E31*Parameters!$G$14*(1-Parameters!$G$15)</f>
        <v>6784.760231677953</v>
      </c>
      <c r="K31" s="7">
        <f>H31*Parameters!$G$29</f>
        <v>0.0</v>
      </c>
      <c r="L31" s="7">
        <f>I31*Parameters!$G$24</f>
        <v>0.0</v>
      </c>
      <c r="M31" s="7">
        <f>J31+K31+L31</f>
        <v>6784.760231677953</v>
      </c>
      <c r="N31" s="7">
        <f>C31*Parameters!$G$17+D31*Parameters!$G$18+E31*Parameters!$G$16+I31*Parameters!$G$25+G31*Parameters!$G$30</f>
        <v>1496.3732225411568</v>
      </c>
      <c r="O31" s="7">
        <f>B31*Parameters!$G$19</f>
        <v>4000</v>
      </c>
      <c r="P31" s="7">
        <f>M31-N31-O31</f>
        <v>1288.3870091367962</v>
      </c>
      <c r="Q31" s="7">
        <f>Parameters!$G$21</f>
        <v>1000</v>
      </c>
      <c r="R31" s="7">
        <f>P31-Q31</f>
        <v>288.3870091367962</v>
      </c>
      <c r="S31" s="7">
        <f>IF(A31&lt;1+Parameters!$G$31,0,INDEX($M$5:$M$40,A31-Parameters!$G$31))</f>
        <v>6784.389210663822</v>
      </c>
      <c r="T31" s="7">
        <f>T30+M31-S31</f>
        <v>6784.760231677953</v>
      </c>
      <c r="U31" s="7">
        <f>S31-N31-O31-Q31</f>
        <v>288.0159881226655</v>
      </c>
      <c r="V31" s="7">
        <f>V30+U31</f>
        <v>-10531.5079372566</v>
      </c>
      <c r="W31" s="7">
        <f>(1-Parameters!$G$7)*(C31-E31)+(1-Parameters!$G$8)*(D31+E31)</f>
        <v>997.5821483607709</v>
      </c>
      <c r="X31" s="7">
        <f>Parameters!$G$7*(C31-E31)+Parameters!$G$8*Parameters!$G$9*(D31+E31)</f>
        <v>2571.067035162172</v>
      </c>
      <c r="Y31" s="7">
        <f>Parameters!$G$8*(1-Parameters!$G$9)*(D31+E31)</f>
        <v>1419.261558280913</v>
      </c>
      <c r="Z31" s="7">
        <f>POWER(1/(1+Parameters!$G$32),A31-1)*(M31-N31)</f>
        <v>4082.888419864506</v>
      </c>
    </row>
    <row r="32" spans="1:26">
      <c r="A32" s="7">
        <v>28</v>
      </c>
      <c r="B32" s="7">
        <f>Parameters!$G$20</f>
        <v>1000</v>
      </c>
      <c r="C32" s="7">
        <f>X31+B32</f>
        <v>3571.067035162172</v>
      </c>
      <c r="D32" s="7">
        <f>Y31</f>
        <v>1419.261558280913</v>
      </c>
      <c r="E32" s="7">
        <f>Parameters!$G$6*C32</f>
        <v>357.1067035162172</v>
      </c>
      <c r="F32" s="7">
        <f>IF(Parameters!$G$5=1,E32,0)</f>
        <v>0.0</v>
      </c>
      <c r="G32" s="7">
        <f>Parameters!$G$27*G31+F32</f>
        <v>0.0</v>
      </c>
      <c r="H32" s="7">
        <f>IF(AND(Parameters!$G$5=1,Parameters!$G$26=1),SUMPRODUCT(--($A$5:A32&lt;A32),--(MOD(A32-$A$5:A32,Parameters!$G$28)=0),$F$5:F32,POWER(Parameters!$G$27,IF(A32-$A$5:A32=0,1,A32-$A$5:A32))),0)</f>
        <v>0.0</v>
      </c>
      <c r="I32" s="7">
        <f>Parameters!$G$23*I31+B32*Parameters!$G$22</f>
        <v>0.0</v>
      </c>
      <c r="J32" s="7">
        <f>E32*Parameters!$G$14*(1-Parameters!$G$15)</f>
        <v>6785.027366808126</v>
      </c>
      <c r="K32" s="7">
        <f>H32*Parameters!$G$29</f>
        <v>0.0</v>
      </c>
      <c r="L32" s="7">
        <f>I32*Parameters!$G$24</f>
        <v>0.0</v>
      </c>
      <c r="M32" s="7">
        <f>J32+K32+L32</f>
        <v>6785.027366808126</v>
      </c>
      <c r="N32" s="7">
        <f>C32*Parameters!$G$17+D32*Parameters!$G$18+E32*Parameters!$G$16+I32*Parameters!$G$25+G32*Parameters!$G$30</f>
        <v>1497.0985780329256</v>
      </c>
      <c r="O32" s="7">
        <f>B32*Parameters!$G$19</f>
        <v>4000</v>
      </c>
      <c r="P32" s="7">
        <f>M32-N32-O32</f>
        <v>1287.9287887752007</v>
      </c>
      <c r="Q32" s="7">
        <f>Parameters!$G$21</f>
        <v>1000</v>
      </c>
      <c r="R32" s="7">
        <f>P32-Q32</f>
        <v>287.9287887752007</v>
      </c>
      <c r="S32" s="7">
        <f>IF(A32&lt;1+Parameters!$G$31,0,INDEX($M$5:$M$40,A32-Parameters!$G$31))</f>
        <v>6784.760231677953</v>
      </c>
      <c r="T32" s="7">
        <f>T31+M32-S32</f>
        <v>6785.027366808126</v>
      </c>
      <c r="U32" s="7">
        <f>S32-N32-O32-Q32</f>
        <v>287.6616536450274</v>
      </c>
      <c r="V32" s="7">
        <f>V31+U32</f>
        <v>-10243.846283611572</v>
      </c>
      <c r="W32" s="7">
        <f>(1-Parameters!$G$7)*(C32-E32)+(1-Parameters!$G$8)*(D32+E32)</f>
        <v>998.0657186886168</v>
      </c>
      <c r="X32" s="7">
        <f>Parameters!$G$7*(C32-E32)+Parameters!$G$8*Parameters!$G$9*(D32+E32)</f>
        <v>2571.168265316764</v>
      </c>
      <c r="Y32" s="7">
        <f>Parameters!$G$8*(1-Parameters!$G$9)*(D32+E32)</f>
        <v>1421.0946094377043</v>
      </c>
      <c r="Z32" s="7">
        <f>POWER(1/(1+Parameters!$G$32),A32-1)*(M32-N32)</f>
        <v>4042.11351660155</v>
      </c>
    </row>
    <row r="33" spans="1:26">
      <c r="A33" s="7">
        <v>29</v>
      </c>
      <c r="B33" s="7">
        <f>Parameters!$G$20</f>
        <v>1000</v>
      </c>
      <c r="C33" s="7">
        <f>X32+B33</f>
        <v>3571.168265316764</v>
      </c>
      <c r="D33" s="7">
        <f>Y32</f>
        <v>1421.094609437704</v>
      </c>
      <c r="E33" s="7">
        <f>Parameters!$G$6*C33</f>
        <v>357.1168265316764</v>
      </c>
      <c r="F33" s="7">
        <f>IF(Parameters!$G$5=1,E33,0)</f>
        <v>0.0</v>
      </c>
      <c r="G33" s="7">
        <f>Parameters!$G$27*G32+F33</f>
        <v>0.0</v>
      </c>
      <c r="H33" s="7">
        <f>IF(AND(Parameters!$G$5=1,Parameters!$G$26=1),SUMPRODUCT(--($A$5:A33&lt;A33),--(MOD(A33-$A$5:A33,Parameters!$G$28)=0),$F$5:F33,POWER(Parameters!$G$27,IF(A33-$A$5:A33=0,1,A33-$A$5:A33))),0)</f>
        <v>0.0</v>
      </c>
      <c r="I33" s="7">
        <f>Parameters!$G$23*I32+B33*Parameters!$G$22</f>
        <v>0.0</v>
      </c>
      <c r="J33" s="7">
        <f>E33*Parameters!$G$14*(1-Parameters!$G$15)</f>
        <v>6785.219704101852</v>
      </c>
      <c r="K33" s="7">
        <f>H33*Parameters!$G$29</f>
        <v>0.0</v>
      </c>
      <c r="L33" s="7">
        <f>I33*Parameters!$G$24</f>
        <v>0.0</v>
      </c>
      <c r="M33" s="7">
        <f>J33+K33+L33</f>
        <v>6785.219704101852</v>
      </c>
      <c r="N33" s="7">
        <f>C33*Parameters!$G$17+D33*Parameters!$G$18+E33*Parameters!$G$16+I33*Parameters!$G$25+G33*Parameters!$G$30</f>
        <v>1497.6788624263406</v>
      </c>
      <c r="O33" s="7">
        <f>B33*Parameters!$G$19</f>
        <v>4000</v>
      </c>
      <c r="P33" s="7">
        <f>M33-N33-O33</f>
        <v>1287.5408416755108</v>
      </c>
      <c r="Q33" s="7">
        <f>Parameters!$G$21</f>
        <v>1000</v>
      </c>
      <c r="R33" s="7">
        <f>P33-Q33</f>
        <v>287.5408416755108</v>
      </c>
      <c r="S33" s="7">
        <f>IF(A33&lt;1+Parameters!$G$31,0,INDEX($M$5:$M$40,A33-Parameters!$G$31))</f>
        <v>6785.027366808126</v>
      </c>
      <c r="T33" s="7">
        <f>T32+M33-S33</f>
        <v>6785.219704101852</v>
      </c>
      <c r="U33" s="7">
        <f>S33-N33-O33-Q33</f>
        <v>287.34850438178546</v>
      </c>
      <c r="V33" s="7">
        <f>V32+U33</f>
        <v>-9956.497779229787</v>
      </c>
      <c r="W33" s="7">
        <f>(1-Parameters!$G$7)*(C33-E33)+(1-Parameters!$G$8)*(D33+E33)</f>
        <v>998.4525749508934</v>
      </c>
      <c r="X33" s="7">
        <f>Parameters!$G$7*(C33-E33)+Parameters!$G$8*Parameters!$G$9*(D33+E33)</f>
        <v>2571.2411510280704</v>
      </c>
      <c r="Y33" s="7">
        <f>Parameters!$G$8*(1-Parameters!$G$9)*(D33+E33)</f>
        <v>1422.5691487755046</v>
      </c>
      <c r="Z33" s="7">
        <f>POWER(1/(1+Parameters!$G$32),A33-1)*(M33-N33)</f>
        <v>4001.798978530888</v>
      </c>
    </row>
    <row r="34" spans="1:26">
      <c r="A34" s="7">
        <v>30</v>
      </c>
      <c r="B34" s="7">
        <f>Parameters!$G$20</f>
        <v>1000</v>
      </c>
      <c r="C34" s="7">
        <f>X33+B34</f>
        <v>3571.2411510280704</v>
      </c>
      <c r="D34" s="7">
        <f>Y33</f>
        <v>1422.5691487755046</v>
      </c>
      <c r="E34" s="7">
        <f>Parameters!$G$6*C34</f>
        <v>357.1241151028071</v>
      </c>
      <c r="F34" s="7">
        <f>IF(Parameters!$G$5=1,E34,0)</f>
        <v>0.0</v>
      </c>
      <c r="G34" s="7">
        <f>Parameters!$G$27*G33+F34</f>
        <v>0.0</v>
      </c>
      <c r="H34" s="7">
        <f>IF(AND(Parameters!$G$5=1,Parameters!$G$26=1),SUMPRODUCT(--($A$5:A34&lt;A34),--(MOD(A34-$A$5:A34,Parameters!$G$28)=0),$F$5:F34,POWER(Parameters!$G$27,IF(A34-$A$5:A34=0,1,A34-$A$5:A34))),0)</f>
        <v>0.0</v>
      </c>
      <c r="I34" s="7">
        <f>Parameters!$G$23*I33+B34*Parameters!$G$22</f>
        <v>0.0</v>
      </c>
      <c r="J34" s="7">
        <f>E34*Parameters!$G$14*(1-Parameters!$G$15)</f>
        <v>6785.358186953335</v>
      </c>
      <c r="K34" s="7">
        <f>H34*Parameters!$G$29</f>
        <v>0.0</v>
      </c>
      <c r="L34" s="7">
        <f>I34*Parameters!$G$24</f>
        <v>0.0</v>
      </c>
      <c r="M34" s="7">
        <f>J34+K34+L34</f>
        <v>6785.358186953335</v>
      </c>
      <c r="N34" s="7">
        <f>C34*Parameters!$G$17+D34*Parameters!$G$18+E34*Parameters!$G$16+I34*Parameters!$G$25+G34*Parameters!$G$30</f>
        <v>1498.1430899410725</v>
      </c>
      <c r="O34" s="7">
        <f>B34*Parameters!$G$19</f>
        <v>4000</v>
      </c>
      <c r="P34" s="7">
        <f>M34-N34-O34</f>
        <v>1287.215097012262</v>
      </c>
      <c r="Q34" s="7">
        <f>Parameters!$G$21</f>
        <v>1000</v>
      </c>
      <c r="R34" s="7">
        <f>P34-Q34</f>
        <v>287.21509701226205</v>
      </c>
      <c r="S34" s="7">
        <f>IF(A34&lt;1+Parameters!$G$31,0,INDEX($M$5:$M$40,A34-Parameters!$G$31))</f>
        <v>6785.219704101852</v>
      </c>
      <c r="T34" s="7">
        <f>T33+M34-S34</f>
        <v>6785.358186953335</v>
      </c>
      <c r="U34" s="7">
        <f>S34-N34-O34-Q34</f>
        <v>287.0766141607792</v>
      </c>
      <c r="V34" s="7">
        <f>V33+U34</f>
        <v>-9669.421165069009</v>
      </c>
      <c r="W34" s="7">
        <f>(1-Parameters!$G$7)*(C34-E34)+(1-Parameters!$G$8)*(D34+E34)</f>
        <v>998.7620599607149</v>
      </c>
      <c r="X34" s="7">
        <f>Parameters!$G$7*(C34-E34)+Parameters!$G$8*Parameters!$G$9*(D34+E34)</f>
        <v>2571.293628740211</v>
      </c>
      <c r="Y34" s="7">
        <f>Parameters!$G$8*(1-Parameters!$G$9)*(D34+E34)</f>
        <v>1423.7546111026495</v>
      </c>
      <c r="Z34" s="7">
        <f>POWER(1/(1+Parameters!$G$32),A34-1)*(M34-N34)</f>
        <v>3961.9331122609046</v>
      </c>
    </row>
    <row r="35" spans="1:26">
      <c r="A35" s="7">
        <v>31</v>
      </c>
      <c r="B35" s="7">
        <f>Parameters!$G$20</f>
        <v>1000</v>
      </c>
      <c r="C35" s="7">
        <f>X34+B35</f>
        <v>3571.2936287402113</v>
      </c>
      <c r="D35" s="7">
        <f>Y34</f>
        <v>1423.7546111026493</v>
      </c>
      <c r="E35" s="7">
        <f>Parameters!$G$6*C35</f>
        <v>357.1293628740211</v>
      </c>
      <c r="F35" s="7">
        <f>IF(Parameters!$G$5=1,E35,0)</f>
        <v>0.0</v>
      </c>
      <c r="G35" s="7">
        <f>Parameters!$G$27*G34+F35</f>
        <v>0.0</v>
      </c>
      <c r="H35" s="7">
        <f>IF(AND(Parameters!$G$5=1,Parameters!$G$26=1),SUMPRODUCT(--($A$5:A35&lt;A35),--(MOD(A35-$A$5:A35,Parameters!$G$28)=0),$F$5:F35,POWER(Parameters!$G$27,IF(A35-$A$5:A35=0,1,A35-$A$5:A35))),0)</f>
        <v>0.0</v>
      </c>
      <c r="I35" s="7">
        <f>Parameters!$G$23*I34+B35*Parameters!$G$22</f>
        <v>0.0</v>
      </c>
      <c r="J35" s="7">
        <f>E35*Parameters!$G$14*(1-Parameters!$G$15)</f>
        <v>6785.457894606401</v>
      </c>
      <c r="K35" s="7">
        <f>H35*Parameters!$G$29</f>
        <v>0.0</v>
      </c>
      <c r="L35" s="7">
        <f>I35*Parameters!$G$24</f>
        <v>0.0</v>
      </c>
      <c r="M35" s="7">
        <f>J35+K35+L35</f>
        <v>6785.457894606401</v>
      </c>
      <c r="N35" s="7">
        <f>C35*Parameters!$G$17+D35*Parameters!$G$18+E35*Parameters!$G$16+I35*Parameters!$G$25+G35*Parameters!$G$30</f>
        <v>1498.5144719528582</v>
      </c>
      <c r="O35" s="7">
        <f>B35*Parameters!$G$19</f>
        <v>4000</v>
      </c>
      <c r="P35" s="7">
        <f>M35-N35-O35</f>
        <v>1286.9434226535432</v>
      </c>
      <c r="Q35" s="7">
        <f>Parameters!$G$21</f>
        <v>1000</v>
      </c>
      <c r="R35" s="7">
        <f>P35-Q35</f>
        <v>286.94342265354317</v>
      </c>
      <c r="S35" s="7">
        <f>IF(A35&lt;1+Parameters!$G$31,0,INDEX($M$5:$M$40,A35-Parameters!$G$31))</f>
        <v>6785.358186953335</v>
      </c>
      <c r="T35" s="7">
        <f>T34+M35-S35</f>
        <v>6785.457894606401</v>
      </c>
      <c r="U35" s="7">
        <f>S35-N35-O35-Q35</f>
        <v>286.84371500047655</v>
      </c>
      <c r="V35" s="7">
        <f>V34+U35</f>
        <v>-9382.577450068533</v>
      </c>
      <c r="W35" s="7">
        <f>(1-Parameters!$G$7)*(C35-E35)+(1-Parameters!$G$8)*(D35+E35)</f>
        <v>999.0096479685719</v>
      </c>
      <c r="X35" s="7">
        <f>Parameters!$G$7*(C35-E35)+Parameters!$G$8*Parameters!$G$9*(D35+E35)</f>
        <v>2571.3314126929527</v>
      </c>
      <c r="Y35" s="7">
        <f>Parameters!$G$8*(1-Parameters!$G$9)*(D35+E35)</f>
        <v>1424.7071791813364</v>
      </c>
      <c r="Z35" s="7">
        <f>POWER(1/(1+Parameters!$G$32),A35-1)*(M35-N35)</f>
        <v>3922.504490310561</v>
      </c>
    </row>
    <row r="36" spans="1:26">
      <c r="A36" s="7">
        <v>32</v>
      </c>
      <c r="B36" s="7">
        <f>Parameters!$G$20</f>
        <v>1000</v>
      </c>
      <c r="C36" s="7">
        <f>X35+B36</f>
        <v>3571.331412692952</v>
      </c>
      <c r="D36" s="7">
        <f>Y35</f>
        <v>1424.7071791813364</v>
      </c>
      <c r="E36" s="7">
        <f>Parameters!$G$6*C36</f>
        <v>357.13314126929527</v>
      </c>
      <c r="F36" s="7">
        <f>IF(Parameters!$G$5=1,E36,0)</f>
        <v>0.0</v>
      </c>
      <c r="G36" s="7">
        <f>Parameters!$G$27*G35+F36</f>
        <v>0.0</v>
      </c>
      <c r="H36" s="7">
        <f>IF(AND(Parameters!$G$5=1,Parameters!$G$26=1),SUMPRODUCT(--($A$5:A36&lt;A36),--(MOD(A36-$A$5:A36,Parameters!$G$28)=0),$F$5:F36,POWER(Parameters!$G$27,IF(A36-$A$5:A36=0,1,A36-$A$5:A36))),0)</f>
        <v>0.0</v>
      </c>
      <c r="I36" s="7">
        <f>Parameters!$G$23*I35+B36*Parameters!$G$22</f>
        <v>0.0</v>
      </c>
      <c r="J36" s="7">
        <f>E36*Parameters!$G$14*(1-Parameters!$G$15)</f>
        <v>6785.52968411661</v>
      </c>
      <c r="K36" s="7">
        <f>H36*Parameters!$G$29</f>
        <v>0.0</v>
      </c>
      <c r="L36" s="7">
        <f>I36*Parameters!$G$24</f>
        <v>0.0</v>
      </c>
      <c r="M36" s="7">
        <f>J36+K36+L36</f>
        <v>6785.52968411661</v>
      </c>
      <c r="N36" s="7">
        <f>C36*Parameters!$G$17+D36*Parameters!$G$18+E36*Parameters!$G$16+I36*Parameters!$G$25+G36*Parameters!$G$30</f>
        <v>1498.8115775622866</v>
      </c>
      <c r="O36" s="7">
        <f>B36*Parameters!$G$19</f>
        <v>4000</v>
      </c>
      <c r="P36" s="7">
        <f>M36-N36-O36</f>
        <v>1286.7181065543236</v>
      </c>
      <c r="Q36" s="7">
        <f>Parameters!$G$21</f>
        <v>1000</v>
      </c>
      <c r="R36" s="7">
        <f>P36-Q36</f>
        <v>286.71810655432364</v>
      </c>
      <c r="S36" s="7">
        <f>IF(A36&lt;1+Parameters!$G$31,0,INDEX($M$5:$M$40,A36-Parameters!$G$31))</f>
        <v>6785.457894606401</v>
      </c>
      <c r="T36" s="7">
        <f>T35+M36-S36</f>
        <v>6785.52968411661</v>
      </c>
      <c r="U36" s="7">
        <f>S36-N36-O36-Q36</f>
        <v>286.64631704411477</v>
      </c>
      <c r="V36" s="7">
        <f>V35+U36</f>
        <v>-9095.931133024418</v>
      </c>
      <c r="W36" s="7">
        <f>(1-Parameters!$G$7)*(C36-E36)+(1-Parameters!$G$8)*(D36+E36)</f>
        <v>999.2077183748576</v>
      </c>
      <c r="X36" s="7">
        <f>Parameters!$G$7*(C36-E36)+Parameters!$G$8*Parameters!$G$9*(D36+E36)</f>
        <v>2571.3586171389256</v>
      </c>
      <c r="Y36" s="7">
        <f>Parameters!$G$8*(1-Parameters!$G$9)*(D36+E36)</f>
        <v>1425.4722563605055</v>
      </c>
      <c r="Z36" s="7">
        <f>POWER(1/(1+Parameters!$G$32),A36-1)*(M36-N36)</f>
        <v>3883.502300131489</v>
      </c>
    </row>
    <row r="37" spans="1:26">
      <c r="A37" s="7">
        <v>33</v>
      </c>
      <c r="B37" s="7">
        <f>Parameters!$G$20</f>
        <v>1000</v>
      </c>
      <c r="C37" s="7">
        <f>X36+B37</f>
        <v>3571.358617138926</v>
      </c>
      <c r="D37" s="7">
        <f>Y36</f>
        <v>1425.4722563605055</v>
      </c>
      <c r="E37" s="7">
        <f>Parameters!$G$6*C37</f>
        <v>357.1358617138926</v>
      </c>
      <c r="F37" s="7">
        <f>IF(Parameters!$G$5=1,E37,0)</f>
        <v>0.0</v>
      </c>
      <c r="G37" s="7">
        <f>Parameters!$G$27*G36+F37</f>
        <v>0.0</v>
      </c>
      <c r="H37" s="7">
        <f>IF(AND(Parameters!$G$5=1,Parameters!$G$26=1),SUMPRODUCT(--($A$5:A37&lt;A37),--(MOD(A37-$A$5:A37,Parameters!$G$28)=0),$F$5:F37,POWER(Parameters!$G$27,IF(A37-$A$5:A37=0,1,A37-$A$5:A37))),0)</f>
        <v>0.0</v>
      </c>
      <c r="I37" s="7">
        <f>Parameters!$G$23*I36+B37*Parameters!$G$22</f>
        <v>0.0</v>
      </c>
      <c r="J37" s="7">
        <f>E37*Parameters!$G$14*(1-Parameters!$G$15)</f>
        <v>6785.581372563959</v>
      </c>
      <c r="K37" s="7">
        <f>H37*Parameters!$G$29</f>
        <v>0.0</v>
      </c>
      <c r="L37" s="7">
        <f>I37*Parameters!$G$24</f>
        <v>0.0</v>
      </c>
      <c r="M37" s="7">
        <f>J37+K37+L37</f>
        <v>6785.581372563959</v>
      </c>
      <c r="N37" s="7">
        <f>C37*Parameters!$G$17+D37*Parameters!$G$18+E37*Parameters!$G$16+I37*Parameters!$G$25+G37*Parameters!$G$30</f>
        <v>1499.0492620498294</v>
      </c>
      <c r="O37" s="7">
        <f>B37*Parameters!$G$19</f>
        <v>4000</v>
      </c>
      <c r="P37" s="7">
        <f>M37-N37-O37</f>
        <v>1286.5321105141302</v>
      </c>
      <c r="Q37" s="7">
        <f>Parameters!$G$21</f>
        <v>1000</v>
      </c>
      <c r="R37" s="7">
        <f>P37-Q37</f>
        <v>286.5321105141302</v>
      </c>
      <c r="S37" s="7">
        <f>IF(A37&lt;1+Parameters!$G$31,0,INDEX($M$5:$M$40,A37-Parameters!$G$31))</f>
        <v>6785.52968411661</v>
      </c>
      <c r="T37" s="7">
        <f>T36+M37-S37</f>
        <v>6785.581372563959</v>
      </c>
      <c r="U37" s="7">
        <f>S37-N37-O37-Q37</f>
        <v>286.4804220667811</v>
      </c>
      <c r="V37" s="7">
        <f>V36+U37</f>
        <v>-8809.450710957637</v>
      </c>
      <c r="W37" s="7">
        <f>(1-Parameters!$G$7)*(C37-E37)+(1-Parameters!$G$8)*(D37+E37)</f>
        <v>999.3661746998861</v>
      </c>
      <c r="X37" s="7">
        <f>Parameters!$G$7*(C37-E37)+Parameters!$G$8*Parameters!$G$9*(D37+E37)</f>
        <v>2571.378204340027</v>
      </c>
      <c r="Y37" s="7">
        <f>Parameters!$G$8*(1-Parameters!$G$9)*(D37+E37)</f>
        <v>1426.0864944595187</v>
      </c>
      <c r="Z37" s="7">
        <f>POWER(1/(1+Parameters!$G$32),A37-1)*(M37-N37)</f>
        <v>3844.916506624808</v>
      </c>
    </row>
    <row r="38" spans="1:26">
      <c r="A38" s="7">
        <v>34</v>
      </c>
      <c r="B38" s="7">
        <f>Parameters!$G$20</f>
        <v>1000</v>
      </c>
      <c r="C38" s="7">
        <f>X37+B38</f>
        <v>3571.378204340027</v>
      </c>
      <c r="D38" s="7">
        <f>Y37</f>
        <v>1426.0864944595185</v>
      </c>
      <c r="E38" s="7">
        <f>Parameters!$G$6*C38</f>
        <v>357.1378204340027</v>
      </c>
      <c r="F38" s="7">
        <f>IF(Parameters!$G$5=1,E38,0)</f>
        <v>0.0</v>
      </c>
      <c r="G38" s="7">
        <f>Parameters!$G$27*G37+F38</f>
        <v>0.0</v>
      </c>
      <c r="H38" s="7">
        <f>IF(AND(Parameters!$G$5=1,Parameters!$G$26=1),SUMPRODUCT(--($A$5:A38&lt;A38),--(MOD(A38-$A$5:A38,Parameters!$G$28)=0),$F$5:F38,POWER(Parameters!$G$27,IF(A38-$A$5:A38=0,1,A38-$A$5:A38))),0)</f>
        <v>0.0</v>
      </c>
      <c r="I38" s="7">
        <f>Parameters!$G$23*I37+B38*Parameters!$G$22</f>
        <v>0.0</v>
      </c>
      <c r="J38" s="7">
        <f>E38*Parameters!$G$14*(1-Parameters!$G$15)</f>
        <v>6785.618588246051</v>
      </c>
      <c r="K38" s="7">
        <f>H38*Parameters!$G$29</f>
        <v>0.0</v>
      </c>
      <c r="L38" s="7">
        <f>I38*Parameters!$G$24</f>
        <v>0.0</v>
      </c>
      <c r="M38" s="7">
        <f>J38+K38+L38</f>
        <v>6785.618588246051</v>
      </c>
      <c r="N38" s="7">
        <f>C38*Parameters!$G$17+D38*Parameters!$G$18+E38*Parameters!$G$16+I38*Parameters!$G$25+G38*Parameters!$G$30</f>
        <v>1499.2394096398639</v>
      </c>
      <c r="O38" s="7">
        <f>B38*Parameters!$G$19</f>
        <v>4000</v>
      </c>
      <c r="P38" s="7">
        <f>M38-N38-O38</f>
        <v>1286.3791786061875</v>
      </c>
      <c r="Q38" s="7">
        <f>Parameters!$G$21</f>
        <v>1000</v>
      </c>
      <c r="R38" s="7">
        <f>P38-Q38</f>
        <v>286.37917860618745</v>
      </c>
      <c r="S38" s="7">
        <f>IF(A38&lt;1+Parameters!$G$31,0,INDEX($M$5:$M$40,A38-Parameters!$G$31))</f>
        <v>6785.581372563959</v>
      </c>
      <c r="T38" s="7">
        <f>T37+M38-S38</f>
        <v>6785.618588246051</v>
      </c>
      <c r="U38" s="7">
        <f>S38-N38-O38-Q38</f>
        <v>286.34196292409524</v>
      </c>
      <c r="V38" s="7">
        <f>V37+U38</f>
        <v>-8523.10874803354</v>
      </c>
      <c r="W38" s="7">
        <f>(1-Parameters!$G$7)*(C38-E38)+(1-Parameters!$G$8)*(D38+E38)</f>
        <v>999.492939759909</v>
      </c>
      <c r="X38" s="7">
        <f>Parameters!$G$7*(C38-E38)+Parameters!$G$8*Parameters!$G$9*(D38+E38)</f>
        <v>2571.3923071248196</v>
      </c>
      <c r="Y38" s="7">
        <f>Parameters!$G$8*(1-Parameters!$G$9)*(D38+E38)</f>
        <v>1426.5794519148171</v>
      </c>
      <c r="Z38" s="7">
        <f>POWER(1/(1+Parameters!$G$32),A38-1)*(M38-N38)</f>
        <v>3806.7378996240936</v>
      </c>
    </row>
    <row r="39" spans="1:26">
      <c r="A39" s="7">
        <v>35</v>
      </c>
      <c r="B39" s="7">
        <f>Parameters!$G$20</f>
        <v>1000</v>
      </c>
      <c r="C39" s="7">
        <f>X38+B39</f>
        <v>3571.3923071248196</v>
      </c>
      <c r="D39" s="7">
        <f>Y38</f>
        <v>1426.5794519148171</v>
      </c>
      <c r="E39" s="7">
        <f>Parameters!$G$6*C39</f>
        <v>357.139230712482</v>
      </c>
      <c r="F39" s="7">
        <f>IF(Parameters!$G$5=1,E39,0)</f>
        <v>0.0</v>
      </c>
      <c r="G39" s="7">
        <f>Parameters!$G$27*G38+F39</f>
        <v>0.0</v>
      </c>
      <c r="H39" s="7">
        <f>IF(AND(Parameters!$G$5=1,Parameters!$G$26=1),SUMPRODUCT(--($A$5:A39&lt;A39),--(MOD(A39-$A$5:A39,Parameters!$G$28)=0),$F$5:F39,POWER(Parameters!$G$27,IF(A39-$A$5:A39=0,1,A39-$A$5:A39))),0)</f>
        <v>0.0</v>
      </c>
      <c r="I39" s="7">
        <f>Parameters!$G$23*I38+B39*Parameters!$G$22</f>
        <v>0.0</v>
      </c>
      <c r="J39" s="7">
        <f>E39*Parameters!$G$14*(1-Parameters!$G$15)</f>
        <v>6785.645383537158</v>
      </c>
      <c r="K39" s="7">
        <f>H39*Parameters!$G$29</f>
        <v>0.0</v>
      </c>
      <c r="L39" s="7">
        <f>I39*Parameters!$G$24</f>
        <v>0.0</v>
      </c>
      <c r="M39" s="7">
        <f>J39+K39+L39</f>
        <v>6785.645383537158</v>
      </c>
      <c r="N39" s="7">
        <f>C39*Parameters!$G$17+D39*Parameters!$G$18+E39*Parameters!$G$16+I39*Parameters!$G$25+G39*Parameters!$G$30</f>
        <v>1499.391527711891</v>
      </c>
      <c r="O39" s="7">
        <f>B39*Parameters!$G$19</f>
        <v>4000</v>
      </c>
      <c r="P39" s="7">
        <f>M39-N39-O39</f>
        <v>1286.2538558252663</v>
      </c>
      <c r="Q39" s="7">
        <f>Parameters!$G$21</f>
        <v>1000</v>
      </c>
      <c r="R39" s="7">
        <f>P39-Q39</f>
        <v>286.2538558252663</v>
      </c>
      <c r="S39" s="7">
        <f>IF(A39&lt;1+Parameters!$G$31,0,INDEX($M$5:$M$40,A39-Parameters!$G$31))</f>
        <v>6785.618588246051</v>
      </c>
      <c r="T39" s="7">
        <f>T38+M39-S39</f>
        <v>6785.645383537158</v>
      </c>
      <c r="U39" s="7">
        <f>S39-N39-O39-Q39</f>
        <v>286.22706053416005</v>
      </c>
      <c r="V39" s="7">
        <f>V38+U39</f>
        <v>-8236.88168749938</v>
      </c>
      <c r="W39" s="7">
        <f>(1-Parameters!$G$7)*(C39-E39)+(1-Parameters!$G$8)*(D39+E39)</f>
        <v>999.5943518079272</v>
      </c>
      <c r="X39" s="7">
        <f>Parameters!$G$7*(C39-E39)+Parameters!$G$8*Parameters!$G$9*(D39+E39)</f>
        <v>2571.40246112987</v>
      </c>
      <c r="Y39" s="7">
        <f>Parameters!$G$8*(1-Parameters!$G$9)*(D39+E39)</f>
        <v>1426.9749461018394</v>
      </c>
      <c r="Z39" s="7">
        <f>POWER(1/(1+Parameters!$G$32),A39-1)*(M39-N39)</f>
        <v>3768.958073568558</v>
      </c>
    </row>
    <row r="40" spans="1:26">
      <c r="A40" s="7">
        <v>36</v>
      </c>
      <c r="B40" s="7">
        <f>Parameters!$G$20</f>
        <v>1000</v>
      </c>
      <c r="C40" s="7">
        <f>X39+B40</f>
        <v>3571.4024611298705</v>
      </c>
      <c r="D40" s="7">
        <f>Y39</f>
        <v>1426.9749461018394</v>
      </c>
      <c r="E40" s="7">
        <f>Parameters!$G$6*C40</f>
        <v>357.1402461129871</v>
      </c>
      <c r="F40" s="7">
        <f>IF(Parameters!$G$5=1,E40,0)</f>
        <v>0.0</v>
      </c>
      <c r="G40" s="7">
        <f>Parameters!$G$27*G39+F40</f>
        <v>0.0</v>
      </c>
      <c r="H40" s="7">
        <f>IF(AND(Parameters!$G$5=1,Parameters!$G$26=1),SUMPRODUCT(--($A$5:A40&lt;A40),--(MOD(A40-$A$5:A40,Parameters!$G$28)=0),$F$5:F40,POWER(Parameters!$G$27,IF(A40-$A$5:A40=0,1,A40-$A$5:A40))),0)</f>
        <v>0.0</v>
      </c>
      <c r="I40" s="7">
        <f>Parameters!$G$23*I39+B40*Parameters!$G$22</f>
        <v>0.0</v>
      </c>
      <c r="J40" s="7">
        <f>E40*Parameters!$G$14*(1-Parameters!$G$15)</f>
        <v>6785.664676146755</v>
      </c>
      <c r="K40" s="7">
        <f>H40*Parameters!$G$29</f>
        <v>0.0</v>
      </c>
      <c r="L40" s="7">
        <f>I40*Parameters!$G$24</f>
        <v>0.0</v>
      </c>
      <c r="M40" s="7">
        <f>J40+K40+L40</f>
        <v>6785.664676146755</v>
      </c>
      <c r="N40" s="7">
        <f>C40*Parameters!$G$17+D40*Parameters!$G$18+E40*Parameters!$G$16+I40*Parameters!$G$25+G40*Parameters!$G$30</f>
        <v>1499.513222169513</v>
      </c>
      <c r="O40" s="7">
        <f>B40*Parameters!$G$19</f>
        <v>4000</v>
      </c>
      <c r="P40" s="7">
        <f>M40-N40-O40</f>
        <v>1286.1514539772415</v>
      </c>
      <c r="Q40" s="7">
        <f>Parameters!$G$21</f>
        <v>1000</v>
      </c>
      <c r="R40" s="7">
        <f>P40-Q40</f>
        <v>286.15145397724154</v>
      </c>
      <c r="S40" s="7">
        <f>IF(A40&lt;1+Parameters!$G$31,0,INDEX($M$5:$M$40,A40-Parameters!$G$31))</f>
        <v>6785.645383537158</v>
      </c>
      <c r="T40" s="7">
        <f>T39+M40-S40</f>
        <v>6785.664676146755</v>
      </c>
      <c r="U40" s="7">
        <f>S40-N40-O40-Q40</f>
        <v>286.1321613676446</v>
      </c>
      <c r="V40" s="7">
        <f>V39+U40</f>
        <v>-7950.749526131736</v>
      </c>
      <c r="W40" s="7">
        <f>(1-Parameters!$G$7)*(C40-E40)+(1-Parameters!$G$8)*(D40+E40)</f>
        <v>999.6754814463418</v>
      </c>
      <c r="X40" s="7">
        <f>Parameters!$G$7*(C40-E40)+Parameters!$G$8*Parameters!$G$9*(D40+E40)</f>
        <v>2571.409772013507</v>
      </c>
      <c r="Y40" s="7">
        <f>Parameters!$G$8*(1-Parameters!$G$9)*(D40+E40)</f>
        <v>1427.2921537718612</v>
      </c>
      <c r="Z40" s="7">
        <f>POWER(1/(1+Parameters!$G$32),A40-1)*(M40-N40)</f>
        <v>3731.5693700800352</v>
      </c>
    </row>
    <row r="43" spans="1:26">
      <c r="A43" s="1" t="s">
        <v>189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45" customHeight="1">
      <c r="A44" s="4" t="s">
        <v>164</v>
      </c>
      <c r="B44" s="4" t="s">
        <v>165</v>
      </c>
      <c r="C44" s="4" t="s">
        <v>166</v>
      </c>
      <c r="D44" s="4" t="s">
        <v>167</v>
      </c>
      <c r="E44" s="4" t="s">
        <v>168</v>
      </c>
      <c r="F44" s="4" t="s">
        <v>169</v>
      </c>
      <c r="G44" s="4" t="s">
        <v>170</v>
      </c>
      <c r="H44" s="4" t="s">
        <v>171</v>
      </c>
      <c r="I44" s="4" t="s">
        <v>172</v>
      </c>
      <c r="J44" s="4" t="s">
        <v>173</v>
      </c>
      <c r="K44" s="4" t="s">
        <v>174</v>
      </c>
      <c r="L44" s="4" t="s">
        <v>175</v>
      </c>
      <c r="M44" s="4" t="s">
        <v>176</v>
      </c>
      <c r="N44" s="4" t="s">
        <v>177</v>
      </c>
      <c r="O44" s="4" t="s">
        <v>99</v>
      </c>
      <c r="P44" s="4" t="s">
        <v>178</v>
      </c>
      <c r="Q44" s="4" t="s">
        <v>179</v>
      </c>
      <c r="R44" s="4" t="s">
        <v>180</v>
      </c>
      <c r="S44" s="4" t="s">
        <v>181</v>
      </c>
      <c r="T44" s="4" t="s">
        <v>182</v>
      </c>
      <c r="U44" s="4" t="s">
        <v>183</v>
      </c>
      <c r="V44" s="4" t="s">
        <v>184</v>
      </c>
      <c r="W44" s="4" t="s">
        <v>185</v>
      </c>
      <c r="X44" s="4" t="s">
        <v>186</v>
      </c>
      <c r="Y44" s="4" t="s">
        <v>187</v>
      </c>
      <c r="Z44" s="4" t="s">
        <v>188</v>
      </c>
    </row>
    <row r="45" spans="1:26">
      <c r="A45" s="7">
        <v>1</v>
      </c>
      <c r="B45" s="7">
        <f>1</f>
        <v>1</v>
      </c>
      <c r="C45" s="7">
        <f>B45</f>
        <v>1</v>
      </c>
      <c r="D45" s="7">
        <f>0</f>
        <v>0.0</v>
      </c>
      <c r="E45" s="7">
        <f>Parameters!$G$6*C45</f>
        <v>0.1</v>
      </c>
      <c r="F45" s="7">
        <f>IF(Parameters!$G$5=1,E45,0)</f>
        <v>0.0</v>
      </c>
      <c r="G45" s="7">
        <f>F45</f>
        <v>0.0</v>
      </c>
      <c r="H45" s="7">
        <f>IF(AND(Parameters!$G$5=1,Parameters!$G$26=1),SUMPRODUCT(--($A$45:A45&lt;A45),--(MOD(A45-$A$45:A45,Parameters!$G$28)=0),$F$45:F45,POWER(Parameters!$G$27,IF(A45-$A$45:A45=0,1,A45-$A$45:A45))),0)</f>
        <v>0.0</v>
      </c>
      <c r="I45" s="7">
        <f>B45*Parameters!$G$22</f>
        <v>0.0</v>
      </c>
      <c r="J45" s="7">
        <f>E45*Parameters!$G$14*(1-Parameters!$G$15)</f>
        <v>1.9</v>
      </c>
      <c r="K45" s="7">
        <f>H45*Parameters!$G$29</f>
        <v>0.0</v>
      </c>
      <c r="L45" s="7">
        <f>I45*Parameters!$G$24</f>
        <v>0.0</v>
      </c>
      <c r="M45" s="7">
        <f>J45+K45+L45</f>
        <v>1.9</v>
      </c>
      <c r="N45" s="7">
        <f>C45*Parameters!$G$17+D45*Parameters!$G$18+E45*Parameters!$G$16+I45*Parameters!$G$25+G45*Parameters!$G$30</f>
        <v>0.30000000000000004</v>
      </c>
      <c r="O45" s="7">
        <f>0</f>
        <v>0</v>
      </c>
      <c r="P45" s="7">
        <f>M45-N45-O45</f>
        <v>1.5999999999999999</v>
      </c>
      <c r="Q45" s="7">
        <f>0</f>
        <v>0</v>
      </c>
      <c r="R45" s="7">
        <f>P45-Q45</f>
        <v>1.5999999999999999</v>
      </c>
      <c r="S45" s="7">
        <f>IF(A45&lt;1+Parameters!$G$31,0,INDEX($M$45:$M$80,A45-Parameters!$G$31))</f>
        <v>0.0</v>
      </c>
      <c r="T45" s="7">
        <f>M45-S45</f>
        <v>1.9</v>
      </c>
      <c r="U45" s="7">
        <f>S45-N45-O45-Q45</f>
        <v>-0.30000000000000004</v>
      </c>
      <c r="V45" s="7">
        <f>U45</f>
        <v>-0.30000000000000004</v>
      </c>
      <c r="W45" s="7">
        <f>(1-Parameters!$G$7)*(C45-E45)+(1-Parameters!$G$8)*(D45+E45)</f>
        <v>0.19999999999999996</v>
      </c>
      <c r="X45" s="7">
        <f>Parameters!$G$7*(C45-E45)+Parameters!$G$8*Parameters!$G$9*(D45+E45)</f>
        <v>0.7200000000000001</v>
      </c>
      <c r="Y45" s="7">
        <f>Parameters!$G$8*(1-Parameters!$G$9)*(D45+E45)</f>
        <v>0.08000000000000002</v>
      </c>
      <c r="Z45" s="7">
        <f>POWER(1/(1+Parameters!$G$32),A45-1)*(M45-N45)</f>
        <v>1.5999999999999999</v>
      </c>
    </row>
    <row r="46" spans="1:26">
      <c r="A46" s="7">
        <v>2</v>
      </c>
      <c r="B46" s="7">
        <f>0</f>
        <v>0</v>
      </c>
      <c r="C46" s="7">
        <f>X45+B46</f>
        <v>0.7200000000000001</v>
      </c>
      <c r="D46" s="7">
        <f>Y45</f>
        <v>0.08000000000000002</v>
      </c>
      <c r="E46" s="7">
        <f>Parameters!$G$6*C46</f>
        <v>0.07200000000000001</v>
      </c>
      <c r="F46" s="7">
        <f>IF(Parameters!$G$5=1,E46,0)</f>
        <v>0.0</v>
      </c>
      <c r="G46" s="7">
        <f>Parameters!$G$27*G45+F46</f>
        <v>0.0</v>
      </c>
      <c r="H46" s="7">
        <f>IF(AND(Parameters!$G$5=1,Parameters!$G$26=1),SUMPRODUCT(--($A$45:A46&lt;A46),--(MOD(A46-$A$45:A46,Parameters!$G$28)=0),$F$45:F46,POWER(Parameters!$G$27,IF(A46-$A$45:A46=0,1,A46-$A$45:A46))),0)</f>
        <v>0.0</v>
      </c>
      <c r="I46" s="7">
        <f>Parameters!$G$23*I45+B46*Parameters!$G$22</f>
        <v>0.0</v>
      </c>
      <c r="J46" s="7">
        <f>E46*Parameters!$G$14*(1-Parameters!$G$15)</f>
        <v>1.368</v>
      </c>
      <c r="K46" s="7">
        <f>H46*Parameters!$G$29</f>
        <v>0.0</v>
      </c>
      <c r="L46" s="7">
        <f>I46*Parameters!$G$24</f>
        <v>0.0</v>
      </c>
      <c r="M46" s="7">
        <f>J46+K46+L46</f>
        <v>1.368</v>
      </c>
      <c r="N46" s="7">
        <f>C46*Parameters!$G$17+D46*Parameters!$G$18+E46*Parameters!$G$16+I46*Parameters!$G$25+G46*Parameters!$G$30</f>
        <v>0.24000000000000002</v>
      </c>
      <c r="O46" s="7">
        <f>0</f>
        <v>0</v>
      </c>
      <c r="P46" s="7">
        <f>M46-N46-O46</f>
        <v>1.1280000000000001</v>
      </c>
      <c r="Q46" s="7">
        <f>0</f>
        <v>0</v>
      </c>
      <c r="R46" s="7">
        <f>P46-Q46</f>
        <v>1.1280000000000001</v>
      </c>
      <c r="S46" s="7">
        <f>IF(A46&lt;1+Parameters!$G$31,0,INDEX($M$45:$M$80,A46-Parameters!$G$31))</f>
        <v>1.9</v>
      </c>
      <c r="T46" s="7">
        <f>T45+M46-S46</f>
        <v>1.368</v>
      </c>
      <c r="U46" s="7">
        <f>S46-N46-O46-Q46</f>
        <v>1.66</v>
      </c>
      <c r="V46" s="7">
        <f>V45+U46</f>
        <v>1.3599999999999999</v>
      </c>
      <c r="W46" s="7">
        <f>(1-Parameters!$G$7)*(C46-E46)+(1-Parameters!$G$8)*(D46+E46)</f>
        <v>0.15999999999999998</v>
      </c>
      <c r="X46" s="7">
        <f>Parameters!$G$7*(C46-E46)+Parameters!$G$8*Parameters!$G$9*(D46+E46)</f>
        <v>0.5184000000000001</v>
      </c>
      <c r="Y46" s="7">
        <f>Parameters!$G$8*(1-Parameters!$G$9)*(D46+E46)</f>
        <v>0.12160000000000003</v>
      </c>
      <c r="Z46" s="7">
        <f>POWER(1/(1+Parameters!$G$32),A46-1)*(M46-N46)</f>
        <v>1.116831683168317</v>
      </c>
    </row>
    <row r="47" spans="1:26">
      <c r="A47" s="7">
        <v>3</v>
      </c>
      <c r="B47" s="7">
        <f>0</f>
        <v>0</v>
      </c>
      <c r="C47" s="7">
        <f>X46+B47</f>
        <v>0.5184000000000001</v>
      </c>
      <c r="D47" s="7">
        <f>Y46</f>
        <v>0.12160000000000004</v>
      </c>
      <c r="E47" s="7">
        <f>Parameters!$G$6*C47</f>
        <v>0.05184000000000001</v>
      </c>
      <c r="F47" s="7">
        <f>IF(Parameters!$G$5=1,E47,0)</f>
        <v>0.0</v>
      </c>
      <c r="G47" s="7">
        <f>Parameters!$G$27*G46+F47</f>
        <v>0.0</v>
      </c>
      <c r="H47" s="7">
        <f>IF(AND(Parameters!$G$5=1,Parameters!$G$26=1),SUMPRODUCT(--($A$45:A47&lt;A47),--(MOD(A47-$A$45:A47,Parameters!$G$28)=0),$F$45:F47,POWER(Parameters!$G$27,IF(A47-$A$45:A47=0,1,A47-$A$45:A47))),0)</f>
        <v>0.0</v>
      </c>
      <c r="I47" s="7">
        <f>Parameters!$G$23*I46+B47*Parameters!$G$22</f>
        <v>0.0</v>
      </c>
      <c r="J47" s="7">
        <f>E47*Parameters!$G$14*(1-Parameters!$G$15)</f>
        <v>0.9849600000000001</v>
      </c>
      <c r="K47" s="7">
        <f>H47*Parameters!$G$29</f>
        <v>0.0</v>
      </c>
      <c r="L47" s="7">
        <f>I47*Parameters!$G$24</f>
        <v>0.0</v>
      </c>
      <c r="M47" s="7">
        <f>J47+K47+L47</f>
        <v>0.9849600000000001</v>
      </c>
      <c r="N47" s="7">
        <f>C47*Parameters!$G$17+D47*Parameters!$G$18+E47*Parameters!$G$16+I47*Parameters!$G$25+G47*Parameters!$G$30</f>
        <v>0.19200000000000006</v>
      </c>
      <c r="O47" s="7">
        <f>0</f>
        <v>0</v>
      </c>
      <c r="P47" s="7">
        <f>M47-N47-O47</f>
        <v>0.79296</v>
      </c>
      <c r="Q47" s="7">
        <f>0</f>
        <v>0</v>
      </c>
      <c r="R47" s="7">
        <f>P47-Q47</f>
        <v>0.79296</v>
      </c>
      <c r="S47" s="7">
        <f>IF(A47&lt;1+Parameters!$G$31,0,INDEX($M$45:$M$80,A47-Parameters!$G$31))</f>
        <v>1.368</v>
      </c>
      <c r="T47" s="7">
        <f>T46+M47-S47</f>
        <v>0.9849600000000001</v>
      </c>
      <c r="U47" s="7">
        <f>S47-N47-O47-Q47</f>
        <v>1.1760000000000002</v>
      </c>
      <c r="V47" s="7">
        <f>V46+U47</f>
        <v>2.536</v>
      </c>
      <c r="W47" s="7">
        <f>(1-Parameters!$G$7)*(C47-E47)+(1-Parameters!$G$8)*(D47+E47)</f>
        <v>0.128</v>
      </c>
      <c r="X47" s="7">
        <f>Parameters!$G$7*(C47-E47)+Parameters!$G$8*Parameters!$G$9*(D47+E47)</f>
        <v>0.3732480000000001</v>
      </c>
      <c r="Y47" s="7">
        <f>Parameters!$G$8*(1-Parameters!$G$9)*(D47+E47)</f>
        <v>0.13875200000000004</v>
      </c>
      <c r="Z47" s="7">
        <f>POWER(1/(1+Parameters!$G$32),A47-1)*(M47-N47)</f>
        <v>0.7773355553377119</v>
      </c>
    </row>
    <row r="48" spans="1:26">
      <c r="A48" s="7">
        <v>4</v>
      </c>
      <c r="B48" s="7">
        <f>0</f>
        <v>0</v>
      </c>
      <c r="C48" s="7">
        <f>X47+B48</f>
        <v>0.3732480000000001</v>
      </c>
      <c r="D48" s="7">
        <f>Y47</f>
        <v>0.13875200000000004</v>
      </c>
      <c r="E48" s="7">
        <f>Parameters!$G$6*C48</f>
        <v>0.03732480000000001</v>
      </c>
      <c r="F48" s="7">
        <f>IF(Parameters!$G$5=1,E48,0)</f>
        <v>0.0</v>
      </c>
      <c r="G48" s="7">
        <f>Parameters!$G$27*G47+F48</f>
        <v>0.0</v>
      </c>
      <c r="H48" s="7">
        <f>IF(AND(Parameters!$G$5=1,Parameters!$G$26=1),SUMPRODUCT(--($A$45:A48&lt;A48),--(MOD(A48-$A$45:A48,Parameters!$G$28)=0),$F$45:F48,POWER(Parameters!$G$27,IF(A48-$A$45:A48=0,1,A48-$A$45:A48))),0)</f>
        <v>0.0</v>
      </c>
      <c r="I48" s="7">
        <f>Parameters!$G$23*I47+B48*Parameters!$G$22</f>
        <v>0.0</v>
      </c>
      <c r="J48" s="7">
        <f>E48*Parameters!$G$14*(1-Parameters!$G$15)</f>
        <v>0.7091712000000002</v>
      </c>
      <c r="K48" s="7">
        <f>H48*Parameters!$G$29</f>
        <v>0.0</v>
      </c>
      <c r="L48" s="7">
        <f>I48*Parameters!$G$24</f>
        <v>0.0</v>
      </c>
      <c r="M48" s="7">
        <f>J48+K48+L48</f>
        <v>0.7091712000000002</v>
      </c>
      <c r="N48" s="7">
        <f>C48*Parameters!$G$17+D48*Parameters!$G$18+E48*Parameters!$G$16+I48*Parameters!$G$25+G48*Parameters!$G$30</f>
        <v>0.15360000000000004</v>
      </c>
      <c r="O48" s="7">
        <f>0</f>
        <v>0</v>
      </c>
      <c r="P48" s="7">
        <f>M48-N48-O48</f>
        <v>0.5555712000000002</v>
      </c>
      <c r="Q48" s="7">
        <f>0</f>
        <v>0</v>
      </c>
      <c r="R48" s="7">
        <f>P48-Q48</f>
        <v>0.5555712000000002</v>
      </c>
      <c r="S48" s="7">
        <f>IF(A48&lt;1+Parameters!$G$31,0,INDEX($M$45:$M$80,A48-Parameters!$G$31))</f>
        <v>0.9849600000000001</v>
      </c>
      <c r="T48" s="7">
        <f>T47+M48-S48</f>
        <v>0.7091712000000002</v>
      </c>
      <c r="U48" s="7">
        <f>S48-N48-O48-Q48</f>
        <v>0.83136</v>
      </c>
      <c r="V48" s="7">
        <f>V47+U48</f>
        <v>3.36736</v>
      </c>
      <c r="W48" s="7">
        <f>(1-Parameters!$G$7)*(C48-E48)+(1-Parameters!$G$8)*(D48+E48)</f>
        <v>0.1024</v>
      </c>
      <c r="X48" s="7">
        <f>Parameters!$G$7*(C48-E48)+Parameters!$G$8*Parameters!$G$9*(D48+E48)</f>
        <v>0.26873856000000007</v>
      </c>
      <c r="Y48" s="7">
        <f>Parameters!$G$8*(1-Parameters!$G$9)*(D48+E48)</f>
        <v>0.14086144000000006</v>
      </c>
      <c r="Z48" s="7">
        <f>POWER(1/(1+Parameters!$G$32),A48-1)*(M48-N48)</f>
        <v>0.5392319331923391</v>
      </c>
    </row>
    <row r="49" spans="1:26">
      <c r="A49" s="7">
        <v>5</v>
      </c>
      <c r="B49" s="7">
        <f>0</f>
        <v>0</v>
      </c>
      <c r="C49" s="7">
        <f>X48+B49</f>
        <v>0.26873856000000007</v>
      </c>
      <c r="D49" s="7">
        <f>Y48</f>
        <v>0.14086144000000006</v>
      </c>
      <c r="E49" s="7">
        <f>Parameters!$G$6*C49</f>
        <v>0.02687385600000001</v>
      </c>
      <c r="F49" s="7">
        <f>IF(Parameters!$G$5=1,E49,0)</f>
        <v>0.0</v>
      </c>
      <c r="G49" s="7">
        <f>Parameters!$G$27*G48+F49</f>
        <v>0.0</v>
      </c>
      <c r="H49" s="7">
        <f>IF(AND(Parameters!$G$5=1,Parameters!$G$26=1),SUMPRODUCT(--($A$45:A49&lt;A49),--(MOD(A49-$A$45:A49,Parameters!$G$28)=0),$F$45:F49,POWER(Parameters!$G$27,IF(A49-$A$45:A49=0,1,A49-$A$45:A49))),0)</f>
        <v>0.0</v>
      </c>
      <c r="I49" s="7">
        <f>Parameters!$G$23*I48+B49*Parameters!$G$22</f>
        <v>0.0</v>
      </c>
      <c r="J49" s="7">
        <f>E49*Parameters!$G$14*(1-Parameters!$G$15)</f>
        <v>0.5106032640000001</v>
      </c>
      <c r="K49" s="7">
        <f>H49*Parameters!$G$29</f>
        <v>0.0</v>
      </c>
      <c r="L49" s="7">
        <f>I49*Parameters!$G$24</f>
        <v>0.0</v>
      </c>
      <c r="M49" s="7">
        <f>J49+K49+L49</f>
        <v>0.5106032640000001</v>
      </c>
      <c r="N49" s="7">
        <f>C49*Parameters!$G$17+D49*Parameters!$G$18+E49*Parameters!$G$16+I49*Parameters!$G$25+G49*Parameters!$G$30</f>
        <v>0.12288000000000004</v>
      </c>
      <c r="O49" s="7">
        <f>0</f>
        <v>0</v>
      </c>
      <c r="P49" s="7">
        <f>M49-N49-O49</f>
        <v>0.38772326400000007</v>
      </c>
      <c r="Q49" s="7">
        <f>0</f>
        <v>0</v>
      </c>
      <c r="R49" s="7">
        <f>P49-Q49</f>
        <v>0.38772326400000007</v>
      </c>
      <c r="S49" s="7">
        <f>IF(A49&lt;1+Parameters!$G$31,0,INDEX($M$45:$M$80,A49-Parameters!$G$31))</f>
        <v>0.7091712000000002</v>
      </c>
      <c r="T49" s="7">
        <f>T48+M49-S49</f>
        <v>0.5106032640000001</v>
      </c>
      <c r="U49" s="7">
        <f>S49-N49-O49-Q49</f>
        <v>0.5862912000000002</v>
      </c>
      <c r="V49" s="7">
        <f>V48+U49</f>
        <v>3.9536512000000004</v>
      </c>
      <c r="W49" s="7">
        <f>(1-Parameters!$G$7)*(C49-E49)+(1-Parameters!$G$8)*(D49+E49)</f>
        <v>0.08192</v>
      </c>
      <c r="X49" s="7">
        <f>Parameters!$G$7*(C49-E49)+Parameters!$G$8*Parameters!$G$9*(D49+E49)</f>
        <v>0.19349176320000006</v>
      </c>
      <c r="Y49" s="7">
        <f>Parameters!$G$8*(1-Parameters!$G$9)*(D49+E49)</f>
        <v>0.13418823680000005</v>
      </c>
      <c r="Z49" s="7">
        <f>POWER(1/(1+Parameters!$G$32),A49-1)*(M49-N49)</f>
        <v>0.37259443580272195</v>
      </c>
    </row>
    <row r="50" spans="1:26">
      <c r="A50" s="7">
        <v>6</v>
      </c>
      <c r="B50" s="7">
        <f>0</f>
        <v>0</v>
      </c>
      <c r="C50" s="7">
        <f>X49+B50</f>
        <v>0.19349176320000008</v>
      </c>
      <c r="D50" s="7">
        <f>Y49</f>
        <v>0.13418823680000005</v>
      </c>
      <c r="E50" s="7">
        <f>Parameters!$G$6*C50</f>
        <v>0.01934917632000001</v>
      </c>
      <c r="F50" s="7">
        <f>IF(Parameters!$G$5=1,E50,0)</f>
        <v>0.0</v>
      </c>
      <c r="G50" s="7">
        <f>Parameters!$G$27*G49+F50</f>
        <v>0.0</v>
      </c>
      <c r="H50" s="7">
        <f>IF(AND(Parameters!$G$5=1,Parameters!$G$26=1),SUMPRODUCT(--($A$45:A50&lt;A50),--(MOD(A50-$A$45:A50,Parameters!$G$28)=0),$F$45:F50,POWER(Parameters!$G$27,IF(A50-$A$45:A50=0,1,A50-$A$45:A50))),0)</f>
        <v>0.0</v>
      </c>
      <c r="I50" s="7">
        <f>Parameters!$G$23*I49+B50*Parameters!$G$22</f>
        <v>0.0</v>
      </c>
      <c r="J50" s="7">
        <f>E50*Parameters!$G$14*(1-Parameters!$G$15)</f>
        <v>0.3676343500800001</v>
      </c>
      <c r="K50" s="7">
        <f>H50*Parameters!$G$29</f>
        <v>0.0</v>
      </c>
      <c r="L50" s="7">
        <f>I50*Parameters!$G$24</f>
        <v>0.0</v>
      </c>
      <c r="M50" s="7">
        <f>J50+K50+L50</f>
        <v>0.3676343500800001</v>
      </c>
      <c r="N50" s="7">
        <f>C50*Parameters!$G$17+D50*Parameters!$G$18+E50*Parameters!$G$16+I50*Parameters!$G$25+G50*Parameters!$G$30</f>
        <v>0.09830400000000004</v>
      </c>
      <c r="O50" s="7">
        <f>0</f>
        <v>0</v>
      </c>
      <c r="P50" s="7">
        <f>M50-N50-O50</f>
        <v>0.26933035008000006</v>
      </c>
      <c r="Q50" s="7">
        <f>0</f>
        <v>0</v>
      </c>
      <c r="R50" s="7">
        <f>P50-Q50</f>
        <v>0.26933035008000006</v>
      </c>
      <c r="S50" s="7">
        <f>IF(A50&lt;1+Parameters!$G$31,0,INDEX($M$45:$M$80,A50-Parameters!$G$31))</f>
        <v>0.5106032640000001</v>
      </c>
      <c r="T50" s="7">
        <f>T49+M50-S50</f>
        <v>0.3676343500800001</v>
      </c>
      <c r="U50" s="7">
        <f>S50-N50-O50-Q50</f>
        <v>0.41229926400000005</v>
      </c>
      <c r="V50" s="7">
        <f>V49+U50</f>
        <v>4.365950464000001</v>
      </c>
      <c r="W50" s="7">
        <f>(1-Parameters!$G$7)*(C50-E50)+(1-Parameters!$G$8)*(D50+E50)</f>
        <v>0.06553600000000001</v>
      </c>
      <c r="X50" s="7">
        <f>Parameters!$G$7*(C50-E50)+Parameters!$G$8*Parameters!$G$9*(D50+E50)</f>
        <v>0.13931406950400005</v>
      </c>
      <c r="Y50" s="7">
        <f>Parameters!$G$8*(1-Parameters!$G$9)*(D50+E50)</f>
        <v>0.12282993049600006</v>
      </c>
      <c r="Z50" s="7">
        <f>POWER(1/(1+Parameters!$G$32),A50-1)*(M50-N50)</f>
        <v>0.2562585867322336</v>
      </c>
    </row>
    <row r="51" spans="1:26">
      <c r="A51" s="7">
        <v>7</v>
      </c>
      <c r="B51" s="7">
        <f>0</f>
        <v>0</v>
      </c>
      <c r="C51" s="7">
        <f>X50+B51</f>
        <v>0.13931406950400008</v>
      </c>
      <c r="D51" s="7">
        <f>Y50</f>
        <v>0.12282993049600005</v>
      </c>
      <c r="E51" s="7">
        <f>Parameters!$G$6*C51</f>
        <v>0.013931406950400009</v>
      </c>
      <c r="F51" s="7">
        <f>IF(Parameters!$G$5=1,E51,0)</f>
        <v>0.0</v>
      </c>
      <c r="G51" s="7">
        <f>Parameters!$G$27*G50+F51</f>
        <v>0.0</v>
      </c>
      <c r="H51" s="7">
        <f>IF(AND(Parameters!$G$5=1,Parameters!$G$26=1),SUMPRODUCT(--($A$45:A51&lt;A51),--(MOD(A51-$A$45:A51,Parameters!$G$28)=0),$F$45:F51,POWER(Parameters!$G$27,IF(A51-$A$45:A51=0,1,A51-$A$45:A51))),0)</f>
        <v>0.0</v>
      </c>
      <c r="I51" s="7">
        <f>Parameters!$G$23*I50+B51*Parameters!$G$22</f>
        <v>0.0</v>
      </c>
      <c r="J51" s="7">
        <f>E51*Parameters!$G$14*(1-Parameters!$G$15)</f>
        <v>0.2646967320576002</v>
      </c>
      <c r="K51" s="7">
        <f>H51*Parameters!$G$29</f>
        <v>0.0</v>
      </c>
      <c r="L51" s="7">
        <f>I51*Parameters!$G$24</f>
        <v>0.0</v>
      </c>
      <c r="M51" s="7">
        <f>J51+K51+L51</f>
        <v>0.2646967320576002</v>
      </c>
      <c r="N51" s="7">
        <f>C51*Parameters!$G$17+D51*Parameters!$G$18+E51*Parameters!$G$16+I51*Parameters!$G$25+G51*Parameters!$G$30</f>
        <v>0.07864320000000005</v>
      </c>
      <c r="O51" s="7">
        <f>0</f>
        <v>0</v>
      </c>
      <c r="P51" s="7">
        <f>M51-N51-O51</f>
        <v>0.18605353205760014</v>
      </c>
      <c r="Q51" s="7">
        <f>0</f>
        <v>0</v>
      </c>
      <c r="R51" s="7">
        <f>P51-Q51</f>
        <v>0.18605353205760014</v>
      </c>
      <c r="S51" s="7">
        <f>IF(A51&lt;1+Parameters!$G$31,0,INDEX($M$45:$M$80,A51-Parameters!$G$31))</f>
        <v>0.3676343500800001</v>
      </c>
      <c r="T51" s="7">
        <f>T50+M51-S51</f>
        <v>0.2646967320576002</v>
      </c>
      <c r="U51" s="7">
        <f>S51-N51-O51-Q51</f>
        <v>0.2889911500800001</v>
      </c>
      <c r="V51" s="7">
        <f>V50+U51</f>
        <v>4.654941614080001</v>
      </c>
      <c r="W51" s="7">
        <f>(1-Parameters!$G$7)*(C51-E51)+(1-Parameters!$G$8)*(D51+E51)</f>
        <v>0.05242880000000001</v>
      </c>
      <c r="X51" s="7">
        <f>Parameters!$G$7*(C51-E51)+Parameters!$G$8*Parameters!$G$9*(D51+E51)</f>
        <v>0.10030613004288005</v>
      </c>
      <c r="Y51" s="7">
        <f>Parameters!$G$8*(1-Parameters!$G$9)*(D51+E51)</f>
        <v>0.10940906995712006</v>
      </c>
      <c r="Z51" s="7">
        <f>POWER(1/(1+Parameters!$G$32),A51-1)*(M51-N51)</f>
        <v>0.17527084337707802</v>
      </c>
    </row>
    <row r="52" spans="1:26">
      <c r="A52" s="7">
        <v>8</v>
      </c>
      <c r="B52" s="7">
        <f>0</f>
        <v>0</v>
      </c>
      <c r="C52" s="7">
        <f>X51+B52</f>
        <v>0.10030613004288007</v>
      </c>
      <c r="D52" s="7">
        <f>Y51</f>
        <v>0.10940906995712005</v>
      </c>
      <c r="E52" s="7">
        <f>Parameters!$G$6*C52</f>
        <v>0.010030613004288008</v>
      </c>
      <c r="F52" s="7">
        <f>IF(Parameters!$G$5=1,E52,0)</f>
        <v>0.0</v>
      </c>
      <c r="G52" s="7">
        <f>Parameters!$G$27*G51+F52</f>
        <v>0.0</v>
      </c>
      <c r="H52" s="7">
        <f>IF(AND(Parameters!$G$5=1,Parameters!$G$26=1),SUMPRODUCT(--($A$45:A52&lt;A52),--(MOD(A52-$A$45:A52,Parameters!$G$28)=0),$F$45:F52,POWER(Parameters!$G$27,IF(A52-$A$45:A52=0,1,A52-$A$45:A52))),0)</f>
        <v>0.0</v>
      </c>
      <c r="I52" s="7">
        <f>Parameters!$G$23*I51+B52*Parameters!$G$22</f>
        <v>0.0</v>
      </c>
      <c r="J52" s="7">
        <f>E52*Parameters!$G$14*(1-Parameters!$G$15)</f>
        <v>0.19058164708147216</v>
      </c>
      <c r="K52" s="7">
        <f>H52*Parameters!$G$29</f>
        <v>0.0</v>
      </c>
      <c r="L52" s="7">
        <f>I52*Parameters!$G$24</f>
        <v>0.0</v>
      </c>
      <c r="M52" s="7">
        <f>J52+K52+L52</f>
        <v>0.19058164708147216</v>
      </c>
      <c r="N52" s="7">
        <f>C52*Parameters!$G$17+D52*Parameters!$G$18+E52*Parameters!$G$16+I52*Parameters!$G$25+G52*Parameters!$G$30</f>
        <v>0.06291456000000004</v>
      </c>
      <c r="O52" s="7">
        <f>0</f>
        <v>0</v>
      </c>
      <c r="P52" s="7">
        <f>M52-N52-O52</f>
        <v>0.12766708708147212</v>
      </c>
      <c r="Q52" s="7">
        <f>0</f>
        <v>0</v>
      </c>
      <c r="R52" s="7">
        <f>P52-Q52</f>
        <v>0.12766708708147212</v>
      </c>
      <c r="S52" s="7">
        <f>IF(A52&lt;1+Parameters!$G$31,0,INDEX($M$45:$M$80,A52-Parameters!$G$31))</f>
        <v>0.2646967320576002</v>
      </c>
      <c r="T52" s="7">
        <f>T51+M52-S52</f>
        <v>0.19058164708147216</v>
      </c>
      <c r="U52" s="7">
        <f>S52-N52-O52-Q52</f>
        <v>0.20178217205760016</v>
      </c>
      <c r="V52" s="7">
        <f>V51+U52</f>
        <v>4.856723786137601</v>
      </c>
      <c r="W52" s="7">
        <f>(1-Parameters!$G$7)*(C52-E52)+(1-Parameters!$G$8)*(D52+E52)</f>
        <v>0.041943040000000015</v>
      </c>
      <c r="X52" s="7">
        <f>Parameters!$G$7*(C52-E52)+Parameters!$G$8*Parameters!$G$9*(D52+E52)</f>
        <v>0.07222041363087366</v>
      </c>
      <c r="Y52" s="7">
        <f>Parameters!$G$8*(1-Parameters!$G$9)*(D52+E52)</f>
        <v>0.09555174636912644</v>
      </c>
      <c r="Z52" s="7">
        <f>POWER(1/(1+Parameters!$G$32),A52-1)*(M52-N52)</f>
        <v>0.11907739711275712</v>
      </c>
    </row>
    <row r="53" spans="1:26">
      <c r="A53" s="7">
        <v>9</v>
      </c>
      <c r="B53" s="7">
        <f>0</f>
        <v>0</v>
      </c>
      <c r="C53" s="7">
        <f>X52+B53</f>
        <v>0.07222041363087366</v>
      </c>
      <c r="D53" s="7">
        <f>Y52</f>
        <v>0.09555174636912646</v>
      </c>
      <c r="E53" s="7">
        <f>Parameters!$G$6*C53</f>
        <v>0.007222041363087366</v>
      </c>
      <c r="F53" s="7">
        <f>IF(Parameters!$G$5=1,E53,0)</f>
        <v>0.0</v>
      </c>
      <c r="G53" s="7">
        <f>Parameters!$G$27*G52+F53</f>
        <v>0.0</v>
      </c>
      <c r="H53" s="7">
        <f>IF(AND(Parameters!$G$5=1,Parameters!$G$26=1),SUMPRODUCT(--($A$45:A53&lt;A53),--(MOD(A53-$A$45:A53,Parameters!$G$28)=0),$F$45:F53,POWER(Parameters!$G$27,IF(A53-$A$45:A53=0,1,A53-$A$45:A53))),0)</f>
        <v>0.0</v>
      </c>
      <c r="I53" s="7">
        <f>Parameters!$G$23*I52+B53*Parameters!$G$22</f>
        <v>0.0</v>
      </c>
      <c r="J53" s="7">
        <f>E53*Parameters!$G$14*(1-Parameters!$G$15)</f>
        <v>0.13721878589865993</v>
      </c>
      <c r="K53" s="7">
        <f>H53*Parameters!$G$29</f>
        <v>0.0</v>
      </c>
      <c r="L53" s="7">
        <f>I53*Parameters!$G$24</f>
        <v>0.0</v>
      </c>
      <c r="M53" s="7">
        <f>J53+K53+L53</f>
        <v>0.13721878589865993</v>
      </c>
      <c r="N53" s="7">
        <f>C53*Parameters!$G$17+D53*Parameters!$G$18+E53*Parameters!$G$16+I53*Parameters!$G$25+G53*Parameters!$G$30</f>
        <v>0.050331648000000034</v>
      </c>
      <c r="O53" s="7">
        <f>0</f>
        <v>0</v>
      </c>
      <c r="P53" s="7">
        <f>M53-N53-O53</f>
        <v>0.0868871378986599</v>
      </c>
      <c r="Q53" s="7">
        <f>0</f>
        <v>0</v>
      </c>
      <c r="R53" s="7">
        <f>P53-Q53</f>
        <v>0.0868871378986599</v>
      </c>
      <c r="S53" s="7">
        <f>IF(A53&lt;1+Parameters!$G$31,0,INDEX($M$45:$M$80,A53-Parameters!$G$31))</f>
        <v>0.19058164708147216</v>
      </c>
      <c r="T53" s="7">
        <f>T52+M53-S53</f>
        <v>0.13721878589865993</v>
      </c>
      <c r="U53" s="7">
        <f>S53-N53-O53-Q53</f>
        <v>0.14024999908147212</v>
      </c>
      <c r="V53" s="7">
        <f>V52+U53</f>
        <v>4.996973785219073</v>
      </c>
      <c r="W53" s="7">
        <f>(1-Parameters!$G$7)*(C53-E53)+(1-Parameters!$G$8)*(D53+E53)</f>
        <v>0.033554432000000016</v>
      </c>
      <c r="X53" s="7">
        <f>Parameters!$G$7*(C53-E53)+Parameters!$G$8*Parameters!$G$9*(D53+E53)</f>
        <v>0.051998697814229035</v>
      </c>
      <c r="Y53" s="7">
        <f>Parameters!$G$8*(1-Parameters!$G$9)*(D53+E53)</f>
        <v>0.08221903018577106</v>
      </c>
      <c r="Z53" s="7">
        <f>POWER(1/(1+Parameters!$G$32),A53-1)*(M53-N53)</f>
        <v>0.08023881409891948</v>
      </c>
    </row>
    <row r="54" spans="1:26">
      <c r="A54" s="7">
        <v>10</v>
      </c>
      <c r="B54" s="7">
        <f>0</f>
        <v>0</v>
      </c>
      <c r="C54" s="7">
        <f>X53+B54</f>
        <v>0.05199869781422904</v>
      </c>
      <c r="D54" s="7">
        <f>Y53</f>
        <v>0.08221903018577108</v>
      </c>
      <c r="E54" s="7">
        <f>Parameters!$G$6*C54</f>
        <v>0.005199869781422905</v>
      </c>
      <c r="F54" s="7">
        <f>IF(Parameters!$G$5=1,E54,0)</f>
        <v>0.0</v>
      </c>
      <c r="G54" s="7">
        <f>Parameters!$G$27*G53+F54</f>
        <v>0.0</v>
      </c>
      <c r="H54" s="7">
        <f>IF(AND(Parameters!$G$5=1,Parameters!$G$26=1),SUMPRODUCT(--($A$45:A54&lt;A54),--(MOD(A54-$A$45:A54,Parameters!$G$28)=0),$F$45:F54,POWER(Parameters!$G$27,IF(A54-$A$45:A54=0,1,A54-$A$45:A54))),0)</f>
        <v>0.0</v>
      </c>
      <c r="I54" s="7">
        <f>Parameters!$G$23*I53+B54*Parameters!$G$22</f>
        <v>0.0</v>
      </c>
      <c r="J54" s="7">
        <f>E54*Parameters!$G$14*(1-Parameters!$G$15)</f>
        <v>0.09879752584703519</v>
      </c>
      <c r="K54" s="7">
        <f>H54*Parameters!$G$29</f>
        <v>0.0</v>
      </c>
      <c r="L54" s="7">
        <f>I54*Parameters!$G$24</f>
        <v>0.0</v>
      </c>
      <c r="M54" s="7">
        <f>J54+K54+L54</f>
        <v>0.09879752584703519</v>
      </c>
      <c r="N54" s="7">
        <f>C54*Parameters!$G$17+D54*Parameters!$G$18+E54*Parameters!$G$16+I54*Parameters!$G$25+G54*Parameters!$G$30</f>
        <v>0.04026531840000004</v>
      </c>
      <c r="O54" s="7">
        <f>0</f>
        <v>0</v>
      </c>
      <c r="P54" s="7">
        <f>M54-N54-O54</f>
        <v>0.05853220744703515</v>
      </c>
      <c r="Q54" s="7">
        <f>0</f>
        <v>0</v>
      </c>
      <c r="R54" s="7">
        <f>P54-Q54</f>
        <v>0.05853220744703515</v>
      </c>
      <c r="S54" s="7">
        <f>IF(A54&lt;1+Parameters!$G$31,0,INDEX($M$45:$M$80,A54-Parameters!$G$31))</f>
        <v>0.13721878589865993</v>
      </c>
      <c r="T54" s="7">
        <f>T53+M54-S54</f>
        <v>0.09879752584703519</v>
      </c>
      <c r="U54" s="7">
        <f>S54-N54-O54-Q54</f>
        <v>0.09695346749865989</v>
      </c>
      <c r="V54" s="7">
        <f>V53+U54</f>
        <v>5.093927252717734</v>
      </c>
      <c r="W54" s="7">
        <f>(1-Parameters!$G$7)*(C54-E54)+(1-Parameters!$G$8)*(D54+E54)</f>
        <v>0.02684354560000002</v>
      </c>
      <c r="X54" s="7">
        <f>Parameters!$G$7*(C54-E54)+Parameters!$G$8*Parameters!$G$9*(D54+E54)</f>
        <v>0.03743906242624491</v>
      </c>
      <c r="Y54" s="7">
        <f>Parameters!$G$8*(1-Parameters!$G$9)*(D54+E54)</f>
        <v>0.06993511997375519</v>
      </c>
      <c r="Z54" s="7">
        <f>POWER(1/(1+Parameters!$G$32),A54-1)*(M54-N54)</f>
        <v>0.05351832826949624</v>
      </c>
    </row>
    <row r="55" spans="1:26">
      <c r="A55" s="7">
        <v>11</v>
      </c>
      <c r="B55" s="7">
        <f>0</f>
        <v>0</v>
      </c>
      <c r="C55" s="7">
        <f>X54+B55</f>
        <v>0.037439062426244916</v>
      </c>
      <c r="D55" s="7">
        <f>Y54</f>
        <v>0.06993511997375519</v>
      </c>
      <c r="E55" s="7">
        <f>Parameters!$G$6*C55</f>
        <v>0.0037439062426244916</v>
      </c>
      <c r="F55" s="7">
        <f>IF(Parameters!$G$5=1,E55,0)</f>
        <v>0.0</v>
      </c>
      <c r="G55" s="7">
        <f>Parameters!$G$27*G54+F55</f>
        <v>0.0</v>
      </c>
      <c r="H55" s="7">
        <f>IF(AND(Parameters!$G$5=1,Parameters!$G$26=1),SUMPRODUCT(--($A$45:A55&lt;A55),--(MOD(A55-$A$45:A55,Parameters!$G$28)=0),$F$45:F55,POWER(Parameters!$G$27,IF(A55-$A$45:A55=0,1,A55-$A$45:A55))),0)</f>
        <v>0.0</v>
      </c>
      <c r="I55" s="7">
        <f>Parameters!$G$23*I54+B55*Parameters!$G$22</f>
        <v>0.0</v>
      </c>
      <c r="J55" s="7">
        <f>E55*Parameters!$G$14*(1-Parameters!$G$15)</f>
        <v>0.07113421860986534</v>
      </c>
      <c r="K55" s="7">
        <f>H55*Parameters!$G$29</f>
        <v>0.0</v>
      </c>
      <c r="L55" s="7">
        <f>I55*Parameters!$G$24</f>
        <v>0.0</v>
      </c>
      <c r="M55" s="7">
        <f>J55+K55+L55</f>
        <v>0.07113421860986534</v>
      </c>
      <c r="N55" s="7">
        <f>C55*Parameters!$G$17+D55*Parameters!$G$18+E55*Parameters!$G$16+I55*Parameters!$G$25+G55*Parameters!$G$30</f>
        <v>0.03221225472000003</v>
      </c>
      <c r="O55" s="7">
        <f>0</f>
        <v>0</v>
      </c>
      <c r="P55" s="7">
        <f>M55-N55-O55</f>
        <v>0.03892196388986531</v>
      </c>
      <c r="Q55" s="7">
        <f>0</f>
        <v>0</v>
      </c>
      <c r="R55" s="7">
        <f>P55-Q55</f>
        <v>0.03892196388986531</v>
      </c>
      <c r="S55" s="7">
        <f>IF(A55&lt;1+Parameters!$G$31,0,INDEX($M$45:$M$80,A55-Parameters!$G$31))</f>
        <v>0.09879752584703519</v>
      </c>
      <c r="T55" s="7">
        <f>T54+M55-S55</f>
        <v>0.07113421860986534</v>
      </c>
      <c r="U55" s="7">
        <f>S55-N55-O55-Q55</f>
        <v>0.06658527112703516</v>
      </c>
      <c r="V55" s="7">
        <f>V54+U55</f>
        <v>5.160512523844769</v>
      </c>
      <c r="W55" s="7">
        <f>(1-Parameters!$G$7)*(C55-E55)+(1-Parameters!$G$8)*(D55+E55)</f>
        <v>0.021474836480000016</v>
      </c>
      <c r="X55" s="7">
        <f>Parameters!$G$7*(C55-E55)+Parameters!$G$8*Parameters!$G$9*(D55+E55)</f>
        <v>0.026956124946896344</v>
      </c>
      <c r="Y55" s="7">
        <f>Parameters!$G$8*(1-Parameters!$G$9)*(D55+E55)</f>
        <v>0.058943220973103755</v>
      </c>
      <c r="Z55" s="7">
        <f>POWER(1/(1+Parameters!$G$32),A55-1)*(M55-N55)</f>
        <v>0.035235546160526425</v>
      </c>
    </row>
    <row r="56" spans="1:26">
      <c r="A56" s="7">
        <v>12</v>
      </c>
      <c r="B56" s="7">
        <f>0</f>
        <v>0</v>
      </c>
      <c r="C56" s="7">
        <f>X55+B56</f>
        <v>0.026956124946896344</v>
      </c>
      <c r="D56" s="7">
        <f>Y55</f>
        <v>0.058943220973103755</v>
      </c>
      <c r="E56" s="7">
        <f>Parameters!$G$6*C56</f>
        <v>0.0026956124946896347</v>
      </c>
      <c r="F56" s="7">
        <f>IF(Parameters!$G$5=1,E56,0)</f>
        <v>0.0</v>
      </c>
      <c r="G56" s="7">
        <f>Parameters!$G$27*G55+F56</f>
        <v>0.0</v>
      </c>
      <c r="H56" s="7">
        <f>IF(AND(Parameters!$G$5=1,Parameters!$G$26=1),SUMPRODUCT(--($A$45:A56&lt;A56),--(MOD(A56-$A$45:A56,Parameters!$G$28)=0),$F$45:F56,POWER(Parameters!$G$27,IF(A56-$A$45:A56=0,1,A56-$A$45:A56))),0)</f>
        <v>0.0</v>
      </c>
      <c r="I56" s="7">
        <f>Parameters!$G$23*I55+B56*Parameters!$G$22</f>
        <v>0.0</v>
      </c>
      <c r="J56" s="7">
        <f>E56*Parameters!$G$14*(1-Parameters!$G$15)</f>
        <v>0.05121663739910306</v>
      </c>
      <c r="K56" s="7">
        <f>H56*Parameters!$G$29</f>
        <v>0.0</v>
      </c>
      <c r="L56" s="7">
        <f>I56*Parameters!$G$24</f>
        <v>0.0</v>
      </c>
      <c r="M56" s="7">
        <f>J56+K56+L56</f>
        <v>0.05121663739910306</v>
      </c>
      <c r="N56" s="7">
        <f>C56*Parameters!$G$17+D56*Parameters!$G$18+E56*Parameters!$G$16+I56*Parameters!$G$25+G56*Parameters!$G$30</f>
        <v>0.02576980377600003</v>
      </c>
      <c r="O56" s="7">
        <f>0</f>
        <v>0</v>
      </c>
      <c r="P56" s="7">
        <f>M56-N56-O56</f>
        <v>0.02544683362310303</v>
      </c>
      <c r="Q56" s="7">
        <f>0</f>
        <v>0</v>
      </c>
      <c r="R56" s="7">
        <f>P56-Q56</f>
        <v>0.02544683362310303</v>
      </c>
      <c r="S56" s="7">
        <f>IF(A56&lt;1+Parameters!$G$31,0,INDEX($M$45:$M$80,A56-Parameters!$G$31))</f>
        <v>0.07113421860986534</v>
      </c>
      <c r="T56" s="7">
        <f>T55+M56-S56</f>
        <v>0.05121663739910306</v>
      </c>
      <c r="U56" s="7">
        <f>S56-N56-O56-Q56</f>
        <v>0.04536441483386531</v>
      </c>
      <c r="V56" s="7">
        <f>V55+U56</f>
        <v>5.205876938678634</v>
      </c>
      <c r="W56" s="7">
        <f>(1-Parameters!$G$7)*(C56-E56)+(1-Parameters!$G$8)*(D56+E56)</f>
        <v>0.017179869184000017</v>
      </c>
      <c r="X56" s="7">
        <f>Parameters!$G$7*(C56-E56)+Parameters!$G$8*Parameters!$G$9*(D56+E56)</f>
        <v>0.019408409961765367</v>
      </c>
      <c r="Y56" s="7">
        <f>Parameters!$G$8*(1-Parameters!$G$9)*(D56+E56)</f>
        <v>0.04931106677423472</v>
      </c>
      <c r="Z56" s="7">
        <f>POWER(1/(1+Parameters!$G$32),A56-1)*(M56-N56)</f>
        <v>0.022808600512116785</v>
      </c>
    </row>
    <row r="57" spans="1:26">
      <c r="A57" s="7">
        <v>13</v>
      </c>
      <c r="B57" s="7">
        <f>0</f>
        <v>0</v>
      </c>
      <c r="C57" s="7">
        <f>X56+B57</f>
        <v>0.01940840996176537</v>
      </c>
      <c r="D57" s="7">
        <f>Y56</f>
        <v>0.04931106677423471</v>
      </c>
      <c r="E57" s="7">
        <f>Parameters!$G$6*C57</f>
        <v>0.0019408409961765372</v>
      </c>
      <c r="F57" s="7">
        <f>IF(Parameters!$G$5=1,E57,0)</f>
        <v>0.0</v>
      </c>
      <c r="G57" s="7">
        <f>Parameters!$G$27*G56+F57</f>
        <v>0.0</v>
      </c>
      <c r="H57" s="7">
        <f>IF(AND(Parameters!$G$5=1,Parameters!$G$26=1),SUMPRODUCT(--($A$45:A57&lt;A57),--(MOD(A57-$A$45:A57,Parameters!$G$28)=0),$F$45:F57,POWER(Parameters!$G$27,IF(A57-$A$45:A57=0,1,A57-$A$45:A57))),0)</f>
        <v>0.0</v>
      </c>
      <c r="I57" s="7">
        <f>Parameters!$G$23*I56+B57*Parameters!$G$22</f>
        <v>0.0</v>
      </c>
      <c r="J57" s="7">
        <f>E57*Parameters!$G$14*(1-Parameters!$G$15)</f>
        <v>0.036875978927354204</v>
      </c>
      <c r="K57" s="7">
        <f>H57*Parameters!$G$29</f>
        <v>0.0</v>
      </c>
      <c r="L57" s="7">
        <f>I57*Parameters!$G$24</f>
        <v>0.0</v>
      </c>
      <c r="M57" s="7">
        <f>J57+K57+L57</f>
        <v>0.036875978927354204</v>
      </c>
      <c r="N57" s="7">
        <f>C57*Parameters!$G$17+D57*Parameters!$G$18+E57*Parameters!$G$16+I57*Parameters!$G$25+G57*Parameters!$G$30</f>
        <v>0.020615843020800023</v>
      </c>
      <c r="O57" s="7">
        <f>0</f>
        <v>0</v>
      </c>
      <c r="P57" s="7">
        <f>M57-N57-O57</f>
        <v>0.01626013590655418</v>
      </c>
      <c r="Q57" s="7">
        <f>0</f>
        <v>0</v>
      </c>
      <c r="R57" s="7">
        <f>P57-Q57</f>
        <v>0.01626013590655418</v>
      </c>
      <c r="S57" s="7">
        <f>IF(A57&lt;1+Parameters!$G$31,0,INDEX($M$45:$M$80,A57-Parameters!$G$31))</f>
        <v>0.05121663739910306</v>
      </c>
      <c r="T57" s="7">
        <f>T56+M57-S57</f>
        <v>0.036875978927354204</v>
      </c>
      <c r="U57" s="7">
        <f>S57-N57-O57-Q57</f>
        <v>0.030600794378303035</v>
      </c>
      <c r="V57" s="7">
        <f>V56+U57</f>
        <v>5.236477733056938</v>
      </c>
      <c r="W57" s="7">
        <f>(1-Parameters!$G$7)*(C57-E57)+(1-Parameters!$G$8)*(D57+E57)</f>
        <v>0.013743895347200013</v>
      </c>
      <c r="X57" s="7">
        <f>Parameters!$G$7*(C57-E57)+Parameters!$G$8*Parameters!$G$9*(D57+E57)</f>
        <v>0.013974055172471068</v>
      </c>
      <c r="Y57" s="7">
        <f>Parameters!$G$8*(1-Parameters!$G$9)*(D57+E57)</f>
        <v>0.041001526216329</v>
      </c>
      <c r="Z57" s="7">
        <f>POWER(1/(1+Parameters!$G$32),A57-1)*(M57-N57)</f>
        <v>0.014430045012977613</v>
      </c>
    </row>
    <row r="58" spans="1:26">
      <c r="A58" s="7">
        <v>14</v>
      </c>
      <c r="B58" s="7">
        <f>0</f>
        <v>0</v>
      </c>
      <c r="C58" s="7">
        <f>X57+B58</f>
        <v>0.013974055172471068</v>
      </c>
      <c r="D58" s="7">
        <f>Y57</f>
        <v>0.04100152621632901</v>
      </c>
      <c r="E58" s="7">
        <f>Parameters!$G$6*C58</f>
        <v>0.001397405517247107</v>
      </c>
      <c r="F58" s="7">
        <f>IF(Parameters!$G$5=1,E58,0)</f>
        <v>0.0</v>
      </c>
      <c r="G58" s="7">
        <f>Parameters!$G$27*G57+F58</f>
        <v>0.0</v>
      </c>
      <c r="H58" s="7">
        <f>IF(AND(Parameters!$G$5=1,Parameters!$G$26=1),SUMPRODUCT(--($A$45:A58&lt;A58),--(MOD(A58-$A$45:A58,Parameters!$G$28)=0),$F$45:F58,POWER(Parameters!$G$27,IF(A58-$A$45:A58=0,1,A58-$A$45:A58))),0)</f>
        <v>0.0</v>
      </c>
      <c r="I58" s="7">
        <f>Parameters!$G$23*I57+B58*Parameters!$G$22</f>
        <v>0.0</v>
      </c>
      <c r="J58" s="7">
        <f>E58*Parameters!$G$14*(1-Parameters!$G$15)</f>
        <v>0.026550704827695032</v>
      </c>
      <c r="K58" s="7">
        <f>H58*Parameters!$G$29</f>
        <v>0.0</v>
      </c>
      <c r="L58" s="7">
        <f>I58*Parameters!$G$24</f>
        <v>0.0</v>
      </c>
      <c r="M58" s="7">
        <f>J58+K58+L58</f>
        <v>0.026550704827695032</v>
      </c>
      <c r="N58" s="7">
        <f>C58*Parameters!$G$17+D58*Parameters!$G$18+E58*Parameters!$G$16+I58*Parameters!$G$25+G58*Parameters!$G$30</f>
        <v>0.016492674416640023</v>
      </c>
      <c r="O58" s="7">
        <f>0</f>
        <v>0</v>
      </c>
      <c r="P58" s="7">
        <f>M58-N58-O58</f>
        <v>0.010058030411055009</v>
      </c>
      <c r="Q58" s="7">
        <f>0</f>
        <v>0</v>
      </c>
      <c r="R58" s="7">
        <f>P58-Q58</f>
        <v>0.010058030411055009</v>
      </c>
      <c r="S58" s="7">
        <f>IF(A58&lt;1+Parameters!$G$31,0,INDEX($M$45:$M$80,A58-Parameters!$G$31))</f>
        <v>0.036875978927354204</v>
      </c>
      <c r="T58" s="7">
        <f>T57+M58-S58</f>
        <v>0.026550704827695032</v>
      </c>
      <c r="U58" s="7">
        <f>S58-N58-O58-Q58</f>
        <v>0.02038330451071418</v>
      </c>
      <c r="V58" s="7">
        <f>V57+U58</f>
        <v>5.256861037567652</v>
      </c>
      <c r="W58" s="7">
        <f>(1-Parameters!$G$7)*(C58-E58)+(1-Parameters!$G$8)*(D58+E58)</f>
        <v>0.010995116277760012</v>
      </c>
      <c r="X58" s="7">
        <f>Parameters!$G$7*(C58-E58)+Parameters!$G$8*Parameters!$G$9*(D58+E58)</f>
        <v>0.010061319724179169</v>
      </c>
      <c r="Y58" s="7">
        <f>Parameters!$G$8*(1-Parameters!$G$9)*(D58+E58)</f>
        <v>0.03391914538686089</v>
      </c>
      <c r="Z58" s="7">
        <f>POWER(1/(1+Parameters!$G$32),A58-1)*(M58-N58)</f>
        <v>0.008837615144538733</v>
      </c>
    </row>
    <row r="59" spans="1:26">
      <c r="A59" s="7">
        <v>15</v>
      </c>
      <c r="B59" s="7">
        <f>0</f>
        <v>0</v>
      </c>
      <c r="C59" s="7">
        <f>X58+B59</f>
        <v>0.01006131972417917</v>
      </c>
      <c r="D59" s="7">
        <f>Y58</f>
        <v>0.03391914538686089</v>
      </c>
      <c r="E59" s="7">
        <f>Parameters!$G$6*C59</f>
        <v>0.0010061319724179172</v>
      </c>
      <c r="F59" s="7">
        <f>IF(Parameters!$G$5=1,E59,0)</f>
        <v>0.0</v>
      </c>
      <c r="G59" s="7">
        <f>Parameters!$G$27*G58+F59</f>
        <v>0.0</v>
      </c>
      <c r="H59" s="7">
        <f>IF(AND(Parameters!$G$5=1,Parameters!$G$26=1),SUMPRODUCT(--($A$45:A59&lt;A59),--(MOD(A59-$A$45:A59,Parameters!$G$28)=0),$F$45:F59,POWER(Parameters!$G$27,IF(A59-$A$45:A59=0,1,A59-$A$45:A59))),0)</f>
        <v>0.0</v>
      </c>
      <c r="I59" s="7">
        <f>Parameters!$G$23*I58+B59*Parameters!$G$22</f>
        <v>0.0</v>
      </c>
      <c r="J59" s="7">
        <f>E59*Parameters!$G$14*(1-Parameters!$G$15)</f>
        <v>0.019116507475940427</v>
      </c>
      <c r="K59" s="7">
        <f>H59*Parameters!$G$29</f>
        <v>0.0</v>
      </c>
      <c r="L59" s="7">
        <f>I59*Parameters!$G$24</f>
        <v>0.0</v>
      </c>
      <c r="M59" s="7">
        <f>J59+K59+L59</f>
        <v>0.019116507475940427</v>
      </c>
      <c r="N59" s="7">
        <f>C59*Parameters!$G$17+D59*Parameters!$G$18+E59*Parameters!$G$16+I59*Parameters!$G$25+G59*Parameters!$G$30</f>
        <v>0.013194139533312018</v>
      </c>
      <c r="O59" s="7">
        <f>0</f>
        <v>0</v>
      </c>
      <c r="P59" s="7">
        <f>M59-N59-O59</f>
        <v>0.005922367942628409</v>
      </c>
      <c r="Q59" s="7">
        <f>0</f>
        <v>0</v>
      </c>
      <c r="R59" s="7">
        <f>P59-Q59</f>
        <v>0.005922367942628409</v>
      </c>
      <c r="S59" s="7">
        <f>IF(A59&lt;1+Parameters!$G$31,0,INDEX($M$45:$M$80,A59-Parameters!$G$31))</f>
        <v>0.026550704827695032</v>
      </c>
      <c r="T59" s="7">
        <f>T58+M59-S59</f>
        <v>0.019116507475940427</v>
      </c>
      <c r="U59" s="7">
        <f>S59-N59-O59-Q59</f>
        <v>0.013356565294383014</v>
      </c>
      <c r="V59" s="7">
        <f>V58+U59</f>
        <v>5.270217602862035</v>
      </c>
      <c r="W59" s="7">
        <f>(1-Parameters!$G$7)*(C59-E59)+(1-Parameters!$G$8)*(D59+E59)</f>
        <v>0.00879609302220801</v>
      </c>
      <c r="X59" s="7">
        <f>Parameters!$G$7*(C59-E59)+Parameters!$G$8*Parameters!$G$9*(D59+E59)</f>
        <v>0.007244150201409003</v>
      </c>
      <c r="Y59" s="7">
        <f>Parameters!$G$8*(1-Parameters!$G$9)*(D59+E59)</f>
        <v>0.027940221887423046</v>
      </c>
      <c r="Z59" s="7">
        <f>POWER(1/(1+Parameters!$G$32),A59-1)*(M59-N59)</f>
        <v>0.00515224080229464</v>
      </c>
    </row>
    <row r="60" spans="1:26">
      <c r="A60" s="7">
        <v>16</v>
      </c>
      <c r="B60" s="7">
        <f>0</f>
        <v>0</v>
      </c>
      <c r="C60" s="7">
        <f>X59+B60</f>
        <v>0.007244150201409004</v>
      </c>
      <c r="D60" s="7">
        <f>Y59</f>
        <v>0.027940221887423046</v>
      </c>
      <c r="E60" s="7">
        <f>Parameters!$G$6*C60</f>
        <v>0.0007244150201409004</v>
      </c>
      <c r="F60" s="7">
        <f>IF(Parameters!$G$5=1,E60,0)</f>
        <v>0.0</v>
      </c>
      <c r="G60" s="7">
        <f>Parameters!$G$27*G59+F60</f>
        <v>0.0</v>
      </c>
      <c r="H60" s="7">
        <f>IF(AND(Parameters!$G$5=1,Parameters!$G$26=1),SUMPRODUCT(--($A$45:A60&lt;A60),--(MOD(A60-$A$45:A60,Parameters!$G$28)=0),$F$45:F60,POWER(Parameters!$G$27,IF(A60-$A$45:A60=0,1,A60-$A$45:A60))),0)</f>
        <v>0.0</v>
      </c>
      <c r="I60" s="7">
        <f>Parameters!$G$23*I59+B60*Parameters!$G$22</f>
        <v>0.0</v>
      </c>
      <c r="J60" s="7">
        <f>E60*Parameters!$G$14*(1-Parameters!$G$15)</f>
        <v>0.013763885382677107</v>
      </c>
      <c r="K60" s="7">
        <f>H60*Parameters!$G$29</f>
        <v>0.0</v>
      </c>
      <c r="L60" s="7">
        <f>I60*Parameters!$G$24</f>
        <v>0.0</v>
      </c>
      <c r="M60" s="7">
        <f>J60+K60+L60</f>
        <v>0.013763885382677107</v>
      </c>
      <c r="N60" s="7">
        <f>C60*Parameters!$G$17+D60*Parameters!$G$18+E60*Parameters!$G$16+I60*Parameters!$G$25+G60*Parameters!$G$30</f>
        <v>0.010555311626649614</v>
      </c>
      <c r="O60" s="7">
        <f>0</f>
        <v>0</v>
      </c>
      <c r="P60" s="7">
        <f>M60-N60-O60</f>
        <v>0.0032085737560274934</v>
      </c>
      <c r="Q60" s="7">
        <f>0</f>
        <v>0</v>
      </c>
      <c r="R60" s="7">
        <f>P60-Q60</f>
        <v>0.0032085737560274934</v>
      </c>
      <c r="S60" s="7">
        <f>IF(A60&lt;1+Parameters!$G$31,0,INDEX($M$45:$M$80,A60-Parameters!$G$31))</f>
        <v>0.019116507475940427</v>
      </c>
      <c r="T60" s="7">
        <f>T59+M60-S60</f>
        <v>0.013763885382677107</v>
      </c>
      <c r="U60" s="7">
        <f>S60-N60-O60-Q60</f>
        <v>0.008561195849290814</v>
      </c>
      <c r="V60" s="7">
        <f>V59+U60</f>
        <v>5.2787787987113255</v>
      </c>
      <c r="W60" s="7">
        <f>(1-Parameters!$G$7)*(C60-E60)+(1-Parameters!$G$8)*(D60+E60)</f>
        <v>0.0070368744177664085</v>
      </c>
      <c r="X60" s="7">
        <f>Parameters!$G$7*(C60-E60)+Parameters!$G$8*Parameters!$G$9*(D60+E60)</f>
        <v>0.005215788145014483</v>
      </c>
      <c r="Y60" s="7">
        <f>Parameters!$G$8*(1-Parameters!$G$9)*(D60+E60)</f>
        <v>0.02293170952605116</v>
      </c>
      <c r="Z60" s="7">
        <f>POWER(1/(1+Parameters!$G$32),A60-1)*(M60-N60)</f>
        <v>0.0027637033197024006</v>
      </c>
    </row>
    <row r="61" spans="1:26">
      <c r="A61" s="7">
        <v>17</v>
      </c>
      <c r="B61" s="7">
        <f>0</f>
        <v>0</v>
      </c>
      <c r="C61" s="7">
        <f>X60+B61</f>
        <v>0.005215788145014483</v>
      </c>
      <c r="D61" s="7">
        <f>Y60</f>
        <v>0.02293170952605116</v>
      </c>
      <c r="E61" s="7">
        <f>Parameters!$G$6*C61</f>
        <v>0.0005215788145014484</v>
      </c>
      <c r="F61" s="7">
        <f>IF(Parameters!$G$5=1,E61,0)</f>
        <v>0.0</v>
      </c>
      <c r="G61" s="7">
        <f>Parameters!$G$27*G60+F61</f>
        <v>0.0</v>
      </c>
      <c r="H61" s="7">
        <f>IF(AND(Parameters!$G$5=1,Parameters!$G$26=1),SUMPRODUCT(--($A$45:A61&lt;A61),--(MOD(A61-$A$45:A61,Parameters!$G$28)=0),$F$45:F61,POWER(Parameters!$G$27,IF(A61-$A$45:A61=0,1,A61-$A$45:A61))),0)</f>
        <v>0.0</v>
      </c>
      <c r="I61" s="7">
        <f>Parameters!$G$23*I60+B61*Parameters!$G$22</f>
        <v>0.0</v>
      </c>
      <c r="J61" s="7">
        <f>E61*Parameters!$G$14*(1-Parameters!$G$15)</f>
        <v>0.009909997475527519</v>
      </c>
      <c r="K61" s="7">
        <f>H61*Parameters!$G$29</f>
        <v>0.0</v>
      </c>
      <c r="L61" s="7">
        <f>I61*Parameters!$G$24</f>
        <v>0.0</v>
      </c>
      <c r="M61" s="7">
        <f>J61+K61+L61</f>
        <v>0.009909997475527519</v>
      </c>
      <c r="N61" s="7">
        <f>C61*Parameters!$G$17+D61*Parameters!$G$18+E61*Parameters!$G$16+I61*Parameters!$G$25+G61*Parameters!$G$30</f>
        <v>0.008444249301319692</v>
      </c>
      <c r="O61" s="7">
        <f>0</f>
        <v>0</v>
      </c>
      <c r="P61" s="7">
        <f>M61-N61-O61</f>
        <v>0.0014657481742078263</v>
      </c>
      <c r="Q61" s="7">
        <f>0</f>
        <v>0</v>
      </c>
      <c r="R61" s="7">
        <f>P61-Q61</f>
        <v>0.0014657481742078263</v>
      </c>
      <c r="S61" s="7">
        <f>IF(A61&lt;1+Parameters!$G$31,0,INDEX($M$45:$M$80,A61-Parameters!$G$31))</f>
        <v>0.013763885382677107</v>
      </c>
      <c r="T61" s="7">
        <f>T60+M61-S61</f>
        <v>0.009909997475527519</v>
      </c>
      <c r="U61" s="7">
        <f>S61-N61-O61-Q61</f>
        <v>0.005319636081357415</v>
      </c>
      <c r="V61" s="7">
        <f>V60+U61</f>
        <v>5.284098434792683</v>
      </c>
      <c r="W61" s="7">
        <f>(1-Parameters!$G$7)*(C61-E61)+(1-Parameters!$G$8)*(D61+E61)</f>
        <v>0.0056294995342131265</v>
      </c>
      <c r="X61" s="7">
        <f>Parameters!$G$7*(C61-E61)+Parameters!$G$8*Parameters!$G$9*(D61+E61)</f>
        <v>0.003755367464410428</v>
      </c>
      <c r="Y61" s="7">
        <f>Parameters!$G$8*(1-Parameters!$G$9)*(D61+E61)</f>
        <v>0.018762630672442087</v>
      </c>
      <c r="Z61" s="7">
        <f>POWER(1/(1+Parameters!$G$32),A61-1)*(M61-N61)</f>
        <v>0.0012500212080045212</v>
      </c>
    </row>
    <row r="62" spans="1:26">
      <c r="A62" s="7">
        <v>18</v>
      </c>
      <c r="B62" s="7">
        <f>0</f>
        <v>0</v>
      </c>
      <c r="C62" s="7">
        <f>X61+B62</f>
        <v>0.003755367464410428</v>
      </c>
      <c r="D62" s="7">
        <f>Y61</f>
        <v>0.018762630672442087</v>
      </c>
      <c r="E62" s="7">
        <f>Parameters!$G$6*C62</f>
        <v>0.0003755367464410428</v>
      </c>
      <c r="F62" s="7">
        <f>IF(Parameters!$G$5=1,E62,0)</f>
        <v>0.0</v>
      </c>
      <c r="G62" s="7">
        <f>Parameters!$G$27*G61+F62</f>
        <v>0.0</v>
      </c>
      <c r="H62" s="7">
        <f>IF(AND(Parameters!$G$5=1,Parameters!$G$26=1),SUMPRODUCT(--($A$45:A62&lt;A62),--(MOD(A62-$A$45:A62,Parameters!$G$28)=0),$F$45:F62,POWER(Parameters!$G$27,IF(A62-$A$45:A62=0,1,A62-$A$45:A62))),0)</f>
        <v>0.0</v>
      </c>
      <c r="I62" s="7">
        <f>Parameters!$G$23*I61+B62*Parameters!$G$22</f>
        <v>0.0</v>
      </c>
      <c r="J62" s="7">
        <f>E62*Parameters!$G$14*(1-Parameters!$G$15)</f>
        <v>0.007135198182379813</v>
      </c>
      <c r="K62" s="7">
        <f>H62*Parameters!$G$29</f>
        <v>0.0</v>
      </c>
      <c r="L62" s="7">
        <f>I62*Parameters!$G$24</f>
        <v>0.0</v>
      </c>
      <c r="M62" s="7">
        <f>J62+K62+L62</f>
        <v>0.007135198182379813</v>
      </c>
      <c r="N62" s="7">
        <f>C62*Parameters!$G$17+D62*Parameters!$G$18+E62*Parameters!$G$16+I62*Parameters!$G$25+G62*Parameters!$G$30</f>
        <v>0.006755399441055754</v>
      </c>
      <c r="O62" s="7">
        <f>0</f>
        <v>0</v>
      </c>
      <c r="P62" s="7">
        <f>M62-N62-O62</f>
        <v>0.0003797987413240592</v>
      </c>
      <c r="Q62" s="7">
        <f>0</f>
        <v>0</v>
      </c>
      <c r="R62" s="7">
        <f>P62-Q62</f>
        <v>0.0003797987413240592</v>
      </c>
      <c r="S62" s="7">
        <f>IF(A62&lt;1+Parameters!$G$31,0,INDEX($M$45:$M$80,A62-Parameters!$G$31))</f>
        <v>0.009909997475527519</v>
      </c>
      <c r="T62" s="7">
        <f>T61+M62-S62</f>
        <v>0.007135198182379813</v>
      </c>
      <c r="U62" s="7">
        <f>S62-N62-O62-Q62</f>
        <v>0.0031545980344717646</v>
      </c>
      <c r="V62" s="7">
        <f>V61+U62</f>
        <v>5.287253032827155</v>
      </c>
      <c r="W62" s="7">
        <f>(1-Parameters!$G$7)*(C62-E62)+(1-Parameters!$G$8)*(D62+E62)</f>
        <v>0.0045035996273705015</v>
      </c>
      <c r="X62" s="7">
        <f>Parameters!$G$7*(C62-E62)+Parameters!$G$8*Parameters!$G$9*(D62+E62)</f>
        <v>0.0027038645743755084</v>
      </c>
      <c r="Y62" s="7">
        <f>Parameters!$G$8*(1-Parameters!$G$9)*(D62+E62)</f>
        <v>0.015310533935106506</v>
      </c>
      <c r="Z62" s="7">
        <f>POWER(1/(1+Parameters!$G$32),A62-1)*(M62-N62)</f>
        <v>0.0003206935068914397</v>
      </c>
    </row>
    <row r="63" spans="1:26">
      <c r="A63" s="7">
        <v>19</v>
      </c>
      <c r="B63" s="7">
        <f>0</f>
        <v>0</v>
      </c>
      <c r="C63" s="7">
        <f>X62+B63</f>
        <v>0.0027038645743755084</v>
      </c>
      <c r="D63" s="7">
        <f>Y62</f>
        <v>0.015310533935106506</v>
      </c>
      <c r="E63" s="7">
        <f>Parameters!$G$6*C63</f>
        <v>0.00027038645743755085</v>
      </c>
      <c r="F63" s="7">
        <f>IF(Parameters!$G$5=1,E63,0)</f>
        <v>0.0</v>
      </c>
      <c r="G63" s="7">
        <f>Parameters!$G$27*G62+F63</f>
        <v>0.0</v>
      </c>
      <c r="H63" s="7">
        <f>IF(AND(Parameters!$G$5=1,Parameters!$G$26=1),SUMPRODUCT(--($A$45:A63&lt;A63),--(MOD(A63-$A$45:A63,Parameters!$G$28)=0),$F$45:F63,POWER(Parameters!$G$27,IF(A63-$A$45:A63=0,1,A63-$A$45:A63))),0)</f>
        <v>0.0</v>
      </c>
      <c r="I63" s="7">
        <f>Parameters!$G$23*I62+B63*Parameters!$G$22</f>
        <v>0.0</v>
      </c>
      <c r="J63" s="7">
        <f>E63*Parameters!$G$14*(1-Parameters!$G$15)</f>
        <v>0.005137342691313465</v>
      </c>
      <c r="K63" s="7">
        <f>H63*Parameters!$G$29</f>
        <v>0.0</v>
      </c>
      <c r="L63" s="7">
        <f>I63*Parameters!$G$24</f>
        <v>0.0</v>
      </c>
      <c r="M63" s="7">
        <f>J63+K63+L63</f>
        <v>0.005137342691313465</v>
      </c>
      <c r="N63" s="7">
        <f>C63*Parameters!$G$17+D63*Parameters!$G$18+E63*Parameters!$G$16+I63*Parameters!$G$25+G63*Parameters!$G$30</f>
        <v>0.005404319552844604</v>
      </c>
      <c r="O63" s="7">
        <f>0</f>
        <v>0</v>
      </c>
      <c r="P63" s="7">
        <f>M63-N63-O63</f>
        <v>-0.00026697686153113846</v>
      </c>
      <c r="Q63" s="7">
        <f>0</f>
        <v>0</v>
      </c>
      <c r="R63" s="7">
        <f>P63-Q63</f>
        <v>-0.00026697686153113846</v>
      </c>
      <c r="S63" s="7">
        <f>IF(A63&lt;1+Parameters!$G$31,0,INDEX($M$45:$M$80,A63-Parameters!$G$31))</f>
        <v>0.007135198182379813</v>
      </c>
      <c r="T63" s="7">
        <f>T62+M63-S63</f>
        <v>0.005137342691313465</v>
      </c>
      <c r="U63" s="7">
        <f>S63-N63-O63-Q63</f>
        <v>0.0017308786295352095</v>
      </c>
      <c r="V63" s="7">
        <f>V62+U63</f>
        <v>5.288983911456691</v>
      </c>
      <c r="W63" s="7">
        <f>(1-Parameters!$G$7)*(C63-E63)+(1-Parameters!$G$8)*(D63+E63)</f>
        <v>0.003602879701896402</v>
      </c>
      <c r="X63" s="7">
        <f>Parameters!$G$7*(C63-E63)+Parameters!$G$8*Parameters!$G$9*(D63+E63)</f>
        <v>0.001946782493550366</v>
      </c>
      <c r="Y63" s="7">
        <f>Parameters!$G$8*(1-Parameters!$G$9)*(D63+E63)</f>
        <v>0.012464736314035246</v>
      </c>
      <c r="Z63" s="7">
        <f>POWER(1/(1+Parameters!$G$32),A63-1)*(M63-N63)</f>
        <v>-0.00022319727872842493</v>
      </c>
    </row>
    <row r="64" spans="1:26">
      <c r="A64" s="7">
        <v>20</v>
      </c>
      <c r="B64" s="7">
        <f>0</f>
        <v>0</v>
      </c>
      <c r="C64" s="7">
        <f>X63+B64</f>
        <v>0.0019467824935503661</v>
      </c>
      <c r="D64" s="7">
        <f>Y63</f>
        <v>0.012464736314035246</v>
      </c>
      <c r="E64" s="7">
        <f>Parameters!$G$6*C64</f>
        <v>0.00019467824935503661</v>
      </c>
      <c r="F64" s="7">
        <f>IF(Parameters!$G$5=1,E64,0)</f>
        <v>0.0</v>
      </c>
      <c r="G64" s="7">
        <f>Parameters!$G$27*G63+F64</f>
        <v>0.0</v>
      </c>
      <c r="H64" s="7">
        <f>IF(AND(Parameters!$G$5=1,Parameters!$G$26=1),SUMPRODUCT(--($A$45:A64&lt;A64),--(MOD(A64-$A$45:A64,Parameters!$G$28)=0),$F$45:F64,POWER(Parameters!$G$27,IF(A64-$A$45:A64=0,1,A64-$A$45:A64))),0)</f>
        <v>0.0</v>
      </c>
      <c r="I64" s="7">
        <f>Parameters!$G$23*I63+B64*Parameters!$G$22</f>
        <v>0.0</v>
      </c>
      <c r="J64" s="7">
        <f>E64*Parameters!$G$14*(1-Parameters!$G$15)</f>
        <v>0.0036988867377456955</v>
      </c>
      <c r="K64" s="7">
        <f>H64*Parameters!$G$29</f>
        <v>0.0</v>
      </c>
      <c r="L64" s="7">
        <f>I64*Parameters!$G$24</f>
        <v>0.0</v>
      </c>
      <c r="M64" s="7">
        <f>J64+K64+L64</f>
        <v>0.0036988867377456955</v>
      </c>
      <c r="N64" s="7">
        <f>C64*Parameters!$G$17+D64*Parameters!$G$18+E64*Parameters!$G$16+I64*Parameters!$G$25+G64*Parameters!$G$30</f>
        <v>0.004323455642275684</v>
      </c>
      <c r="O64" s="7">
        <f>0</f>
        <v>0</v>
      </c>
      <c r="P64" s="7">
        <f>M64-N64-O64</f>
        <v>-0.0006245689045299889</v>
      </c>
      <c r="Q64" s="7">
        <f>0</f>
        <v>0</v>
      </c>
      <c r="R64" s="7">
        <f>P64-Q64</f>
        <v>-0.0006245689045299889</v>
      </c>
      <c r="S64" s="7">
        <f>IF(A64&lt;1+Parameters!$G$31,0,INDEX($M$45:$M$80,A64-Parameters!$G$31))</f>
        <v>0.005137342691313465</v>
      </c>
      <c r="T64" s="7">
        <f>T63+M64-S64</f>
        <v>0.0036988867377456955</v>
      </c>
      <c r="U64" s="7">
        <f>S64-N64-O64-Q64</f>
        <v>0.0008138870490377809</v>
      </c>
      <c r="V64" s="7">
        <f>V63+U64</f>
        <v>5.289797798505728</v>
      </c>
      <c r="W64" s="7">
        <f>(1-Parameters!$G$7)*(C64-E64)+(1-Parameters!$G$8)*(D64+E64)</f>
        <v>0.002882303761517122</v>
      </c>
      <c r="X64" s="7">
        <f>Parameters!$G$7*(C64-E64)+Parameters!$G$8*Parameters!$G$9*(D64+E64)</f>
        <v>0.0014016833953562637</v>
      </c>
      <c r="Y64" s="7">
        <f>Parameters!$G$8*(1-Parameters!$G$9)*(D64+E64)</f>
        <v>0.010127531650712228</v>
      </c>
      <c r="Z64" s="7">
        <f>POWER(1/(1+Parameters!$G$32),A64-1)*(M64-N64)</f>
        <v>-0.0005169806119726964</v>
      </c>
    </row>
    <row r="65" spans="1:26">
      <c r="A65" s="7">
        <v>21</v>
      </c>
      <c r="B65" s="7">
        <f>0</f>
        <v>0</v>
      </c>
      <c r="C65" s="7">
        <f>X64+B65</f>
        <v>0.0014016833953562637</v>
      </c>
      <c r="D65" s="7">
        <f>Y64</f>
        <v>0.010127531650712226</v>
      </c>
      <c r="E65" s="7">
        <f>Parameters!$G$6*C65</f>
        <v>0.00014016833953562637</v>
      </c>
      <c r="F65" s="7">
        <f>IF(Parameters!$G$5=1,E65,0)</f>
        <v>0.0</v>
      </c>
      <c r="G65" s="7">
        <f>Parameters!$G$27*G64+F65</f>
        <v>0.0</v>
      </c>
      <c r="H65" s="7">
        <f>IF(AND(Parameters!$G$5=1,Parameters!$G$26=1),SUMPRODUCT(--($A$45:A65&lt;A65),--(MOD(A65-$A$45:A65,Parameters!$G$28)=0),$F$45:F65,POWER(Parameters!$G$27,IF(A65-$A$45:A65=0,1,A65-$A$45:A65))),0)</f>
        <v>0.0</v>
      </c>
      <c r="I65" s="7">
        <f>Parameters!$G$23*I64+B65*Parameters!$G$22</f>
        <v>0.0</v>
      </c>
      <c r="J65" s="7">
        <f>E65*Parameters!$G$14*(1-Parameters!$G$15)</f>
        <v>0.002663198451176901</v>
      </c>
      <c r="K65" s="7">
        <f>H65*Parameters!$G$29</f>
        <v>0.0</v>
      </c>
      <c r="L65" s="7">
        <f>I65*Parameters!$G$24</f>
        <v>0.0</v>
      </c>
      <c r="M65" s="7">
        <f>J65+K65+L65</f>
        <v>0.002663198451176901</v>
      </c>
      <c r="N65" s="7">
        <f>C65*Parameters!$G$17+D65*Parameters!$G$18+E65*Parameters!$G$16+I65*Parameters!$G$25+G65*Parameters!$G$30</f>
        <v>0.0034587645138205465</v>
      </c>
      <c r="O65" s="7">
        <f>0</f>
        <v>0</v>
      </c>
      <c r="P65" s="7">
        <f>M65-N65-O65</f>
        <v>-0.0007955660626436456</v>
      </c>
      <c r="Q65" s="7">
        <f>0</f>
        <v>0</v>
      </c>
      <c r="R65" s="7">
        <f>P65-Q65</f>
        <v>-0.0007955660626436456</v>
      </c>
      <c r="S65" s="7">
        <f>IF(A65&lt;1+Parameters!$G$31,0,INDEX($M$45:$M$80,A65-Parameters!$G$31))</f>
        <v>0.0036988867377456955</v>
      </c>
      <c r="T65" s="7">
        <f>T64+M65-S65</f>
        <v>0.002663198451176901</v>
      </c>
      <c r="U65" s="7">
        <f>S65-N65-O65-Q65</f>
        <v>0.000240122223925149</v>
      </c>
      <c r="V65" s="7">
        <f>V64+U65</f>
        <v>5.290037920729653</v>
      </c>
      <c r="W65" s="7">
        <f>(1-Parameters!$G$7)*(C65-E65)+(1-Parameters!$G$8)*(D65+E65)</f>
        <v>0.0023058430092136976</v>
      </c>
      <c r="X65" s="7">
        <f>Parameters!$G$7*(C65-E65)+Parameters!$G$8*Parameters!$G$9*(D65+E65)</f>
        <v>0.0010092120446565098</v>
      </c>
      <c r="Y65" s="7">
        <f>Parameters!$G$8*(1-Parameters!$G$9)*(D65+E65)</f>
        <v>0.008214159992198282</v>
      </c>
      <c r="Z65" s="7">
        <f>POWER(1/(1+Parameters!$G$32),A65-1)*(M65-N65)</f>
        <v>-0.0006520017674276141</v>
      </c>
    </row>
    <row r="66" spans="1:26">
      <c r="A66" s="7">
        <v>22</v>
      </c>
      <c r="B66" s="7">
        <f>0</f>
        <v>0</v>
      </c>
      <c r="C66" s="7">
        <f>X65+B66</f>
        <v>0.00100921204465651</v>
      </c>
      <c r="D66" s="7">
        <f>Y65</f>
        <v>0.008214159992198282</v>
      </c>
      <c r="E66" s="7">
        <f>Parameters!$G$6*C66</f>
        <v>0.00010092120446565101</v>
      </c>
      <c r="F66" s="7">
        <f>IF(Parameters!$G$5=1,E66,0)</f>
        <v>0.0</v>
      </c>
      <c r="G66" s="7">
        <f>Parameters!$G$27*G65+F66</f>
        <v>0.0</v>
      </c>
      <c r="H66" s="7">
        <f>IF(AND(Parameters!$G$5=1,Parameters!$G$26=1),SUMPRODUCT(--($A$45:A66&lt;A66),--(MOD(A66-$A$45:A66,Parameters!$G$28)=0),$F$45:F66,POWER(Parameters!$G$27,IF(A66-$A$45:A66=0,1,A66-$A$45:A66))),0)</f>
        <v>0.0</v>
      </c>
      <c r="I66" s="7">
        <f>Parameters!$G$23*I65+B66*Parameters!$G$22</f>
        <v>0.0</v>
      </c>
      <c r="J66" s="7">
        <f>E66*Parameters!$G$14*(1-Parameters!$G$15)</f>
        <v>0.001917502884847369</v>
      </c>
      <c r="K66" s="7">
        <f>H66*Parameters!$G$29</f>
        <v>0.0</v>
      </c>
      <c r="L66" s="7">
        <f>I66*Parameters!$G$24</f>
        <v>0.0</v>
      </c>
      <c r="M66" s="7">
        <f>J66+K66+L66</f>
        <v>0.001917502884847369</v>
      </c>
      <c r="N66" s="7">
        <f>C66*Parameters!$G$17+D66*Parameters!$G$18+E66*Parameters!$G$16+I66*Parameters!$G$25+G66*Parameters!$G$30</f>
        <v>0.0027670116110564374</v>
      </c>
      <c r="O66" s="7">
        <f>0</f>
        <v>0</v>
      </c>
      <c r="P66" s="7">
        <f>M66-N66-O66</f>
        <v>-0.0008495087262090685</v>
      </c>
      <c r="Q66" s="7">
        <f>0</f>
        <v>0</v>
      </c>
      <c r="R66" s="7">
        <f>P66-Q66</f>
        <v>-0.0008495087262090685</v>
      </c>
      <c r="S66" s="7">
        <f>IF(A66&lt;1+Parameters!$G$31,0,INDEX($M$45:$M$80,A66-Parameters!$G$31))</f>
        <v>0.002663198451176901</v>
      </c>
      <c r="T66" s="7">
        <f>T65+M66-S66</f>
        <v>0.001917502884847369</v>
      </c>
      <c r="U66" s="7">
        <f>S66-N66-O66-Q66</f>
        <v>-0.0001038131598795366</v>
      </c>
      <c r="V66" s="7">
        <f>V65+U66</f>
        <v>5.289934107569774</v>
      </c>
      <c r="W66" s="7">
        <f>(1-Parameters!$G$7)*(C66-E66)+(1-Parameters!$G$8)*(D66+E66)</f>
        <v>0.001844674407370958</v>
      </c>
      <c r="X66" s="7">
        <f>Parameters!$G$7*(C66-E66)+Parameters!$G$8*Parameters!$G$9*(D66+E66)</f>
        <v>0.0007266326721526873</v>
      </c>
      <c r="Y66" s="7">
        <f>Parameters!$G$8*(1-Parameters!$G$9)*(D66+E66)</f>
        <v>0.006652064957331148</v>
      </c>
      <c r="Z66" s="7">
        <f>POWER(1/(1+Parameters!$G$32),A66-1)*(M66-N66)</f>
        <v>-0.0006893170089781401</v>
      </c>
    </row>
    <row r="67" spans="1:26">
      <c r="A67" s="7">
        <v>23</v>
      </c>
      <c r="B67" s="7">
        <f>0</f>
        <v>0</v>
      </c>
      <c r="C67" s="7">
        <f>X66+B67</f>
        <v>0.0007266326721526873</v>
      </c>
      <c r="D67" s="7">
        <f>Y66</f>
        <v>0.006652064957331147</v>
      </c>
      <c r="E67" s="7">
        <f>Parameters!$G$6*C67</f>
        <v>7.266326721526873e-05</v>
      </c>
      <c r="F67" s="7">
        <f>IF(Parameters!$G$5=1,E67,0)</f>
        <v>0.0</v>
      </c>
      <c r="G67" s="7">
        <f>Parameters!$G$27*G66+F67</f>
        <v>0.0</v>
      </c>
      <c r="H67" s="7">
        <f>IF(AND(Parameters!$G$5=1,Parameters!$G$26=1),SUMPRODUCT(--($A$45:A67&lt;A67),--(MOD(A67-$A$45:A67,Parameters!$G$28)=0),$F$45:F67,POWER(Parameters!$G$27,IF(A67-$A$45:A67=0,1,A67-$A$45:A67))),0)</f>
        <v>0.0</v>
      </c>
      <c r="I67" s="7">
        <f>Parameters!$G$23*I66+B67*Parameters!$G$22</f>
        <v>0.0</v>
      </c>
      <c r="J67" s="7">
        <f>E67*Parameters!$G$14*(1-Parameters!$G$15)</f>
        <v>0.0013806020770901059</v>
      </c>
      <c r="K67" s="7">
        <f>H67*Parameters!$G$29</f>
        <v>0.0</v>
      </c>
      <c r="L67" s="7">
        <f>I67*Parameters!$G$24</f>
        <v>0.0</v>
      </c>
      <c r="M67" s="7">
        <f>J67+K67+L67</f>
        <v>0.0013806020770901059</v>
      </c>
      <c r="N67" s="7">
        <f>C67*Parameters!$G$17+D67*Parameters!$G$18+E67*Parameters!$G$16+I67*Parameters!$G$25+G67*Parameters!$G$30</f>
        <v>0.00221360928884515</v>
      </c>
      <c r="O67" s="7">
        <f>0</f>
        <v>0</v>
      </c>
      <c r="P67" s="7">
        <f>M67-N67-O67</f>
        <v>-0.0008330072117550442</v>
      </c>
      <c r="Q67" s="7">
        <f>0</f>
        <v>0</v>
      </c>
      <c r="R67" s="7">
        <f>P67-Q67</f>
        <v>-0.0008330072117550442</v>
      </c>
      <c r="S67" s="7">
        <f>IF(A67&lt;1+Parameters!$G$31,0,INDEX($M$45:$M$80,A67-Parameters!$G$31))</f>
        <v>0.001917502884847369</v>
      </c>
      <c r="T67" s="7">
        <f>T66+M67-S67</f>
        <v>0.0013806020770901059</v>
      </c>
      <c r="U67" s="7">
        <f>S67-N67-O67-Q67</f>
        <v>-0.00029610640399778117</v>
      </c>
      <c r="V67" s="7">
        <f>V66+U67</f>
        <v>5.289638001165776</v>
      </c>
      <c r="W67" s="7">
        <f>(1-Parameters!$G$7)*(C67-E67)+(1-Parameters!$G$8)*(D67+E67)</f>
        <v>0.0014757395258967665</v>
      </c>
      <c r="X67" s="7">
        <f>Parameters!$G$7*(C67-E67)+Parameters!$G$8*Parameters!$G$9*(D67+E67)</f>
        <v>0.0005231755239499348</v>
      </c>
      <c r="Y67" s="7">
        <f>Parameters!$G$8*(1-Parameters!$G$9)*(D67+E67)</f>
        <v>0.005379782579637133</v>
      </c>
      <c r="Z67" s="7">
        <f>POWER(1/(1+Parameters!$G$32),A67-1)*(M67-N67)</f>
        <v>-0.0006692348339818988</v>
      </c>
    </row>
    <row r="68" spans="1:26">
      <c r="A68" s="7">
        <v>24</v>
      </c>
      <c r="B68" s="7">
        <f>0</f>
        <v>0</v>
      </c>
      <c r="C68" s="7">
        <f>X67+B68</f>
        <v>0.0005231755239499349</v>
      </c>
      <c r="D68" s="7">
        <f>Y67</f>
        <v>0.005379782579637133</v>
      </c>
      <c r="E68" s="7">
        <f>Parameters!$G$6*C68</f>
        <v>5.23175523949935e-05</v>
      </c>
      <c r="F68" s="7">
        <f>IF(Parameters!$G$5=1,E68,0)</f>
        <v>0.0</v>
      </c>
      <c r="G68" s="7">
        <f>Parameters!$G$27*G67+F68</f>
        <v>0.0</v>
      </c>
      <c r="H68" s="7">
        <f>IF(AND(Parameters!$G$5=1,Parameters!$G$26=1),SUMPRODUCT(--($A$45:A68&lt;A68),--(MOD(A68-$A$45:A68,Parameters!$G$28)=0),$F$45:F68,POWER(Parameters!$G$27,IF(A68-$A$45:A68=0,1,A68-$A$45:A68))),0)</f>
        <v>0.0</v>
      </c>
      <c r="I68" s="7">
        <f>Parameters!$G$23*I67+B68*Parameters!$G$22</f>
        <v>0.0</v>
      </c>
      <c r="J68" s="7">
        <f>E68*Parameters!$G$14*(1-Parameters!$G$15)</f>
        <v>0.0009940334955048763</v>
      </c>
      <c r="K68" s="7">
        <f>H68*Parameters!$G$29</f>
        <v>0.0</v>
      </c>
      <c r="L68" s="7">
        <f>I68*Parameters!$G$24</f>
        <v>0.0</v>
      </c>
      <c r="M68" s="7">
        <f>J68+K68+L68</f>
        <v>0.0009940334955048763</v>
      </c>
      <c r="N68" s="7">
        <f>C68*Parameters!$G$17+D68*Parameters!$G$18+E68*Parameters!$G$16+I68*Parameters!$G$25+G68*Parameters!$G$30</f>
        <v>0.0017708874310761204</v>
      </c>
      <c r="O68" s="7">
        <f>0</f>
        <v>0</v>
      </c>
      <c r="P68" s="7">
        <f>M68-N68-O68</f>
        <v>-0.000776853935571244</v>
      </c>
      <c r="Q68" s="7">
        <f>0</f>
        <v>0</v>
      </c>
      <c r="R68" s="7">
        <f>P68-Q68</f>
        <v>-0.000776853935571244</v>
      </c>
      <c r="S68" s="7">
        <f>IF(A68&lt;1+Parameters!$G$31,0,INDEX($M$45:$M$80,A68-Parameters!$G$31))</f>
        <v>0.0013806020770901059</v>
      </c>
      <c r="T68" s="7">
        <f>T67+M68-S68</f>
        <v>0.0009940334955048763</v>
      </c>
      <c r="U68" s="7">
        <f>S68-N68-O68-Q68</f>
        <v>-0.0003902853539860145</v>
      </c>
      <c r="V68" s="7">
        <f>V67+U68</f>
        <v>5.28924771581179</v>
      </c>
      <c r="W68" s="7">
        <f>(1-Parameters!$G$7)*(C68-E68)+(1-Parameters!$G$8)*(D68+E68)</f>
        <v>0.0011805916207174134</v>
      </c>
      <c r="X68" s="7">
        <f>Parameters!$G$7*(C68-E68)+Parameters!$G$8*Parameters!$G$9*(D68+E68)</f>
        <v>0.0003766863772439532</v>
      </c>
      <c r="Y68" s="7">
        <f>Parameters!$G$8*(1-Parameters!$G$9)*(D68+E68)</f>
        <v>0.004345680105625701</v>
      </c>
      <c r="Z68" s="7">
        <f>POWER(1/(1+Parameters!$G$32),A68-1)*(M68-N68)</f>
        <v>-0.0006179420840678391</v>
      </c>
    </row>
    <row r="69" spans="1:26">
      <c r="A69" s="7">
        <v>25</v>
      </c>
      <c r="B69" s="7">
        <f>0</f>
        <v>0</v>
      </c>
      <c r="C69" s="7">
        <f>X68+B69</f>
        <v>0.0003766863772439532</v>
      </c>
      <c r="D69" s="7">
        <f>Y68</f>
        <v>0.004345680105625702</v>
      </c>
      <c r="E69" s="7">
        <f>Parameters!$G$6*C69</f>
        <v>3.7668637724395324e-05</v>
      </c>
      <c r="F69" s="7">
        <f>IF(Parameters!$G$5=1,E69,0)</f>
        <v>0.0</v>
      </c>
      <c r="G69" s="7">
        <f>Parameters!$G$27*G68+F69</f>
        <v>0.0</v>
      </c>
      <c r="H69" s="7">
        <f>IF(AND(Parameters!$G$5=1,Parameters!$G$26=1),SUMPRODUCT(--($A$45:A69&lt;A69),--(MOD(A69-$A$45:A69,Parameters!$G$28)=0),$F$45:F69,POWER(Parameters!$G$27,IF(A69-$A$45:A69=0,1,A69-$A$45:A69))),0)</f>
        <v>0.0</v>
      </c>
      <c r="I69" s="7">
        <f>Parameters!$G$23*I68+B69*Parameters!$G$22</f>
        <v>0.0</v>
      </c>
      <c r="J69" s="7">
        <f>E69*Parameters!$G$14*(1-Parameters!$G$15)</f>
        <v>0.0007157041167635111</v>
      </c>
      <c r="K69" s="7">
        <f>H69*Parameters!$G$29</f>
        <v>0.0</v>
      </c>
      <c r="L69" s="7">
        <f>I69*Parameters!$G$24</f>
        <v>0.0</v>
      </c>
      <c r="M69" s="7">
        <f>J69+K69+L69</f>
        <v>0.0007157041167635111</v>
      </c>
      <c r="N69" s="7">
        <f>C69*Parameters!$G$17+D69*Parameters!$G$18+E69*Parameters!$G$16+I69*Parameters!$G$25+G69*Parameters!$G$30</f>
        <v>0.0014167099448608965</v>
      </c>
      <c r="O69" s="7">
        <f>0</f>
        <v>0</v>
      </c>
      <c r="P69" s="7">
        <f>M69-N69-O69</f>
        <v>-0.0007010058280973854</v>
      </c>
      <c r="Q69" s="7">
        <f>0</f>
        <v>0</v>
      </c>
      <c r="R69" s="7">
        <f>P69-Q69</f>
        <v>-0.0007010058280973854</v>
      </c>
      <c r="S69" s="7">
        <f>IF(A69&lt;1+Parameters!$G$31,0,INDEX($M$45:$M$80,A69-Parameters!$G$31))</f>
        <v>0.0009940334955048763</v>
      </c>
      <c r="T69" s="7">
        <f>T68+M69-S69</f>
        <v>0.0007157041167635111</v>
      </c>
      <c r="U69" s="7">
        <f>S69-N69-O69-Q69</f>
        <v>-0.00042267644935602014</v>
      </c>
      <c r="V69" s="7">
        <f>V68+U69</f>
        <v>5.288825039362433</v>
      </c>
      <c r="W69" s="7">
        <f>(1-Parameters!$G$7)*(C69-E69)+(1-Parameters!$G$8)*(D69+E69)</f>
        <v>0.0009444732965739308</v>
      </c>
      <c r="X69" s="7">
        <f>Parameters!$G$7*(C69-E69)+Parameters!$G$8*Parameters!$G$9*(D69+E69)</f>
        <v>0.0002712141916156463</v>
      </c>
      <c r="Y69" s="7">
        <f>Parameters!$G$8*(1-Parameters!$G$9)*(D69+E69)</f>
        <v>0.003506678994680078</v>
      </c>
      <c r="Z69" s="7">
        <f>POWER(1/(1+Parameters!$G$32),A69-1)*(M69-N69)</f>
        <v>-0.0005520884453361167</v>
      </c>
    </row>
    <row r="70" spans="1:26">
      <c r="A70" s="7">
        <v>26</v>
      </c>
      <c r="B70" s="7">
        <f>0</f>
        <v>0</v>
      </c>
      <c r="C70" s="7">
        <f>X69+B70</f>
        <v>0.00027121419161564635</v>
      </c>
      <c r="D70" s="7">
        <f>Y69</f>
        <v>0.003506678994680078</v>
      </c>
      <c r="E70" s="7">
        <f>Parameters!$G$6*C70</f>
        <v>2.7121419161564636e-05</v>
      </c>
      <c r="F70" s="7">
        <f>IF(Parameters!$G$5=1,E70,0)</f>
        <v>0.0</v>
      </c>
      <c r="G70" s="7">
        <f>Parameters!$G$27*G69+F70</f>
        <v>0.0</v>
      </c>
      <c r="H70" s="7">
        <f>IF(AND(Parameters!$G$5=1,Parameters!$G$26=1),SUMPRODUCT(--($A$45:A70&lt;A70),--(MOD(A70-$A$45:A70,Parameters!$G$28)=0),$F$45:F70,POWER(Parameters!$G$27,IF(A70-$A$45:A70=0,1,A70-$A$45:A70))),0)</f>
        <v>0.0</v>
      </c>
      <c r="I70" s="7">
        <f>Parameters!$G$23*I69+B70*Parameters!$G$22</f>
        <v>0.0</v>
      </c>
      <c r="J70" s="7">
        <f>E70*Parameters!$G$14*(1-Parameters!$G$15)</f>
        <v>0.000515306964069728</v>
      </c>
      <c r="K70" s="7">
        <f>H70*Parameters!$G$29</f>
        <v>0.0</v>
      </c>
      <c r="L70" s="7">
        <f>I70*Parameters!$G$24</f>
        <v>0.0</v>
      </c>
      <c r="M70" s="7">
        <f>J70+K70+L70</f>
        <v>0.000515306964069728</v>
      </c>
      <c r="N70" s="7">
        <f>C70*Parameters!$G$17+D70*Parameters!$G$18+E70*Parameters!$G$16+I70*Parameters!$G$25+G70*Parameters!$G$30</f>
        <v>0.0011333679558887173</v>
      </c>
      <c r="O70" s="7">
        <f>0</f>
        <v>0</v>
      </c>
      <c r="P70" s="7">
        <f>M70-N70-O70</f>
        <v>-0.0006180609918189893</v>
      </c>
      <c r="Q70" s="7">
        <f>0</f>
        <v>0</v>
      </c>
      <c r="R70" s="7">
        <f>P70-Q70</f>
        <v>-0.0006180609918189893</v>
      </c>
      <c r="S70" s="7">
        <f>IF(A70&lt;1+Parameters!$G$31,0,INDEX($M$45:$M$80,A70-Parameters!$G$31))</f>
        <v>0.0007157041167635111</v>
      </c>
      <c r="T70" s="7">
        <f>T69+M70-S70</f>
        <v>0.000515306964069728</v>
      </c>
      <c r="U70" s="7">
        <f>S70-N70-O70-Q70</f>
        <v>-0.00041766383912520614</v>
      </c>
      <c r="V70" s="7">
        <f>V69+U70</f>
        <v>5.288407375523308</v>
      </c>
      <c r="W70" s="7">
        <f>(1-Parameters!$G$7)*(C70-E70)+(1-Parameters!$G$8)*(D70+E70)</f>
        <v>0.0007555786372591448</v>
      </c>
      <c r="X70" s="7">
        <f>Parameters!$G$7*(C70-E70)+Parameters!$G$8*Parameters!$G$9*(D70+E70)</f>
        <v>0.00019527421796326538</v>
      </c>
      <c r="Y70" s="7">
        <f>Parameters!$G$8*(1-Parameters!$G$9)*(D70+E70)</f>
        <v>0.002827040331073314</v>
      </c>
      <c r="Z70" s="7">
        <f>POWER(1/(1+Parameters!$G$32),A70-1)*(M70-N70)</f>
        <v>-0.00048194445726588677</v>
      </c>
    </row>
    <row r="71" spans="1:26">
      <c r="A71" s="7">
        <v>27</v>
      </c>
      <c r="B71" s="7">
        <f>0</f>
        <v>0</v>
      </c>
      <c r="C71" s="7">
        <f>X70+B71</f>
        <v>0.00019527421796326538</v>
      </c>
      <c r="D71" s="7">
        <f>Y70</f>
        <v>0.0028270403310733144</v>
      </c>
      <c r="E71" s="7">
        <f>Parameters!$G$6*C71</f>
        <v>1.952742179632654e-05</v>
      </c>
      <c r="F71" s="7">
        <f>IF(Parameters!$G$5=1,E71,0)</f>
        <v>0.0</v>
      </c>
      <c r="G71" s="7">
        <f>Parameters!$G$27*G70+F71</f>
        <v>0.0</v>
      </c>
      <c r="H71" s="7">
        <f>IF(AND(Parameters!$G$5=1,Parameters!$G$26=1),SUMPRODUCT(--($A$45:A71&lt;A71),--(MOD(A71-$A$45:A71,Parameters!$G$28)=0),$F$45:F71,POWER(Parameters!$G$27,IF(A71-$A$45:A71=0,1,A71-$A$45:A71))),0)</f>
        <v>0.0</v>
      </c>
      <c r="I71" s="7">
        <f>Parameters!$G$23*I70+B71*Parameters!$G$22</f>
        <v>0.0</v>
      </c>
      <c r="J71" s="7">
        <f>E71*Parameters!$G$14*(1-Parameters!$G$15)</f>
        <v>0.0003710210141302042</v>
      </c>
      <c r="K71" s="7">
        <f>H71*Parameters!$G$29</f>
        <v>0.0</v>
      </c>
      <c r="L71" s="7">
        <f>I71*Parameters!$G$24</f>
        <v>0.0</v>
      </c>
      <c r="M71" s="7">
        <f>J71+K71+L71</f>
        <v>0.0003710210141302042</v>
      </c>
      <c r="N71" s="7">
        <f>C71*Parameters!$G$17+D71*Parameters!$G$18+E71*Parameters!$G$16+I71*Parameters!$G$25+G71*Parameters!$G$30</f>
        <v>0.000906694364710974</v>
      </c>
      <c r="O71" s="7">
        <f>0</f>
        <v>0</v>
      </c>
      <c r="P71" s="7">
        <f>M71-N71-O71</f>
        <v>-0.0005356733505807698</v>
      </c>
      <c r="Q71" s="7">
        <f>0</f>
        <v>0</v>
      </c>
      <c r="R71" s="7">
        <f>P71-Q71</f>
        <v>-0.0005356733505807698</v>
      </c>
      <c r="S71" s="7">
        <f>IF(A71&lt;1+Parameters!$G$31,0,INDEX($M$45:$M$80,A71-Parameters!$G$31))</f>
        <v>0.000515306964069728</v>
      </c>
      <c r="T71" s="7">
        <f>T70+M71-S71</f>
        <v>0.0003710210141302042</v>
      </c>
      <c r="U71" s="7">
        <f>S71-N71-O71-Q71</f>
        <v>-0.00039138740064124597</v>
      </c>
      <c r="V71" s="7">
        <f>V70+U71</f>
        <v>5.288015988122667</v>
      </c>
      <c r="W71" s="7">
        <f>(1-Parameters!$G$7)*(C71-E71)+(1-Parameters!$G$8)*(D71+E71)</f>
        <v>0.0006044629098073159</v>
      </c>
      <c r="X71" s="7">
        <f>Parameters!$G$7*(C71-E71)+Parameters!$G$8*Parameters!$G$9*(D71+E71)</f>
        <v>0.00014059743693355106</v>
      </c>
      <c r="Y71" s="7">
        <f>Parameters!$G$8*(1-Parameters!$G$9)*(D71+E71)</f>
        <v>0.002277254202295713</v>
      </c>
      <c r="Z71" s="7">
        <f>POWER(1/(1+Parameters!$G$32),A71-1)*(M71-N71)</f>
        <v>-0.00041356551934220787</v>
      </c>
    </row>
    <row r="72" spans="1:26">
      <c r="A72" s="7">
        <v>28</v>
      </c>
      <c r="B72" s="7">
        <f>0</f>
        <v>0</v>
      </c>
      <c r="C72" s="7">
        <f>X71+B72</f>
        <v>0.0001405974369335511</v>
      </c>
      <c r="D72" s="7">
        <f>Y71</f>
        <v>0.0022772542022957126</v>
      </c>
      <c r="E72" s="7">
        <f>Parameters!$G$6*C72</f>
        <v>1.405974369335511e-05</v>
      </c>
      <c r="F72" s="7">
        <f>IF(Parameters!$G$5=1,E72,0)</f>
        <v>0.0</v>
      </c>
      <c r="G72" s="7">
        <f>Parameters!$G$27*G71+F72</f>
        <v>0.0</v>
      </c>
      <c r="H72" s="7">
        <f>IF(AND(Parameters!$G$5=1,Parameters!$G$26=1),SUMPRODUCT(--($A$45:A72&lt;A72),--(MOD(A72-$A$45:A72,Parameters!$G$28)=0),$F$45:F72,POWER(Parameters!$G$27,IF(A72-$A$45:A72=0,1,A72-$A$45:A72))),0)</f>
        <v>0.0</v>
      </c>
      <c r="I72" s="7">
        <f>Parameters!$G$23*I71+B72*Parameters!$G$22</f>
        <v>0.0</v>
      </c>
      <c r="J72" s="7">
        <f>E72*Parameters!$G$14*(1-Parameters!$G$15)</f>
        <v>0.00026713513017374705</v>
      </c>
      <c r="K72" s="7">
        <f>H72*Parameters!$G$29</f>
        <v>0.0</v>
      </c>
      <c r="L72" s="7">
        <f>I72*Parameters!$G$24</f>
        <v>0.0</v>
      </c>
      <c r="M72" s="7">
        <f>J72+K72+L72</f>
        <v>0.00026713513017374705</v>
      </c>
      <c r="N72" s="7">
        <f>C72*Parameters!$G$17+D72*Parameters!$G$18+E72*Parameters!$G$16+I72*Parameters!$G$25+G72*Parameters!$G$30</f>
        <v>0.0007253554917687791</v>
      </c>
      <c r="O72" s="7">
        <f>0</f>
        <v>0</v>
      </c>
      <c r="P72" s="7">
        <f>M72-N72-O72</f>
        <v>-0.0004582203615950321</v>
      </c>
      <c r="Q72" s="7">
        <f>0</f>
        <v>0</v>
      </c>
      <c r="R72" s="7">
        <f>P72-Q72</f>
        <v>-0.0004582203615950321</v>
      </c>
      <c r="S72" s="7">
        <f>IF(A72&lt;1+Parameters!$G$31,0,INDEX($M$45:$M$80,A72-Parameters!$G$31))</f>
        <v>0.0003710210141302042</v>
      </c>
      <c r="T72" s="7">
        <f>T71+M72-S72</f>
        <v>0.00026713513017374705</v>
      </c>
      <c r="U72" s="7">
        <f>S72-N72-O72-Q72</f>
        <v>-0.00035433447763857494</v>
      </c>
      <c r="V72" s="7">
        <f>V71+U72</f>
        <v>5.287661653645029</v>
      </c>
      <c r="W72" s="7">
        <f>(1-Parameters!$G$7)*(C72-E72)+(1-Parameters!$G$8)*(D72+E72)</f>
        <v>0.0004835703278458526</v>
      </c>
      <c r="X72" s="7">
        <f>Parameters!$G$7*(C72-E72)+Parameters!$G$8*Parameters!$G$9*(D72+E72)</f>
        <v>0.00010123015459215679</v>
      </c>
      <c r="Y72" s="7">
        <f>Parameters!$G$8*(1-Parameters!$G$9)*(D72+E72)</f>
        <v>0.001833051156791254</v>
      </c>
      <c r="Z72" s="7">
        <f>POWER(1/(1+Parameters!$G$32),A72-1)*(M72-N72)</f>
        <v>-0.0003502654425144659</v>
      </c>
    </row>
    <row r="73" spans="1:26">
      <c r="A73" s="7">
        <v>29</v>
      </c>
      <c r="B73" s="7">
        <f>0</f>
        <v>0</v>
      </c>
      <c r="C73" s="7">
        <f>X72+B73</f>
        <v>0.0001012301545921568</v>
      </c>
      <c r="D73" s="7">
        <f>Y72</f>
        <v>0.0018330511567912543</v>
      </c>
      <c r="E73" s="7">
        <f>Parameters!$G$6*C73</f>
        <v>1.012301545921568e-05</v>
      </c>
      <c r="F73" s="7">
        <f>IF(Parameters!$G$5=1,E73,0)</f>
        <v>0.0</v>
      </c>
      <c r="G73" s="7">
        <f>Parameters!$G$27*G72+F73</f>
        <v>0.0</v>
      </c>
      <c r="H73" s="7">
        <f>IF(AND(Parameters!$G$5=1,Parameters!$G$26=1),SUMPRODUCT(--($A$45:A73&lt;A73),--(MOD(A73-$A$45:A73,Parameters!$G$28)=0),$F$45:F73,POWER(Parameters!$G$27,IF(A73-$A$45:A73=0,1,A73-$A$45:A73))),0)</f>
        <v>0.0</v>
      </c>
      <c r="I73" s="7">
        <f>Parameters!$G$23*I72+B73*Parameters!$G$22</f>
        <v>0.0</v>
      </c>
      <c r="J73" s="7">
        <f>E73*Parameters!$G$14*(1-Parameters!$G$15)</f>
        <v>0.00019233729372509793</v>
      </c>
      <c r="K73" s="7">
        <f>H73*Parameters!$G$29</f>
        <v>0.0</v>
      </c>
      <c r="L73" s="7">
        <f>I73*Parameters!$G$24</f>
        <v>0.0</v>
      </c>
      <c r="M73" s="7">
        <f>J73+K73+L73</f>
        <v>0.00019233729372509793</v>
      </c>
      <c r="N73" s="7">
        <f>C73*Parameters!$G$17+D73*Parameters!$G$18+E73*Parameters!$G$16+I73*Parameters!$G$25+G73*Parameters!$G$30</f>
        <v>0.0005802843934150234</v>
      </c>
      <c r="O73" s="7">
        <f>0</f>
        <v>0</v>
      </c>
      <c r="P73" s="7">
        <f>M73-N73-O73</f>
        <v>-0.0003879470996899254</v>
      </c>
      <c r="Q73" s="7">
        <f>0</f>
        <v>0</v>
      </c>
      <c r="R73" s="7">
        <f>P73-Q73</f>
        <v>-0.0003879470996899254</v>
      </c>
      <c r="S73" s="7">
        <f>IF(A73&lt;1+Parameters!$G$31,0,INDEX($M$45:$M$80,A73-Parameters!$G$31))</f>
        <v>0.00026713513017374705</v>
      </c>
      <c r="T73" s="7">
        <f>T72+M73-S73</f>
        <v>0.00019233729372509793</v>
      </c>
      <c r="U73" s="7">
        <f>S73-N73-O73-Q73</f>
        <v>-0.0003131492632412763</v>
      </c>
      <c r="V73" s="7">
        <f>V72+U73</f>
        <v>5.287348504381788</v>
      </c>
      <c r="W73" s="7">
        <f>(1-Parameters!$G$7)*(C73-E73)+(1-Parameters!$G$8)*(D73+E73)</f>
        <v>0.0003868562622766821</v>
      </c>
      <c r="X73" s="7">
        <f>Parameters!$G$7*(C73-E73)+Parameters!$G$8*Parameters!$G$9*(D73+E73)</f>
        <v>7.288571130635291e-05</v>
      </c>
      <c r="Y73" s="7">
        <f>Parameters!$G$8*(1-Parameters!$G$9)*(D73+E73)</f>
        <v>0.001474539337800376</v>
      </c>
      <c r="Z73" s="7">
        <f>POWER(1/(1+Parameters!$G$32),A73-1)*(M73-N73)</f>
        <v>-0.0002936121637163967</v>
      </c>
    </row>
    <row r="74" spans="1:26">
      <c r="A74" s="7">
        <v>30</v>
      </c>
      <c r="B74" s="7">
        <f>0</f>
        <v>0</v>
      </c>
      <c r="C74" s="7">
        <f>X73+B74</f>
        <v>7.288571130635291e-05</v>
      </c>
      <c r="D74" s="7">
        <f>Y73</f>
        <v>0.001474539337800376</v>
      </c>
      <c r="E74" s="7">
        <f>Parameters!$G$6*C74</f>
        <v>7.288571130635291e-06</v>
      </c>
      <c r="F74" s="7">
        <f>IF(Parameters!$G$5=1,E74,0)</f>
        <v>0.0</v>
      </c>
      <c r="G74" s="7">
        <f>Parameters!$G$27*G73+F74</f>
        <v>0.0</v>
      </c>
      <c r="H74" s="7">
        <f>IF(AND(Parameters!$G$5=1,Parameters!$G$26=1),SUMPRODUCT(--($A$45:A74&lt;A74),--(MOD(A74-$A$45:A74,Parameters!$G$28)=0),$F$45:F74,POWER(Parameters!$G$27,IF(A74-$A$45:A74=0,1,A74-$A$45:A74))),0)</f>
        <v>0.0</v>
      </c>
      <c r="I74" s="7">
        <f>Parameters!$G$23*I73+B74*Parameters!$G$22</f>
        <v>0.0</v>
      </c>
      <c r="J74" s="7">
        <f>E74*Parameters!$G$14*(1-Parameters!$G$15)</f>
        <v>0.00013848285148207053</v>
      </c>
      <c r="K74" s="7">
        <f>H74*Parameters!$G$29</f>
        <v>0.0</v>
      </c>
      <c r="L74" s="7">
        <f>I74*Parameters!$G$24</f>
        <v>0.0</v>
      </c>
      <c r="M74" s="7">
        <f>J74+K74+L74</f>
        <v>0.00013848285148207053</v>
      </c>
      <c r="N74" s="7">
        <f>C74*Parameters!$G$17+D74*Parameters!$G$18+E74*Parameters!$G$16+I74*Parameters!$G$25+G74*Parameters!$G$30</f>
        <v>0.0004642275147320186</v>
      </c>
      <c r="O74" s="7">
        <f>0</f>
        <v>0</v>
      </c>
      <c r="P74" s="7">
        <f>M74-N74-O74</f>
        <v>-0.0003257446632499481</v>
      </c>
      <c r="Q74" s="7">
        <f>0</f>
        <v>0</v>
      </c>
      <c r="R74" s="7">
        <f>P74-Q74</f>
        <v>-0.0003257446632499481</v>
      </c>
      <c r="S74" s="7">
        <f>IF(A74&lt;1+Parameters!$G$31,0,INDEX($M$45:$M$80,A74-Parameters!$G$31))</f>
        <v>0.00019233729372509793</v>
      </c>
      <c r="T74" s="7">
        <f>T73+M74-S74</f>
        <v>0.00013848285148207053</v>
      </c>
      <c r="U74" s="7">
        <f>S74-N74-O74-Q74</f>
        <v>-0.00027189022100692066</v>
      </c>
      <c r="V74" s="7">
        <f>V73+U74</f>
        <v>5.287076614160781</v>
      </c>
      <c r="W74" s="7">
        <f>(1-Parameters!$G$7)*(C74-E74)+(1-Parameters!$G$8)*(D74+E74)</f>
        <v>0.0003094850098213457</v>
      </c>
      <c r="X74" s="7">
        <f>Parameters!$G$7*(C74-E74)+Parameters!$G$8*Parameters!$G$9*(D74+E74)</f>
        <v>5.2477712140574096e-05</v>
      </c>
      <c r="Y74" s="7">
        <f>Parameters!$G$8*(1-Parameters!$G$9)*(D74+E74)</f>
        <v>0.001185462327144809</v>
      </c>
      <c r="Z74" s="7">
        <f>POWER(1/(1+Parameters!$G$32),A74-1)*(M74-N74)</f>
        <v>-0.00024409420532210555</v>
      </c>
    </row>
    <row r="75" spans="1:26">
      <c r="A75" s="7">
        <v>31</v>
      </c>
      <c r="B75" s="7">
        <f>0</f>
        <v>0</v>
      </c>
      <c r="C75" s="7">
        <f>X74+B75</f>
        <v>5.2477712140574096e-05</v>
      </c>
      <c r="D75" s="7">
        <f>Y74</f>
        <v>0.001185462327144809</v>
      </c>
      <c r="E75" s="7">
        <f>Parameters!$G$6*C75</f>
        <v>5.24777121405741e-06</v>
      </c>
      <c r="F75" s="7">
        <f>IF(Parameters!$G$5=1,E75,0)</f>
        <v>0.0</v>
      </c>
      <c r="G75" s="7">
        <f>Parameters!$G$27*G74+F75</f>
        <v>0.0</v>
      </c>
      <c r="H75" s="7">
        <f>IF(AND(Parameters!$G$5=1,Parameters!$G$26=1),SUMPRODUCT(--($A$45:A75&lt;A75),--(MOD(A75-$A$45:A75,Parameters!$G$28)=0),$F$45:F75,POWER(Parameters!$G$27,IF(A75-$A$45:A75=0,1,A75-$A$45:A75))),0)</f>
        <v>0.0</v>
      </c>
      <c r="I75" s="7">
        <f>Parameters!$G$23*I74+B75*Parameters!$G$22</f>
        <v>0.0</v>
      </c>
      <c r="J75" s="7">
        <f>E75*Parameters!$G$14*(1-Parameters!$G$15)</f>
        <v>9.970765306709079e-05</v>
      </c>
      <c r="K75" s="7">
        <f>H75*Parameters!$G$29</f>
        <v>0.0</v>
      </c>
      <c r="L75" s="7">
        <f>I75*Parameters!$G$24</f>
        <v>0.0</v>
      </c>
      <c r="M75" s="7">
        <f>J75+K75+L75</f>
        <v>9.970765306709079e-05</v>
      </c>
      <c r="N75" s="7">
        <f>C75*Parameters!$G$17+D75*Parameters!$G$18+E75*Parameters!$G$16+I75*Parameters!$G$25+G75*Parameters!$G$30</f>
        <v>0.0003713820117856149</v>
      </c>
      <c r="O75" s="7">
        <f>0</f>
        <v>0</v>
      </c>
      <c r="P75" s="7">
        <f>M75-N75-O75</f>
        <v>-0.00027167435871852414</v>
      </c>
      <c r="Q75" s="7">
        <f>0</f>
        <v>0</v>
      </c>
      <c r="R75" s="7">
        <f>P75-Q75</f>
        <v>-0.00027167435871852414</v>
      </c>
      <c r="S75" s="7">
        <f>IF(A75&lt;1+Parameters!$G$31,0,INDEX($M$45:$M$80,A75-Parameters!$G$31))</f>
        <v>0.00013848285148207053</v>
      </c>
      <c r="T75" s="7">
        <f>T74+M75-S75</f>
        <v>9.970765306709079e-05</v>
      </c>
      <c r="U75" s="7">
        <f>S75-N75-O75-Q75</f>
        <v>-0.0002328991603035444</v>
      </c>
      <c r="V75" s="7">
        <f>V74+U75</f>
        <v>5.286843715000478</v>
      </c>
      <c r="W75" s="7">
        <f>(1-Parameters!$G$7)*(C75-E75)+(1-Parameters!$G$8)*(D75+E75)</f>
        <v>0.00024758800785707656</v>
      </c>
      <c r="X75" s="7">
        <f>Parameters!$G$7*(C75-E75)+Parameters!$G$8*Parameters!$G$9*(D75+E75)</f>
        <v>3.778395274121335e-05</v>
      </c>
      <c r="Y75" s="7">
        <f>Parameters!$G$8*(1-Parameters!$G$9)*(D75+E75)</f>
        <v>0.0009525680786870932</v>
      </c>
      <c r="Z75" s="7">
        <f>POWER(1/(1+Parameters!$G$32),A75-1)*(M75-N75)</f>
        <v>-0.00020156143290839322</v>
      </c>
    </row>
    <row r="76" spans="1:26">
      <c r="A76" s="7">
        <v>32</v>
      </c>
      <c r="B76" s="7">
        <f>0</f>
        <v>0</v>
      </c>
      <c r="C76" s="7">
        <f>X75+B76</f>
        <v>3.7783952741213356e-05</v>
      </c>
      <c r="D76" s="7">
        <f>Y75</f>
        <v>0.0009525680786870932</v>
      </c>
      <c r="E76" s="7">
        <f>Parameters!$G$6*C76</f>
        <v>3.778395274121336e-06</v>
      </c>
      <c r="F76" s="7">
        <f>IF(Parameters!$G$5=1,E76,0)</f>
        <v>0.0</v>
      </c>
      <c r="G76" s="7">
        <f>Parameters!$G$27*G75+F76</f>
        <v>0.0</v>
      </c>
      <c r="H76" s="7">
        <f>IF(AND(Parameters!$G$5=1,Parameters!$G$26=1),SUMPRODUCT(--($A$45:A76&lt;A76),--(MOD(A76-$A$45:A76,Parameters!$G$28)=0),$F$45:F76,POWER(Parameters!$G$27,IF(A76-$A$45:A76=0,1,A76-$A$45:A76))),0)</f>
        <v>0.0</v>
      </c>
      <c r="I76" s="7">
        <f>Parameters!$G$23*I75+B76*Parameters!$G$22</f>
        <v>0.0</v>
      </c>
      <c r="J76" s="7">
        <f>E76*Parameters!$G$14*(1-Parameters!$G$15)</f>
        <v>7.178951020830537e-05</v>
      </c>
      <c r="K76" s="7">
        <f>H76*Parameters!$G$29</f>
        <v>0.0</v>
      </c>
      <c r="L76" s="7">
        <f>I76*Parameters!$G$24</f>
        <v>0.0</v>
      </c>
      <c r="M76" s="7">
        <f>J76+K76+L76</f>
        <v>7.178951020830537e-05</v>
      </c>
      <c r="N76" s="7">
        <f>C76*Parameters!$G$17+D76*Parameters!$G$18+E76*Parameters!$G$16+I76*Parameters!$G$25+G76*Parameters!$G$30</f>
        <v>0.000297105609428492</v>
      </c>
      <c r="O76" s="7">
        <f>0</f>
        <v>0</v>
      </c>
      <c r="P76" s="7">
        <f>M76-N76-O76</f>
        <v>-0.0002253160992201866</v>
      </c>
      <c r="Q76" s="7">
        <f>0</f>
        <v>0</v>
      </c>
      <c r="R76" s="7">
        <f>P76-Q76</f>
        <v>-0.0002253160992201866</v>
      </c>
      <c r="S76" s="7">
        <f>IF(A76&lt;1+Parameters!$G$31,0,INDEX($M$45:$M$80,A76-Parameters!$G$31))</f>
        <v>9.970765306709079e-05</v>
      </c>
      <c r="T76" s="7">
        <f>T75+M76-S76</f>
        <v>7.178951020830537e-05</v>
      </c>
      <c r="U76" s="7">
        <f>S76-N76-O76-Q76</f>
        <v>-0.00019739795636140119</v>
      </c>
      <c r="V76" s="7">
        <f>V75+U76</f>
        <v>5.2866463170441165</v>
      </c>
      <c r="W76" s="7">
        <f>(1-Parameters!$G$7)*(C76-E76)+(1-Parameters!$G$8)*(D76+E76)</f>
        <v>0.00019807040628566126</v>
      </c>
      <c r="X76" s="7">
        <f>Parameters!$G$7*(C76-E76)+Parameters!$G$8*Parameters!$G$9*(D76+E76)</f>
        <v>2.720444597367362e-05</v>
      </c>
      <c r="Y76" s="7">
        <f>Parameters!$G$8*(1-Parameters!$G$9)*(D76+E76)</f>
        <v>0.0007650771791689716</v>
      </c>
      <c r="Z76" s="7">
        <f>POWER(1/(1+Parameters!$G$32),A76-1)*(M76-N76)</f>
        <v>-0.00016551205718599407</v>
      </c>
    </row>
    <row r="77" spans="1:26">
      <c r="A77" s="7">
        <v>33</v>
      </c>
      <c r="B77" s="7">
        <f>0</f>
        <v>0</v>
      </c>
      <c r="C77" s="7">
        <f>X76+B77</f>
        <v>2.720444597367362e-05</v>
      </c>
      <c r="D77" s="7">
        <f>Y76</f>
        <v>0.0007650771791689716</v>
      </c>
      <c r="E77" s="7">
        <f>Parameters!$G$6*C77</f>
        <v>2.720444597367362e-06</v>
      </c>
      <c r="F77" s="7">
        <f>IF(Parameters!$G$5=1,E77,0)</f>
        <v>0.0</v>
      </c>
      <c r="G77" s="7">
        <f>Parameters!$G$27*G76+F77</f>
        <v>0.0</v>
      </c>
      <c r="H77" s="7">
        <f>IF(AND(Parameters!$G$5=1,Parameters!$G$26=1),SUMPRODUCT(--($A$45:A77&lt;A77),--(MOD(A77-$A$45:A77,Parameters!$G$28)=0),$F$45:F77,POWER(Parameters!$G$27,IF(A77-$A$45:A77=0,1,A77-$A$45:A77))),0)</f>
        <v>0.0</v>
      </c>
      <c r="I77" s="7">
        <f>Parameters!$G$23*I76+B77*Parameters!$G$22</f>
        <v>0.0</v>
      </c>
      <c r="J77" s="7">
        <f>E77*Parameters!$G$14*(1-Parameters!$G$15)</f>
        <v>5.168844734997988e-05</v>
      </c>
      <c r="K77" s="7">
        <f>H77*Parameters!$G$29</f>
        <v>0.0</v>
      </c>
      <c r="L77" s="7">
        <f>I77*Parameters!$G$24</f>
        <v>0.0</v>
      </c>
      <c r="M77" s="7">
        <f>J77+K77+L77</f>
        <v>5.168844734997988e-05</v>
      </c>
      <c r="N77" s="7">
        <f>C77*Parameters!$G$17+D77*Parameters!$G$18+E77*Parameters!$G$16+I77*Parameters!$G$25+G77*Parameters!$G$30</f>
        <v>0.00023768448754279354</v>
      </c>
      <c r="O77" s="7">
        <f>0</f>
        <v>0</v>
      </c>
      <c r="P77" s="7">
        <f>M77-N77-O77</f>
        <v>-0.00018599604019281366</v>
      </c>
      <c r="Q77" s="7">
        <f>0</f>
        <v>0</v>
      </c>
      <c r="R77" s="7">
        <f>P77-Q77</f>
        <v>-0.00018599604019281366</v>
      </c>
      <c r="S77" s="7">
        <f>IF(A77&lt;1+Parameters!$G$31,0,INDEX($M$45:$M$80,A77-Parameters!$G$31))</f>
        <v>7.178951020830537e-05</v>
      </c>
      <c r="T77" s="7">
        <f>T76+M77-S77</f>
        <v>5.168844734997988e-05</v>
      </c>
      <c r="U77" s="7">
        <f>S77-N77-O77-Q77</f>
        <v>-0.00016589497733448817</v>
      </c>
      <c r="V77" s="7">
        <f>V76+U77</f>
        <v>5.286480422066782</v>
      </c>
      <c r="W77" s="7">
        <f>(1-Parameters!$G$7)*(C77-E77)+(1-Parameters!$G$8)*(D77+E77)</f>
        <v>0.00015845632502852904</v>
      </c>
      <c r="X77" s="7">
        <f>Parameters!$G$7*(C77-E77)+Parameters!$G$8*Parameters!$G$9*(D77+E77)</f>
        <v>1.9587201101045007e-05</v>
      </c>
      <c r="Y77" s="7">
        <f>Parameters!$G$8*(1-Parameters!$G$9)*(D77+E77)</f>
        <v>0.0006142380990130712</v>
      </c>
      <c r="Z77" s="7">
        <f>POWER(1/(1+Parameters!$G$32),A77-1)*(M77-N77)</f>
        <v>-0.00013527568359641558</v>
      </c>
    </row>
    <row r="78" spans="1:26">
      <c r="A78" s="7">
        <v>34</v>
      </c>
      <c r="B78" s="7">
        <f>0</f>
        <v>0</v>
      </c>
      <c r="C78" s="7">
        <f>X77+B78</f>
        <v>1.9587201101045007e-05</v>
      </c>
      <c r="D78" s="7">
        <f>Y77</f>
        <v>0.0006142380990130713</v>
      </c>
      <c r="E78" s="7">
        <f>Parameters!$G$6*C78</f>
        <v>1.958720110104501e-06</v>
      </c>
      <c r="F78" s="7">
        <f>IF(Parameters!$G$5=1,E78,0)</f>
        <v>0.0</v>
      </c>
      <c r="G78" s="7">
        <f>Parameters!$G$27*G77+F78</f>
        <v>0.0</v>
      </c>
      <c r="H78" s="7">
        <f>IF(AND(Parameters!$G$5=1,Parameters!$G$26=1),SUMPRODUCT(--($A$45:A78&lt;A78),--(MOD(A78-$A$45:A78,Parameters!$G$28)=0),$F$45:F78,POWER(Parameters!$G$27,IF(A78-$A$45:A78=0,1,A78-$A$45:A78))),0)</f>
        <v>0.0</v>
      </c>
      <c r="I78" s="7">
        <f>Parameters!$G$23*I77+B78*Parameters!$G$22</f>
        <v>0.0</v>
      </c>
      <c r="J78" s="7">
        <f>E78*Parameters!$G$14*(1-Parameters!$G$15)</f>
        <v>3.7215682091985516e-05</v>
      </c>
      <c r="K78" s="7">
        <f>H78*Parameters!$G$29</f>
        <v>0.0</v>
      </c>
      <c r="L78" s="7">
        <f>I78*Parameters!$G$24</f>
        <v>0.0</v>
      </c>
      <c r="M78" s="7">
        <f>J78+K78+L78</f>
        <v>3.7215682091985516e-05</v>
      </c>
      <c r="N78" s="7">
        <f>C78*Parameters!$G$17+D78*Parameters!$G$18+E78*Parameters!$G$16+I78*Parameters!$G$25+G78*Parameters!$G$30</f>
        <v>0.0001901475900342349</v>
      </c>
      <c r="O78" s="7">
        <f>0</f>
        <v>0</v>
      </c>
      <c r="P78" s="7">
        <f>M78-N78-O78</f>
        <v>-0.00015293190794224938</v>
      </c>
      <c r="Q78" s="7">
        <f>0</f>
        <v>0</v>
      </c>
      <c r="R78" s="7">
        <f>P78-Q78</f>
        <v>-0.00015293190794224938</v>
      </c>
      <c r="S78" s="7">
        <f>IF(A78&lt;1+Parameters!$G$31,0,INDEX($M$45:$M$80,A78-Parameters!$G$31))</f>
        <v>5.168844734997988e-05</v>
      </c>
      <c r="T78" s="7">
        <f>T77+M78-S78</f>
        <v>3.7215682091985516e-05</v>
      </c>
      <c r="U78" s="7">
        <f>S78-N78-O78-Q78</f>
        <v>-0.00013845914268425502</v>
      </c>
      <c r="V78" s="7">
        <f>V77+U78</f>
        <v>5.286341962924097</v>
      </c>
      <c r="W78" s="7">
        <f>(1-Parameters!$G$7)*(C78-E78)+(1-Parameters!$G$8)*(D78+E78)</f>
        <v>0.00012676506002282323</v>
      </c>
      <c r="X78" s="7">
        <f>Parameters!$G$7*(C78-E78)+Parameters!$G$8*Parameters!$G$9*(D78+E78)</f>
        <v>1.4102784792752406e-05</v>
      </c>
      <c r="Y78" s="7">
        <f>Parameters!$G$8*(1-Parameters!$G$9)*(D78+E78)</f>
        <v>0.0004929574552985407</v>
      </c>
      <c r="Z78" s="7">
        <f>POWER(1/(1+Parameters!$G$32),A78-1)*(M78-N78)</f>
        <v>-0.00011012673710232789</v>
      </c>
    </row>
    <row r="79" spans="1:26">
      <c r="A79" s="7">
        <v>35</v>
      </c>
      <c r="B79" s="7">
        <f>0</f>
        <v>0</v>
      </c>
      <c r="C79" s="7">
        <f>X78+B79</f>
        <v>1.4102784792752407e-05</v>
      </c>
      <c r="D79" s="7">
        <f>Y78</f>
        <v>0.0004929574552985407</v>
      </c>
      <c r="E79" s="7">
        <f>Parameters!$G$6*C79</f>
        <v>1.4102784792752409e-06</v>
      </c>
      <c r="F79" s="7">
        <f>IF(Parameters!$G$5=1,E79,0)</f>
        <v>0.0</v>
      </c>
      <c r="G79" s="7">
        <f>Parameters!$G$27*G78+F79</f>
        <v>0.0</v>
      </c>
      <c r="H79" s="7">
        <f>IF(AND(Parameters!$G$5=1,Parameters!$G$26=1),SUMPRODUCT(--($A$45:A79&lt;A79),--(MOD(A79-$A$45:A79,Parameters!$G$28)=0),$F$45:F79,POWER(Parameters!$G$27,IF(A79-$A$45:A79=0,1,A79-$A$45:A79))),0)</f>
        <v>0.0</v>
      </c>
      <c r="I79" s="7">
        <f>Parameters!$G$23*I78+B79*Parameters!$G$22</f>
        <v>0.0</v>
      </c>
      <c r="J79" s="7">
        <f>E79*Parameters!$G$14*(1-Parameters!$G$15)</f>
        <v>2.6795291106229576e-05</v>
      </c>
      <c r="K79" s="7">
        <f>H79*Parameters!$G$29</f>
        <v>0.0</v>
      </c>
      <c r="L79" s="7">
        <f>I79*Parameters!$G$24</f>
        <v>0.0</v>
      </c>
      <c r="M79" s="7">
        <f>J79+K79+L79</f>
        <v>2.6795291106229576e-05</v>
      </c>
      <c r="N79" s="7">
        <f>C79*Parameters!$G$17+D79*Parameters!$G$18+E79*Parameters!$G$16+I79*Parameters!$G$25+G79*Parameters!$G$30</f>
        <v>0.0001521180720273879</v>
      </c>
      <c r="O79" s="7">
        <f>0</f>
        <v>0</v>
      </c>
      <c r="P79" s="7">
        <f>M79-N79-O79</f>
        <v>-0.00012532278092115834</v>
      </c>
      <c r="Q79" s="7">
        <f>0</f>
        <v>0</v>
      </c>
      <c r="R79" s="7">
        <f>P79-Q79</f>
        <v>-0.00012532278092115834</v>
      </c>
      <c r="S79" s="7">
        <f>IF(A79&lt;1+Parameters!$G$31,0,INDEX($M$45:$M$80,A79-Parameters!$G$31))</f>
        <v>3.7215682091985516e-05</v>
      </c>
      <c r="T79" s="7">
        <f>T78+M79-S79</f>
        <v>2.6795291106229576e-05</v>
      </c>
      <c r="U79" s="7">
        <f>S79-N79-O79-Q79</f>
        <v>-0.00011490238993540239</v>
      </c>
      <c r="V79" s="7">
        <f>V78+U79</f>
        <v>5.286227060534162</v>
      </c>
      <c r="W79" s="7">
        <f>(1-Parameters!$G$7)*(C79-E79)+(1-Parameters!$G$8)*(D79+E79)</f>
        <v>0.00010141204801825858</v>
      </c>
      <c r="X79" s="7">
        <f>Parameters!$G$7*(C79-E79)+Parameters!$G$8*Parameters!$G$9*(D79+E79)</f>
        <v>1.0154005050781734e-05</v>
      </c>
      <c r="Y79" s="7">
        <f>Parameters!$G$8*(1-Parameters!$G$9)*(D79+E79)</f>
        <v>0.0003954941870222527</v>
      </c>
      <c r="Z79" s="7">
        <f>POWER(1/(1+Parameters!$G$32),A79-1)*(M79-N79)</f>
        <v>-8.93518018311522e-05</v>
      </c>
    </row>
    <row r="80" spans="1:26">
      <c r="A80" s="7">
        <v>36</v>
      </c>
      <c r="B80" s="7">
        <f>0</f>
        <v>0</v>
      </c>
      <c r="C80" s="7">
        <f>X79+B80</f>
        <v>1.0154005050781734e-05</v>
      </c>
      <c r="D80" s="7">
        <f>Y79</f>
        <v>0.00039549418702225275</v>
      </c>
      <c r="E80" s="7">
        <f>Parameters!$G$6*C80</f>
        <v>1.0154005050781734e-06</v>
      </c>
      <c r="F80" s="7">
        <f>IF(Parameters!$G$5=1,E80,0)</f>
        <v>0.0</v>
      </c>
      <c r="G80" s="7">
        <f>Parameters!$G$27*G79+F80</f>
        <v>0.0</v>
      </c>
      <c r="H80" s="7">
        <f>IF(AND(Parameters!$G$5=1,Parameters!$G$26=1),SUMPRODUCT(--($A$45:A80&lt;A80),--(MOD(A80-$A$45:A80,Parameters!$G$28)=0),$F$45:F80,POWER(Parameters!$G$27,IF(A80-$A$45:A80=0,1,A80-$A$45:A80))),0)</f>
        <v>0.0</v>
      </c>
      <c r="I80" s="7">
        <f>Parameters!$G$23*I79+B80*Parameters!$G$22</f>
        <v>0.0</v>
      </c>
      <c r="J80" s="7">
        <f>E80*Parameters!$G$14*(1-Parameters!$G$15)</f>
        <v>1.9292609596485294e-05</v>
      </c>
      <c r="K80" s="7">
        <f>H80*Parameters!$G$29</f>
        <v>0.0</v>
      </c>
      <c r="L80" s="7">
        <f>I80*Parameters!$G$24</f>
        <v>0.0</v>
      </c>
      <c r="M80" s="7">
        <f>J80+K80+L80</f>
        <v>1.9292609596485294e-05</v>
      </c>
      <c r="N80" s="7">
        <f>C80*Parameters!$G$17+D80*Parameters!$G$18+E80*Parameters!$G$16+I80*Parameters!$G$25+G80*Parameters!$G$30</f>
        <v>0.00012169445762191034</v>
      </c>
      <c r="O80" s="7">
        <f>0</f>
        <v>0</v>
      </c>
      <c r="P80" s="7">
        <f>M80-N80-O80</f>
        <v>-0.00010240184802542504</v>
      </c>
      <c r="Q80" s="7">
        <f>0</f>
        <v>0</v>
      </c>
      <c r="R80" s="7">
        <f>P80-Q80</f>
        <v>-0.00010240184802542504</v>
      </c>
      <c r="S80" s="7">
        <f>IF(A80&lt;1+Parameters!$G$31,0,INDEX($M$45:$M$80,A80-Parameters!$G$31))</f>
        <v>2.6795291106229576e-05</v>
      </c>
      <c r="T80" s="7">
        <f>T79+M80-S80</f>
        <v>1.9292609596485294e-05</v>
      </c>
      <c r="U80" s="7">
        <f>S80-N80-O80-Q80</f>
        <v>-9.489916651568076e-05</v>
      </c>
      <c r="V80" s="7">
        <f>V79+U80</f>
        <v>5.286132161367647</v>
      </c>
      <c r="W80" s="7">
        <f>(1-Parameters!$G$7)*(C80-E80)+(1-Parameters!$G$8)*(D80+E80)</f>
        <v>8.112963841460688e-05</v>
      </c>
      <c r="X80" s="7">
        <f>Parameters!$G$7*(C80-E80)+Parameters!$G$8*Parameters!$G$9*(D80+E80)</f>
        <v>7.310883636562849e-06</v>
      </c>
      <c r="Y80" s="7">
        <f>Parameters!$G$8*(1-Parameters!$G$9)*(D80+E80)</f>
        <v>0.0003172076700218647</v>
      </c>
      <c r="Z80" s="7">
        <f>POWER(1/(1+Parameters!$G$32),A80-1)*(M80-N80)</f>
        <v>-7.228691853763749e-05</v>
      </c>
    </row>
  </sheetData>
  <mergeCells count="3">
    <mergeCell ref="A1:Z1"/>
    <mergeCell ref="A2:Z2"/>
    <mergeCell ref="A43:Z4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Z80"/>
  <sheetViews>
    <sheetView showGridLines="0" zoomScale="85" zoomScaleNormal="85" workbookViewId="0">
      <pane xSplit="4" ySplit="4" topLeftCell="E5" activePane="bottomRight" state="frozen"/>
      <selection pane="topRight" activeCell="E1" sqref="E1"/>
      <selection pane="bottomLeft" activeCell="A5" sqref="A5"/>
      <selection pane="bottomRight"/>
    </sheetView>
  </sheetViews>
  <sheetFormatPr defaultRowHeight="15"/>
  <cols>
    <col min="1" max="1" width="10.7109375" customWidth="1"/>
    <col min="2" max="9" width="19.7109375" customWidth="1"/>
    <col min="10" max="26" width="22.7109375" customWidth="1"/>
  </cols>
  <sheetData>
    <row r="1" spans="1:26">
      <c r="A1" s="1" t="s">
        <v>197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3" t="s">
        <v>163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4" spans="1:26" ht="45" customHeight="1">
      <c r="A4" s="4" t="s">
        <v>164</v>
      </c>
      <c r="B4" s="4" t="s">
        <v>165</v>
      </c>
      <c r="C4" s="4" t="s">
        <v>166</v>
      </c>
      <c r="D4" s="4" t="s">
        <v>167</v>
      </c>
      <c r="E4" s="4" t="s">
        <v>168</v>
      </c>
      <c r="F4" s="4" t="s">
        <v>169</v>
      </c>
      <c r="G4" s="4" t="s">
        <v>170</v>
      </c>
      <c r="H4" s="4" t="s">
        <v>171</v>
      </c>
      <c r="I4" s="4" t="s">
        <v>172</v>
      </c>
      <c r="J4" s="4" t="s">
        <v>173</v>
      </c>
      <c r="K4" s="4" t="s">
        <v>174</v>
      </c>
      <c r="L4" s="4" t="s">
        <v>175</v>
      </c>
      <c r="M4" s="4" t="s">
        <v>176</v>
      </c>
      <c r="N4" s="4" t="s">
        <v>177</v>
      </c>
      <c r="O4" s="4" t="s">
        <v>99</v>
      </c>
      <c r="P4" s="4" t="s">
        <v>178</v>
      </c>
      <c r="Q4" s="4" t="s">
        <v>179</v>
      </c>
      <c r="R4" s="4" t="s">
        <v>180</v>
      </c>
      <c r="S4" s="4" t="s">
        <v>181</v>
      </c>
      <c r="T4" s="4" t="s">
        <v>182</v>
      </c>
      <c r="U4" s="4" t="s">
        <v>183</v>
      </c>
      <c r="V4" s="4" t="s">
        <v>184</v>
      </c>
      <c r="W4" s="4" t="s">
        <v>185</v>
      </c>
      <c r="X4" s="4" t="s">
        <v>186</v>
      </c>
      <c r="Y4" s="4" t="s">
        <v>187</v>
      </c>
      <c r="Z4" s="4" t="s">
        <v>188</v>
      </c>
    </row>
    <row r="5" spans="1:26">
      <c r="A5" s="7">
        <v>1</v>
      </c>
      <c r="B5" s="7">
        <f>Parameters!$H$20</f>
        <v>1000</v>
      </c>
      <c r="C5" s="7">
        <f>B5</f>
        <v>1000</v>
      </c>
      <c r="D5" s="7">
        <f>0</f>
        <v>0.0</v>
      </c>
      <c r="E5" s="7">
        <f>Parameters!$H$6*C5</f>
        <v>100.0</v>
      </c>
      <c r="F5" s="7">
        <f>IF(Parameters!$H$5=1,E5,0)</f>
        <v>0.0</v>
      </c>
      <c r="G5" s="7">
        <f>F5</f>
        <v>0.0</v>
      </c>
      <c r="H5" s="7">
        <f>IF(AND(Parameters!$H$5=1,Parameters!$H$26=1),SUMPRODUCT(--($A$5:A5&lt;A5),--(MOD(A5-$A$5:A5,Parameters!$H$28)=0),$F$5:F5,POWER(Parameters!$H$27,IF(A5-$A$5:A5=0,1,A5-$A$5:A5))),0)</f>
        <v>0.0</v>
      </c>
      <c r="I5" s="7">
        <f>B5*Parameters!$H$22</f>
        <v>0.0</v>
      </c>
      <c r="J5" s="7">
        <f>E5*Parameters!$H$14*(1-Parameters!$H$15)</f>
        <v>1900.0</v>
      </c>
      <c r="K5" s="7">
        <f>H5*Parameters!$H$29</f>
        <v>0.0</v>
      </c>
      <c r="L5" s="7">
        <f>I5*Parameters!$H$24</f>
        <v>0.0</v>
      </c>
      <c r="M5" s="7">
        <f>J5+K5+L5</f>
        <v>1900.0</v>
      </c>
      <c r="N5" s="7">
        <f>C5*Parameters!$H$17+D5*Parameters!$H$18+E5*Parameters!$H$16+I5*Parameters!$H$25+G5*Parameters!$H$30</f>
        <v>300.0</v>
      </c>
      <c r="O5" s="7">
        <f>B5*Parameters!$H$19</f>
        <v>4000</v>
      </c>
      <c r="P5" s="7">
        <f>M5-N5-O5</f>
        <v>-2400.0</v>
      </c>
      <c r="Q5" s="7">
        <f>Parameters!$H$21</f>
        <v>1000</v>
      </c>
      <c r="R5" s="7">
        <f>P5-Q5</f>
        <v>-3400.0</v>
      </c>
      <c r="S5" s="7">
        <f>IF(A5&lt;1+Parameters!$H$31,0,INDEX($M$5:$M$40,A5-Parameters!$H$31))</f>
        <v>0.0</v>
      </c>
      <c r="T5" s="7">
        <f>M5-S5</f>
        <v>1900.0</v>
      </c>
      <c r="U5" s="7">
        <f>S5-N5-O5-Q5</f>
        <v>-5300.0</v>
      </c>
      <c r="V5" s="7">
        <f>U5</f>
        <v>-5300.0</v>
      </c>
      <c r="W5" s="7">
        <f>(1-Parameters!$H$7)*(C5-E5)+(1-Parameters!$H$8)*(D5+E5)</f>
        <v>199.99999999999997</v>
      </c>
      <c r="X5" s="7">
        <f>Parameters!$H$7*(C5-E5)+Parameters!$H$8*Parameters!$H$9*(D5+E5)</f>
        <v>728.0</v>
      </c>
      <c r="Y5" s="7">
        <f>Parameters!$H$8*(1-Parameters!$H$9)*(D5+E5)</f>
        <v>72.00000000000001</v>
      </c>
      <c r="Z5" s="7">
        <f>POWER(1/(1+Parameters!$H$32),A5-1)*(M5-N5)</f>
        <v>1600.0</v>
      </c>
    </row>
    <row r="6" spans="1:26">
      <c r="A6" s="7">
        <v>2</v>
      </c>
      <c r="B6" s="7">
        <f>Parameters!$H$20</f>
        <v>1000</v>
      </c>
      <c r="C6" s="7">
        <f>X5+B6</f>
        <v>1728.0</v>
      </c>
      <c r="D6" s="7">
        <f>Y5</f>
        <v>72.00000000000001</v>
      </c>
      <c r="E6" s="7">
        <f>Parameters!$H$6*C6</f>
        <v>172.8</v>
      </c>
      <c r="F6" s="7">
        <f>IF(Parameters!$H$5=1,E6,0)</f>
        <v>0.0</v>
      </c>
      <c r="G6" s="7">
        <f>Parameters!$H$27*G5+F6</f>
        <v>0.0</v>
      </c>
      <c r="H6" s="7">
        <f>IF(AND(Parameters!$H$5=1,Parameters!$H$26=1),SUMPRODUCT(--($A$5:A6&lt;A6),--(MOD(A6-$A$5:A6,Parameters!$H$28)=0),$F$5:F6,POWER(Parameters!$H$27,IF(A6-$A$5:A6=0,1,A6-$A$5:A6))),0)</f>
        <v>0.0</v>
      </c>
      <c r="I6" s="7">
        <f>Parameters!$H$23*I5+B6*Parameters!$H$22</f>
        <v>0.0</v>
      </c>
      <c r="J6" s="7">
        <f>E6*Parameters!$H$14*(1-Parameters!$H$15)</f>
        <v>3283.2</v>
      </c>
      <c r="K6" s="7">
        <f>H6*Parameters!$H$29</f>
        <v>0.0</v>
      </c>
      <c r="L6" s="7">
        <f>I6*Parameters!$H$24</f>
        <v>0.0</v>
      </c>
      <c r="M6" s="7">
        <f>J6+K6+L6</f>
        <v>3283.2</v>
      </c>
      <c r="N6" s="7">
        <f>C6*Parameters!$H$17+D6*Parameters!$H$18+E6*Parameters!$H$16+I6*Parameters!$H$25+G6*Parameters!$H$30</f>
        <v>540.0</v>
      </c>
      <c r="O6" s="7">
        <f>B6*Parameters!$H$19</f>
        <v>4000</v>
      </c>
      <c r="P6" s="7">
        <f>M6-N6-O6</f>
        <v>-1256.8000000000002</v>
      </c>
      <c r="Q6" s="7">
        <f>Parameters!$H$21</f>
        <v>1000</v>
      </c>
      <c r="R6" s="7">
        <f>P6-Q6</f>
        <v>-2256.8</v>
      </c>
      <c r="S6" s="7">
        <f>IF(A6&lt;1+Parameters!$H$31,0,INDEX($M$5:$M$40,A6-Parameters!$H$31))</f>
        <v>1900.0</v>
      </c>
      <c r="T6" s="7">
        <f>T5+M6-S6</f>
        <v>3283.2</v>
      </c>
      <c r="U6" s="7">
        <f>S6-N6-O6-Q6</f>
        <v>-3640.0</v>
      </c>
      <c r="V6" s="7">
        <f>V5+U6</f>
        <v>-8940.0</v>
      </c>
      <c r="W6" s="7">
        <f>(1-Parameters!$H$7)*(C6-E6)+(1-Parameters!$H$8)*(D6+E6)</f>
        <v>360.0</v>
      </c>
      <c r="X6" s="7">
        <f>Parameters!$H$7*(C6-E6)+Parameters!$H$8*Parameters!$H$9*(D6+E6)</f>
        <v>1263.7440000000001</v>
      </c>
      <c r="Y6" s="7">
        <f>Parameters!$H$8*(1-Parameters!$H$9)*(D6+E6)</f>
        <v>176.25600000000003</v>
      </c>
      <c r="Z6" s="7">
        <f>POWER(1/(1+Parameters!$H$32),A6-1)*(M6-N6)</f>
        <v>2716.0396039603957</v>
      </c>
    </row>
    <row r="7" spans="1:26">
      <c r="A7" s="7">
        <v>3</v>
      </c>
      <c r="B7" s="7">
        <f>Parameters!$H$20</f>
        <v>1000</v>
      </c>
      <c r="C7" s="7">
        <f>X6+B7</f>
        <v>2263.744</v>
      </c>
      <c r="D7" s="7">
        <f>Y6</f>
        <v>176.25600000000003</v>
      </c>
      <c r="E7" s="7">
        <f>Parameters!$H$6*C7</f>
        <v>226.37440000000004</v>
      </c>
      <c r="F7" s="7">
        <f>IF(Parameters!$H$5=1,E7,0)</f>
        <v>0.0</v>
      </c>
      <c r="G7" s="7">
        <f>Parameters!$H$27*G6+F7</f>
        <v>0.0</v>
      </c>
      <c r="H7" s="7">
        <f>IF(AND(Parameters!$H$5=1,Parameters!$H$26=1),SUMPRODUCT(--($A$5:A7&lt;A7),--(MOD(A7-$A$5:A7,Parameters!$H$28)=0),$F$5:F7,POWER(Parameters!$H$27,IF(A7-$A$5:A7=0,1,A7-$A$5:A7))),0)</f>
        <v>0.0</v>
      </c>
      <c r="I7" s="7">
        <f>Parameters!$H$23*I6+B7*Parameters!$H$22</f>
        <v>0.0</v>
      </c>
      <c r="J7" s="7">
        <f>E7*Parameters!$H$14*(1-Parameters!$H$15)</f>
        <v>4301.113600000001</v>
      </c>
      <c r="K7" s="7">
        <f>H7*Parameters!$H$29</f>
        <v>0.0</v>
      </c>
      <c r="L7" s="7">
        <f>I7*Parameters!$H$24</f>
        <v>0.0</v>
      </c>
      <c r="M7" s="7">
        <f>J7+K7+L7</f>
        <v>4301.113600000001</v>
      </c>
      <c r="N7" s="7">
        <f>C7*Parameters!$H$17+D7*Parameters!$H$18+E7*Parameters!$H$16+I7*Parameters!$H$25+G7*Parameters!$H$30</f>
        <v>732.0000000000001</v>
      </c>
      <c r="O7" s="7">
        <f>B7*Parameters!$H$19</f>
        <v>4000</v>
      </c>
      <c r="P7" s="7">
        <f>M7-N7-O7</f>
        <v>-430.8863999999994</v>
      </c>
      <c r="Q7" s="7">
        <f>Parameters!$H$21</f>
        <v>1000</v>
      </c>
      <c r="R7" s="7">
        <f>P7-Q7</f>
        <v>-1430.8863999999994</v>
      </c>
      <c r="S7" s="7">
        <f>IF(A7&lt;1+Parameters!$H$31,0,INDEX($M$5:$M$40,A7-Parameters!$H$31))</f>
        <v>3283.2</v>
      </c>
      <c r="T7" s="7">
        <f>T6+M7-S7</f>
        <v>4301.113600000001</v>
      </c>
      <c r="U7" s="7">
        <f>S7-N7-O7-Q7</f>
        <v>-2448.8</v>
      </c>
      <c r="V7" s="7">
        <f>V6+U7</f>
        <v>-11388.8</v>
      </c>
      <c r="W7" s="7">
        <f>(1-Parameters!$H$7)*(C7-E7)+(1-Parameters!$H$8)*(D7+E7)</f>
        <v>488.0</v>
      </c>
      <c r="X7" s="7">
        <f>Parameters!$H$7*(C7-E7)+Parameters!$H$8*Parameters!$H$9*(D7+E7)</f>
        <v>1662.1061120000002</v>
      </c>
      <c r="Y7" s="7">
        <f>Parameters!$H$8*(1-Parameters!$H$9)*(D7+E7)</f>
        <v>289.89388800000006</v>
      </c>
      <c r="Z7" s="7">
        <f>POWER(1/(1+Parameters!$H$32),A7-1)*(M7-N7)</f>
        <v>3498.7879619645137</v>
      </c>
    </row>
    <row r="8" spans="1:26">
      <c r="A8" s="7">
        <v>4</v>
      </c>
      <c r="B8" s="7">
        <f>Parameters!$H$20</f>
        <v>1000</v>
      </c>
      <c r="C8" s="7">
        <f>X7+B8</f>
        <v>2662.1061120000004</v>
      </c>
      <c r="D8" s="7">
        <f>Y7</f>
        <v>289.89388800000006</v>
      </c>
      <c r="E8" s="7">
        <f>Parameters!$H$6*C8</f>
        <v>266.2106112</v>
      </c>
      <c r="F8" s="7">
        <f>IF(Parameters!$H$5=1,E8,0)</f>
        <v>0.0</v>
      </c>
      <c r="G8" s="7">
        <f>Parameters!$H$27*G7+F8</f>
        <v>0.0</v>
      </c>
      <c r="H8" s="7">
        <f>IF(AND(Parameters!$H$5=1,Parameters!$H$26=1),SUMPRODUCT(--($A$5:A8&lt;A8),--(MOD(A8-$A$5:A8,Parameters!$H$28)=0),$F$5:F8,POWER(Parameters!$H$27,IF(A8-$A$5:A8=0,1,A8-$A$5:A8))),0)</f>
        <v>0.0</v>
      </c>
      <c r="I8" s="7">
        <f>Parameters!$H$23*I7+B8*Parameters!$H$22</f>
        <v>0.0</v>
      </c>
      <c r="J8" s="7">
        <f>E8*Parameters!$H$14*(1-Parameters!$H$15)</f>
        <v>5058.001612800001</v>
      </c>
      <c r="K8" s="7">
        <f>H8*Parameters!$H$29</f>
        <v>0.0</v>
      </c>
      <c r="L8" s="7">
        <f>I8*Parameters!$H$24</f>
        <v>0.0</v>
      </c>
      <c r="M8" s="7">
        <f>J8+K8+L8</f>
        <v>5058.001612800001</v>
      </c>
      <c r="N8" s="7">
        <f>C8*Parameters!$H$17+D8*Parameters!$H$18+E8*Parameters!$H$16+I8*Parameters!$H$25+G8*Parameters!$H$30</f>
        <v>885.6000000000001</v>
      </c>
      <c r="O8" s="7">
        <f>B8*Parameters!$H$19</f>
        <v>4000</v>
      </c>
      <c r="P8" s="7">
        <f>M8-N8-O8</f>
        <v>172.4016128000003</v>
      </c>
      <c r="Q8" s="7">
        <f>Parameters!$H$21</f>
        <v>1000</v>
      </c>
      <c r="R8" s="7">
        <f>P8-Q8</f>
        <v>-827.5983871999997</v>
      </c>
      <c r="S8" s="7">
        <f>IF(A8&lt;1+Parameters!$H$31,0,INDEX($M$5:$M$40,A8-Parameters!$H$31))</f>
        <v>4301.113600000001</v>
      </c>
      <c r="T8" s="7">
        <f>T7+M8-S8</f>
        <v>5058.001612800001</v>
      </c>
      <c r="U8" s="7">
        <f>S8-N8-O8-Q8</f>
        <v>-1584.4863999999998</v>
      </c>
      <c r="V8" s="7">
        <f>V7+U8</f>
        <v>-12973.286399999999</v>
      </c>
      <c r="W8" s="7">
        <f>(1-Parameters!$H$7)*(C8-E8)+(1-Parameters!$H$8)*(D8+E8)</f>
        <v>590.4</v>
      </c>
      <c r="X8" s="7">
        <f>Parameters!$H$7*(C8-E8)+Parameters!$H$8*Parameters!$H$9*(D8+E8)</f>
        <v>1961.2047605760004</v>
      </c>
      <c r="Y8" s="7">
        <f>Parameters!$H$8*(1-Parameters!$H$9)*(D8+E8)</f>
        <v>400.3952394240001</v>
      </c>
      <c r="Z8" s="7">
        <f>POWER(1/(1+Parameters!$H$32),A8-1)*(M8-N8)</f>
        <v>4049.6918985810944</v>
      </c>
    </row>
    <row r="9" spans="1:26">
      <c r="A9" s="7">
        <v>5</v>
      </c>
      <c r="B9" s="7">
        <f>Parameters!$H$20</f>
        <v>1000</v>
      </c>
      <c r="C9" s="7">
        <f>X8+B9</f>
        <v>2961.2047605760004</v>
      </c>
      <c r="D9" s="7">
        <f>Y8</f>
        <v>400.3952394240001</v>
      </c>
      <c r="E9" s="7">
        <f>Parameters!$H$6*C9</f>
        <v>296.12047605760006</v>
      </c>
      <c r="F9" s="7">
        <f>IF(Parameters!$H$5=1,E9,0)</f>
        <v>0.0</v>
      </c>
      <c r="G9" s="7">
        <f>Parameters!$H$27*G8+F9</f>
        <v>0.0</v>
      </c>
      <c r="H9" s="7">
        <f>IF(AND(Parameters!$H$5=1,Parameters!$H$26=1),SUMPRODUCT(--($A$5:A9&lt;A9),--(MOD(A9-$A$5:A9,Parameters!$H$28)=0),$F$5:F9,POWER(Parameters!$H$27,IF(A9-$A$5:A9=0,1,A9-$A$5:A9))),0)</f>
        <v>0.0</v>
      </c>
      <c r="I9" s="7">
        <f>Parameters!$H$23*I8+B9*Parameters!$H$22</f>
        <v>0.0</v>
      </c>
      <c r="J9" s="7">
        <f>E9*Parameters!$H$14*(1-Parameters!$H$15)</f>
        <v>5626.289045094401</v>
      </c>
      <c r="K9" s="7">
        <f>H9*Parameters!$H$29</f>
        <v>0.0</v>
      </c>
      <c r="L9" s="7">
        <f>I9*Parameters!$H$24</f>
        <v>0.0</v>
      </c>
      <c r="M9" s="7">
        <f>J9+K9+L9</f>
        <v>5626.289045094401</v>
      </c>
      <c r="N9" s="7">
        <f>C9*Parameters!$H$17+D9*Parameters!$H$18+E9*Parameters!$H$16+I9*Parameters!$H$25+G9*Parameters!$H$30</f>
        <v>1008.4800000000002</v>
      </c>
      <c r="O9" s="7">
        <f>B9*Parameters!$H$19</f>
        <v>4000</v>
      </c>
      <c r="P9" s="7">
        <f>M9-N9-O9</f>
        <v>617.809045094401</v>
      </c>
      <c r="Q9" s="7">
        <f>Parameters!$H$21</f>
        <v>1000</v>
      </c>
      <c r="R9" s="7">
        <f>P9-Q9</f>
        <v>-382.190954905599</v>
      </c>
      <c r="S9" s="7">
        <f>IF(A9&lt;1+Parameters!$H$31,0,INDEX($M$5:$M$40,A9-Parameters!$H$31))</f>
        <v>5058.001612800001</v>
      </c>
      <c r="T9" s="7">
        <f>T8+M9-S9</f>
        <v>5626.289045094401</v>
      </c>
      <c r="U9" s="7">
        <f>S9-N9-O9-Q9</f>
        <v>-950.4783871999998</v>
      </c>
      <c r="V9" s="7">
        <f>V8+U9</f>
        <v>-13923.764787199998</v>
      </c>
      <c r="W9" s="7">
        <f>(1-Parameters!$H$7)*(C9-E9)+(1-Parameters!$H$8)*(D9+E9)</f>
        <v>672.32</v>
      </c>
      <c r="X9" s="7">
        <f>Parameters!$H$7*(C9-E9)+Parameters!$H$8*Parameters!$H$9*(D9+E9)</f>
        <v>2187.788684853248</v>
      </c>
      <c r="Y9" s="7">
        <f>Parameters!$H$8*(1-Parameters!$H$9)*(D9+E9)</f>
        <v>501.4913151467522</v>
      </c>
      <c r="Z9" s="7">
        <f>POWER(1/(1+Parameters!$H$32),A9-1)*(M9-N9)</f>
        <v>4437.623726910682</v>
      </c>
    </row>
    <row r="10" spans="1:26">
      <c r="A10" s="7">
        <v>6</v>
      </c>
      <c r="B10" s="7">
        <f>Parameters!$H$20</f>
        <v>1000</v>
      </c>
      <c r="C10" s="7">
        <f>X9+B10</f>
        <v>3187.7886848532485</v>
      </c>
      <c r="D10" s="7">
        <f>Y9</f>
        <v>501.4913151467522</v>
      </c>
      <c r="E10" s="7">
        <f>Parameters!$H$6*C10</f>
        <v>318.7788684853249</v>
      </c>
      <c r="F10" s="7">
        <f>IF(Parameters!$H$5=1,E10,0)</f>
        <v>0.0</v>
      </c>
      <c r="G10" s="7">
        <f>Parameters!$H$27*G9+F10</f>
        <v>0.0</v>
      </c>
      <c r="H10" s="7">
        <f>IF(AND(Parameters!$H$5=1,Parameters!$H$26=1),SUMPRODUCT(--($A$5:A10&lt;A10),--(MOD(A10-$A$5:A10,Parameters!$H$28)=0),$F$5:F10,POWER(Parameters!$H$27,IF(A10-$A$5:A10=0,1,A10-$A$5:A10))),0)</f>
        <v>0.0</v>
      </c>
      <c r="I10" s="7">
        <f>Parameters!$H$23*I9+B10*Parameters!$H$22</f>
        <v>0.0</v>
      </c>
      <c r="J10" s="7">
        <f>E10*Parameters!$H$14*(1-Parameters!$H$15)</f>
        <v>6056.798501221173</v>
      </c>
      <c r="K10" s="7">
        <f>H10*Parameters!$H$29</f>
        <v>0.0</v>
      </c>
      <c r="L10" s="7">
        <f>I10*Parameters!$H$24</f>
        <v>0.0</v>
      </c>
      <c r="M10" s="7">
        <f>J10+K10+L10</f>
        <v>6056.798501221173</v>
      </c>
      <c r="N10" s="7">
        <f>C10*Parameters!$H$17+D10*Parameters!$H$18+E10*Parameters!$H$16+I10*Parameters!$H$25+G10*Parameters!$H$30</f>
        <v>1106.7840000000003</v>
      </c>
      <c r="O10" s="7">
        <f>B10*Parameters!$H$19</f>
        <v>4000</v>
      </c>
      <c r="P10" s="7">
        <f>M10-N10-O10</f>
        <v>950.0145012211724</v>
      </c>
      <c r="Q10" s="7">
        <f>Parameters!$H$21</f>
        <v>1000</v>
      </c>
      <c r="R10" s="7">
        <f>P10-Q10</f>
        <v>-49.985498778827605</v>
      </c>
      <c r="S10" s="7">
        <f>IF(A10&lt;1+Parameters!$H$31,0,INDEX($M$5:$M$40,A10-Parameters!$H$31))</f>
        <v>5626.289045094401</v>
      </c>
      <c r="T10" s="7">
        <f>T9+M10-S10</f>
        <v>6056.798501221173</v>
      </c>
      <c r="U10" s="7">
        <f>S10-N10-O10-Q10</f>
        <v>-480.4949549055991</v>
      </c>
      <c r="V10" s="7">
        <f>V9+U10</f>
        <v>-14404.259742105598</v>
      </c>
      <c r="W10" s="7">
        <f>(1-Parameters!$H$7)*(C10-E10)+(1-Parameters!$H$8)*(D10+E10)</f>
        <v>737.856</v>
      </c>
      <c r="X10" s="7">
        <f>Parameters!$H$7*(C10-E10)+Parameters!$H$8*Parameters!$H$9*(D10+E10)</f>
        <v>2360.8294677849053</v>
      </c>
      <c r="Y10" s="7">
        <f>Parameters!$H$8*(1-Parameters!$H$9)*(D10+E10)</f>
        <v>590.5945322150956</v>
      </c>
      <c r="Z10" s="7">
        <f>POWER(1/(1+Parameters!$H$32),A10-1)*(M10-N10)</f>
        <v>4709.76895106778</v>
      </c>
    </row>
    <row r="11" spans="1:26">
      <c r="A11" s="7">
        <v>7</v>
      </c>
      <c r="B11" s="7">
        <f>Parameters!$H$20</f>
        <v>1000</v>
      </c>
      <c r="C11" s="7">
        <f>X10+B11</f>
        <v>3360.8294677849053</v>
      </c>
      <c r="D11" s="7">
        <f>Y10</f>
        <v>590.5945322150956</v>
      </c>
      <c r="E11" s="7">
        <f>Parameters!$H$6*C11</f>
        <v>336.08294677849057</v>
      </c>
      <c r="F11" s="7">
        <f>IF(Parameters!$H$5=1,E11,0)</f>
        <v>0.0</v>
      </c>
      <c r="G11" s="7">
        <f>Parameters!$H$27*G10+F11</f>
        <v>0.0</v>
      </c>
      <c r="H11" s="7">
        <f>IF(AND(Parameters!$H$5=1,Parameters!$H$26=1),SUMPRODUCT(--($A$5:A11&lt;A11),--(MOD(A11-$A$5:A11,Parameters!$H$28)=0),$F$5:F11,POWER(Parameters!$H$27,IF(A11-$A$5:A11=0,1,A11-$A$5:A11))),0)</f>
        <v>0.0</v>
      </c>
      <c r="I11" s="7">
        <f>Parameters!$H$23*I10+B11*Parameters!$H$22</f>
        <v>0.0</v>
      </c>
      <c r="J11" s="7">
        <f>E11*Parameters!$H$14*(1-Parameters!$H$15)</f>
        <v>6385.575988791321</v>
      </c>
      <c r="K11" s="7">
        <f>H11*Parameters!$H$29</f>
        <v>0.0</v>
      </c>
      <c r="L11" s="7">
        <f>I11*Parameters!$H$24</f>
        <v>0.0</v>
      </c>
      <c r="M11" s="7">
        <f>J11+K11+L11</f>
        <v>6385.575988791321</v>
      </c>
      <c r="N11" s="7">
        <f>C11*Parameters!$H$17+D11*Parameters!$H$18+E11*Parameters!$H$16+I11*Parameters!$H$25+G11*Parameters!$H$30</f>
        <v>1185.4272000000003</v>
      </c>
      <c r="O11" s="7">
        <f>B11*Parameters!$H$19</f>
        <v>4000</v>
      </c>
      <c r="P11" s="7">
        <f>M11-N11-O11</f>
        <v>1200.1487887913208</v>
      </c>
      <c r="Q11" s="7">
        <f>Parameters!$H$21</f>
        <v>1000</v>
      </c>
      <c r="R11" s="7">
        <f>P11-Q11</f>
        <v>200.14878879132084</v>
      </c>
      <c r="S11" s="7">
        <f>IF(A11&lt;1+Parameters!$H$31,0,INDEX($M$5:$M$40,A11-Parameters!$H$31))</f>
        <v>6056.798501221173</v>
      </c>
      <c r="T11" s="7">
        <f>T10+M11-S11</f>
        <v>6385.575988791321</v>
      </c>
      <c r="U11" s="7">
        <f>S11-N11-O11-Q11</f>
        <v>-128.62869877882713</v>
      </c>
      <c r="V11" s="7">
        <f>V10+U11</f>
        <v>-14532.888440884424</v>
      </c>
      <c r="W11" s="7">
        <f>(1-Parameters!$H$7)*(C11-E11)+(1-Parameters!$H$8)*(D11+E11)</f>
        <v>790.2848000000001</v>
      </c>
      <c r="X11" s="7">
        <f>Parameters!$H$7*(C11-E11)+Parameters!$H$8*Parameters!$H$9*(D11+E11)</f>
        <v>2493.931415124619</v>
      </c>
      <c r="Y11" s="7">
        <f>Parameters!$H$8*(1-Parameters!$H$9)*(D11+E11)</f>
        <v>667.2077848753821</v>
      </c>
      <c r="Z11" s="7">
        <f>POWER(1/(1+Parameters!$H$32),A11-1)*(M11-N11)</f>
        <v>4898.7753890937975</v>
      </c>
    </row>
    <row r="12" spans="1:26">
      <c r="A12" s="7">
        <v>8</v>
      </c>
      <c r="B12" s="7">
        <f>Parameters!$H$20</f>
        <v>1000</v>
      </c>
      <c r="C12" s="7">
        <f>X11+B12</f>
        <v>3493.931415124619</v>
      </c>
      <c r="D12" s="7">
        <f>Y11</f>
        <v>667.207784875382</v>
      </c>
      <c r="E12" s="7">
        <f>Parameters!$H$6*C12</f>
        <v>349.3931415124619</v>
      </c>
      <c r="F12" s="7">
        <f>IF(Parameters!$H$5=1,E12,0)</f>
        <v>0.0</v>
      </c>
      <c r="G12" s="7">
        <f>Parameters!$H$27*G11+F12</f>
        <v>0.0</v>
      </c>
      <c r="H12" s="7">
        <f>IF(AND(Parameters!$H$5=1,Parameters!$H$26=1),SUMPRODUCT(--($A$5:A12&lt;A12),--(MOD(A12-$A$5:A12,Parameters!$H$28)=0),$F$5:F12,POWER(Parameters!$H$27,IF(A12-$A$5:A12=0,1,A12-$A$5:A12))),0)</f>
        <v>0.0</v>
      </c>
      <c r="I12" s="7">
        <f>Parameters!$H$23*I11+B12*Parameters!$H$22</f>
        <v>0.0</v>
      </c>
      <c r="J12" s="7">
        <f>E12*Parameters!$H$14*(1-Parameters!$H$15)</f>
        <v>6638.469688736775</v>
      </c>
      <c r="K12" s="7">
        <f>H12*Parameters!$H$29</f>
        <v>0.0</v>
      </c>
      <c r="L12" s="7">
        <f>I12*Parameters!$H$24</f>
        <v>0.0</v>
      </c>
      <c r="M12" s="7">
        <f>J12+K12+L12</f>
        <v>6638.469688736775</v>
      </c>
      <c r="N12" s="7">
        <f>C12*Parameters!$H$17+D12*Parameters!$H$18+E12*Parameters!$H$16+I12*Parameters!$H$25+G12*Parameters!$H$30</f>
        <v>1248.3417600000002</v>
      </c>
      <c r="O12" s="7">
        <f>B12*Parameters!$H$19</f>
        <v>4000</v>
      </c>
      <c r="P12" s="7">
        <f>M12-N12-O12</f>
        <v>1390.1279287367752</v>
      </c>
      <c r="Q12" s="7">
        <f>Parameters!$H$21</f>
        <v>1000</v>
      </c>
      <c r="R12" s="7">
        <f>P12-Q12</f>
        <v>390.1279287367752</v>
      </c>
      <c r="S12" s="7">
        <f>IF(A12&lt;1+Parameters!$H$31,0,INDEX($M$5:$M$40,A12-Parameters!$H$31))</f>
        <v>6385.575988791321</v>
      </c>
      <c r="T12" s="7">
        <f>T11+M12-S12</f>
        <v>6638.469688736775</v>
      </c>
      <c r="U12" s="7">
        <f>S12-N12-O12-Q12</f>
        <v>137.23422879132067</v>
      </c>
      <c r="V12" s="7">
        <f>V11+U12</f>
        <v>-14395.654212093104</v>
      </c>
      <c r="W12" s="7">
        <f>(1-Parameters!$H$7)*(C12-E12)+(1-Parameters!$H$8)*(D12+E12)</f>
        <v>832.2278400000001</v>
      </c>
      <c r="X12" s="7">
        <f>Parameters!$H$7*(C12-E12)+Parameters!$H$8*Parameters!$H$9*(D12+E12)</f>
        <v>2596.958693000753</v>
      </c>
      <c r="Y12" s="7">
        <f>Parameters!$H$8*(1-Parameters!$H$9)*(D12+E12)</f>
        <v>731.9526669992476</v>
      </c>
      <c r="Z12" s="7">
        <f>POWER(1/(1+Parameters!$H$32),A12-1)*(M12-N12)</f>
        <v>5027.469636313966</v>
      </c>
    </row>
    <row r="13" spans="1:26">
      <c r="A13" s="7">
        <v>9</v>
      </c>
      <c r="B13" s="7">
        <f>Parameters!$H$20</f>
        <v>1000</v>
      </c>
      <c r="C13" s="7">
        <f>X12+B13</f>
        <v>3596.9586930007536</v>
      </c>
      <c r="D13" s="7">
        <f>Y12</f>
        <v>731.9526669992478</v>
      </c>
      <c r="E13" s="7">
        <f>Parameters!$H$6*C13</f>
        <v>359.69586930007534</v>
      </c>
      <c r="F13" s="7">
        <f>IF(Parameters!$H$5=1,E13,0)</f>
        <v>0.0</v>
      </c>
      <c r="G13" s="7">
        <f>Parameters!$H$27*G12+F13</f>
        <v>0.0</v>
      </c>
      <c r="H13" s="7">
        <f>IF(AND(Parameters!$H$5=1,Parameters!$H$26=1),SUMPRODUCT(--($A$5:A13&lt;A13),--(MOD(A13-$A$5:A13,Parameters!$H$28)=0),$F$5:F13,POWER(Parameters!$H$27,IF(A13-$A$5:A13=0,1,A13-$A$5:A13))),0)</f>
        <v>0.0</v>
      </c>
      <c r="I13" s="7">
        <f>Parameters!$H$23*I12+B13*Parameters!$H$22</f>
        <v>0.0</v>
      </c>
      <c r="J13" s="7">
        <f>E13*Parameters!$H$14*(1-Parameters!$H$15)</f>
        <v>6834.221516701431</v>
      </c>
      <c r="K13" s="7">
        <f>H13*Parameters!$H$29</f>
        <v>0.0</v>
      </c>
      <c r="L13" s="7">
        <f>I13*Parameters!$H$24</f>
        <v>0.0</v>
      </c>
      <c r="M13" s="7">
        <f>J13+K13+L13</f>
        <v>6834.221516701431</v>
      </c>
      <c r="N13" s="7">
        <f>C13*Parameters!$H$17+D13*Parameters!$H$18+E13*Parameters!$H$16+I13*Parameters!$H$25+G13*Parameters!$H$30</f>
        <v>1298.6734080000006</v>
      </c>
      <c r="O13" s="7">
        <f>B13*Parameters!$H$19</f>
        <v>4000</v>
      </c>
      <c r="P13" s="7">
        <f>M13-N13-O13</f>
        <v>1535.5481087014305</v>
      </c>
      <c r="Q13" s="7">
        <f>Parameters!$H$21</f>
        <v>1000</v>
      </c>
      <c r="R13" s="7">
        <f>P13-Q13</f>
        <v>535.5481087014305</v>
      </c>
      <c r="S13" s="7">
        <f>IF(A13&lt;1+Parameters!$H$31,0,INDEX($M$5:$M$40,A13-Parameters!$H$31))</f>
        <v>6638.469688736775</v>
      </c>
      <c r="T13" s="7">
        <f>T12+M13-S13</f>
        <v>6834.221516701431</v>
      </c>
      <c r="U13" s="7">
        <f>S13-N13-O13-Q13</f>
        <v>339.79628073677486</v>
      </c>
      <c r="V13" s="7">
        <f>V12+U13</f>
        <v>-14055.85793135633</v>
      </c>
      <c r="W13" s="7">
        <f>(1-Parameters!$H$7)*(C13-E13)+(1-Parameters!$H$8)*(D13+E13)</f>
        <v>865.7822720000001</v>
      </c>
      <c r="X13" s="7">
        <f>Parameters!$H$7*(C13-E13)+Parameters!$H$8*Parameters!$H$9*(D13+E13)</f>
        <v>2677.1421418644886</v>
      </c>
      <c r="Y13" s="7">
        <f>Parameters!$H$8*(1-Parameters!$H$9)*(D13+E13)</f>
        <v>785.9869461355127</v>
      </c>
      <c r="Z13" s="7">
        <f>POWER(1/(1+Parameters!$H$32),A13-1)*(M13-N13)</f>
        <v>5111.985805629465</v>
      </c>
    </row>
    <row r="14" spans="1:26">
      <c r="A14" s="7">
        <v>10</v>
      </c>
      <c r="B14" s="7">
        <f>Parameters!$H$20</f>
        <v>1000</v>
      </c>
      <c r="C14" s="7">
        <f>X13+B14</f>
        <v>3677.1421418644886</v>
      </c>
      <c r="D14" s="7">
        <f>Y13</f>
        <v>785.9869461355127</v>
      </c>
      <c r="E14" s="7">
        <f>Parameters!$H$6*C14</f>
        <v>367.7142141864489</v>
      </c>
      <c r="F14" s="7">
        <f>IF(Parameters!$H$5=1,E14,0)</f>
        <v>0.0</v>
      </c>
      <c r="G14" s="7">
        <f>Parameters!$H$27*G13+F14</f>
        <v>0.0</v>
      </c>
      <c r="H14" s="7">
        <f>IF(AND(Parameters!$H$5=1,Parameters!$H$26=1),SUMPRODUCT(--($A$5:A14&lt;A14),--(MOD(A14-$A$5:A14,Parameters!$H$28)=0),$F$5:F14,POWER(Parameters!$H$27,IF(A14-$A$5:A14=0,1,A14-$A$5:A14))),0)</f>
        <v>0.0</v>
      </c>
      <c r="I14" s="7">
        <f>Parameters!$H$23*I13+B14*Parameters!$H$22</f>
        <v>0.0</v>
      </c>
      <c r="J14" s="7">
        <f>E14*Parameters!$H$14*(1-Parameters!$H$15)</f>
        <v>6986.5700695425285</v>
      </c>
      <c r="K14" s="7">
        <f>H14*Parameters!$H$29</f>
        <v>0.0</v>
      </c>
      <c r="L14" s="7">
        <f>I14*Parameters!$H$24</f>
        <v>0.0</v>
      </c>
      <c r="M14" s="7">
        <f>J14+K14+L14</f>
        <v>6986.5700695425285</v>
      </c>
      <c r="N14" s="7">
        <f>C14*Parameters!$H$17+D14*Parameters!$H$18+E14*Parameters!$H$16+I14*Parameters!$H$25+G14*Parameters!$H$30</f>
        <v>1338.9387264000004</v>
      </c>
      <c r="O14" s="7">
        <f>B14*Parameters!$H$19</f>
        <v>4000</v>
      </c>
      <c r="P14" s="7">
        <f>M14-N14-O14</f>
        <v>1647.6313431425278</v>
      </c>
      <c r="Q14" s="7">
        <f>Parameters!$H$21</f>
        <v>1000</v>
      </c>
      <c r="R14" s="7">
        <f>P14-Q14</f>
        <v>647.6313431425278</v>
      </c>
      <c r="S14" s="7">
        <f>IF(A14&lt;1+Parameters!$H$31,0,INDEX($M$5:$M$40,A14-Parameters!$H$31))</f>
        <v>6834.221516701431</v>
      </c>
      <c r="T14" s="7">
        <f>T13+M14-S14</f>
        <v>6986.5700695425285</v>
      </c>
      <c r="U14" s="7">
        <f>S14-N14-O14-Q14</f>
        <v>495.2827903014304</v>
      </c>
      <c r="V14" s="7">
        <f>V13+U14</f>
        <v>-13560.575141054898</v>
      </c>
      <c r="W14" s="7">
        <f>(1-Parameters!$H$7)*(C14-E14)+(1-Parameters!$H$8)*(D14+E14)</f>
        <v>892.6258176000001</v>
      </c>
      <c r="X14" s="7">
        <f>Parameters!$H$7*(C14-E14)+Parameters!$H$8*Parameters!$H$9*(D14+E14)</f>
        <v>2739.838434968189</v>
      </c>
      <c r="Y14" s="7">
        <f>Parameters!$H$8*(1-Parameters!$H$9)*(D14+E14)</f>
        <v>830.6648354318124</v>
      </c>
      <c r="Z14" s="7">
        <f>POWER(1/(1+Parameters!$H$32),A14-1)*(M14-N14)</f>
        <v>5163.854249660762</v>
      </c>
    </row>
    <row r="15" spans="1:26">
      <c r="A15" s="7">
        <v>11</v>
      </c>
      <c r="B15" s="7">
        <f>Parameters!$H$20</f>
        <v>1000</v>
      </c>
      <c r="C15" s="7">
        <f>X14+B15</f>
        <v>3739.838434968189</v>
      </c>
      <c r="D15" s="7">
        <f>Y14</f>
        <v>830.6648354318124</v>
      </c>
      <c r="E15" s="7">
        <f>Parameters!$H$6*C15</f>
        <v>373.9838434968189</v>
      </c>
      <c r="F15" s="7">
        <f>IF(Parameters!$H$5=1,E15,0)</f>
        <v>0.0</v>
      </c>
      <c r="G15" s="7">
        <f>Parameters!$H$27*G14+F15</f>
        <v>0.0</v>
      </c>
      <c r="H15" s="7">
        <f>IF(AND(Parameters!$H$5=1,Parameters!$H$26=1),SUMPRODUCT(--($A$5:A15&lt;A15),--(MOD(A15-$A$5:A15,Parameters!$H$28)=0),$F$5:F15,POWER(Parameters!$H$27,IF(A15-$A$5:A15=0,1,A15-$A$5:A15))),0)</f>
        <v>0.0</v>
      </c>
      <c r="I15" s="7">
        <f>Parameters!$H$23*I14+B15*Parameters!$H$22</f>
        <v>0.0</v>
      </c>
      <c r="J15" s="7">
        <f>E15*Parameters!$H$14*(1-Parameters!$H$15)</f>
        <v>7105.693026439559</v>
      </c>
      <c r="K15" s="7">
        <f>H15*Parameters!$H$29</f>
        <v>0.0</v>
      </c>
      <c r="L15" s="7">
        <f>I15*Parameters!$H$24</f>
        <v>0.0</v>
      </c>
      <c r="M15" s="7">
        <f>J15+K15+L15</f>
        <v>7105.693026439559</v>
      </c>
      <c r="N15" s="7">
        <f>C15*Parameters!$H$17+D15*Parameters!$H$18+E15*Parameters!$H$16+I15*Parameters!$H$25+G15*Parameters!$H$30</f>
        <v>1371.1509811200006</v>
      </c>
      <c r="O15" s="7">
        <f>B15*Parameters!$H$19</f>
        <v>4000</v>
      </c>
      <c r="P15" s="7">
        <f>M15-N15-O15</f>
        <v>1734.5420453195584</v>
      </c>
      <c r="Q15" s="7">
        <f>Parameters!$H$21</f>
        <v>1000</v>
      </c>
      <c r="R15" s="7">
        <f>P15-Q15</f>
        <v>734.5420453195584</v>
      </c>
      <c r="S15" s="7">
        <f>IF(A15&lt;1+Parameters!$H$31,0,INDEX($M$5:$M$40,A15-Parameters!$H$31))</f>
        <v>6986.5700695425285</v>
      </c>
      <c r="T15" s="7">
        <f>T14+M15-S15</f>
        <v>7105.693026439559</v>
      </c>
      <c r="U15" s="7">
        <f>S15-N15-O15-Q15</f>
        <v>615.4190884225281</v>
      </c>
      <c r="V15" s="7">
        <f>V14+U15</f>
        <v>-12945.15605263237</v>
      </c>
      <c r="W15" s="7">
        <f>(1-Parameters!$H$7)*(C15-E15)+(1-Parameters!$H$8)*(D15+E15)</f>
        <v>914.1006540800001</v>
      </c>
      <c r="X15" s="7">
        <f>Parameters!$H$7*(C15-E15)+Parameters!$H$8*Parameters!$H$9*(D15+E15)</f>
        <v>2789.0555674913867</v>
      </c>
      <c r="Y15" s="7">
        <f>Parameters!$H$8*(1-Parameters!$H$9)*(D15+E15)</f>
        <v>867.3470488286147</v>
      </c>
      <c r="Z15" s="7">
        <f>POWER(1/(1+Parameters!$H$32),A15-1)*(M15-N15)</f>
        <v>5191.406104766214</v>
      </c>
    </row>
    <row r="16" spans="1:26">
      <c r="A16" s="7">
        <v>12</v>
      </c>
      <c r="B16" s="7">
        <f>Parameters!$H$20</f>
        <v>1000</v>
      </c>
      <c r="C16" s="7">
        <f>X15+B16</f>
        <v>3789.055567491387</v>
      </c>
      <c r="D16" s="7">
        <f>Y15</f>
        <v>867.3470488286147</v>
      </c>
      <c r="E16" s="7">
        <f>Parameters!$H$6*C16</f>
        <v>378.9055567491387</v>
      </c>
      <c r="F16" s="7">
        <f>IF(Parameters!$H$5=1,E16,0)</f>
        <v>0.0</v>
      </c>
      <c r="G16" s="7">
        <f>Parameters!$H$27*G15+F16</f>
        <v>0.0</v>
      </c>
      <c r="H16" s="7">
        <f>IF(AND(Parameters!$H$5=1,Parameters!$H$26=1),SUMPRODUCT(--($A$5:A16&lt;A16),--(MOD(A16-$A$5:A16,Parameters!$H$28)=0),$F$5:F16,POWER(Parameters!$H$27,IF(A16-$A$5:A16=0,1,A16-$A$5:A16))),0)</f>
        <v>0.0</v>
      </c>
      <c r="I16" s="7">
        <f>Parameters!$H$23*I15+B16*Parameters!$H$22</f>
        <v>0.0</v>
      </c>
      <c r="J16" s="7">
        <f>E16*Parameters!$H$14*(1-Parameters!$H$15)</f>
        <v>7199.205578233636</v>
      </c>
      <c r="K16" s="7">
        <f>H16*Parameters!$H$29</f>
        <v>0.0</v>
      </c>
      <c r="L16" s="7">
        <f>I16*Parameters!$H$24</f>
        <v>0.0</v>
      </c>
      <c r="M16" s="7">
        <f>J16+K16+L16</f>
        <v>7199.205578233636</v>
      </c>
      <c r="N16" s="7">
        <f>C16*Parameters!$H$17+D16*Parameters!$H$18+E16*Parameters!$H$16+I16*Parameters!$H$25+G16*Parameters!$H$30</f>
        <v>1396.9207848960004</v>
      </c>
      <c r="O16" s="7">
        <f>B16*Parameters!$H$19</f>
        <v>4000</v>
      </c>
      <c r="P16" s="7">
        <f>M16-N16-O16</f>
        <v>1802.2847933376352</v>
      </c>
      <c r="Q16" s="7">
        <f>Parameters!$H$21</f>
        <v>1000</v>
      </c>
      <c r="R16" s="7">
        <f>P16-Q16</f>
        <v>802.2847933376352</v>
      </c>
      <c r="S16" s="7">
        <f>IF(A16&lt;1+Parameters!$H$31,0,INDEX($M$5:$M$40,A16-Parameters!$H$31))</f>
        <v>7105.693026439559</v>
      </c>
      <c r="T16" s="7">
        <f>T15+M16-S16</f>
        <v>7199.205578233636</v>
      </c>
      <c r="U16" s="7">
        <f>S16-N16-O16-Q16</f>
        <v>708.7722415435583</v>
      </c>
      <c r="V16" s="7">
        <f>V15+U16</f>
        <v>-12236.383811088812</v>
      </c>
      <c r="W16" s="7">
        <f>(1-Parameters!$H$7)*(C16-E16)+(1-Parameters!$H$8)*(D16+E16)</f>
        <v>931.2805232640002</v>
      </c>
      <c r="X16" s="7">
        <f>Parameters!$H$7*(C16-E16)+Parameters!$H$8*Parameters!$H$9*(D16+E16)</f>
        <v>2827.820217040019</v>
      </c>
      <c r="Y16" s="7">
        <f>Parameters!$H$8*(1-Parameters!$H$9)*(D16+E16)</f>
        <v>897.3018760159825</v>
      </c>
      <c r="Z16" s="7">
        <f>POWER(1/(1+Parameters!$H$32),A16-1)*(M16-N16)</f>
        <v>5200.725476061419</v>
      </c>
    </row>
    <row r="17" spans="1:26">
      <c r="A17" s="7">
        <v>13</v>
      </c>
      <c r="B17" s="7">
        <f>Parameters!$H$20</f>
        <v>1000</v>
      </c>
      <c r="C17" s="7">
        <f>X16+B17</f>
        <v>3827.820217040019</v>
      </c>
      <c r="D17" s="7">
        <f>Y16</f>
        <v>897.3018760159825</v>
      </c>
      <c r="E17" s="7">
        <f>Parameters!$H$6*C17</f>
        <v>382.7820217040019</v>
      </c>
      <c r="F17" s="7">
        <f>IF(Parameters!$H$5=1,E17,0)</f>
        <v>0.0</v>
      </c>
      <c r="G17" s="7">
        <f>Parameters!$H$27*G16+F17</f>
        <v>0.0</v>
      </c>
      <c r="H17" s="7">
        <f>IF(AND(Parameters!$H$5=1,Parameters!$H$26=1),SUMPRODUCT(--($A$5:A17&lt;A17),--(MOD(A17-$A$5:A17,Parameters!$H$28)=0),$F$5:F17,POWER(Parameters!$H$27,IF(A17-$A$5:A17=0,1,A17-$A$5:A17))),0)</f>
        <v>0.0</v>
      </c>
      <c r="I17" s="7">
        <f>Parameters!$H$23*I16+B17*Parameters!$H$22</f>
        <v>0.0</v>
      </c>
      <c r="J17" s="7">
        <f>E17*Parameters!$H$14*(1-Parameters!$H$15)</f>
        <v>7272.858412376036</v>
      </c>
      <c r="K17" s="7">
        <f>H17*Parameters!$H$29</f>
        <v>0.0</v>
      </c>
      <c r="L17" s="7">
        <f>I17*Parameters!$H$24</f>
        <v>0.0</v>
      </c>
      <c r="M17" s="7">
        <f>J17+K17+L17</f>
        <v>7272.858412376036</v>
      </c>
      <c r="N17" s="7">
        <f>C17*Parameters!$H$17+D17*Parameters!$H$18+E17*Parameters!$H$16+I17*Parameters!$H$25+G17*Parameters!$H$30</f>
        <v>1417.5366279168004</v>
      </c>
      <c r="O17" s="7">
        <f>B17*Parameters!$H$19</f>
        <v>4000</v>
      </c>
      <c r="P17" s="7">
        <f>M17-N17-O17</f>
        <v>1855.3217844592355</v>
      </c>
      <c r="Q17" s="7">
        <f>Parameters!$H$21</f>
        <v>1000</v>
      </c>
      <c r="R17" s="7">
        <f>P17-Q17</f>
        <v>855.3217844592355</v>
      </c>
      <c r="S17" s="7">
        <f>IF(A17&lt;1+Parameters!$H$31,0,INDEX($M$5:$M$40,A17-Parameters!$H$31))</f>
        <v>7199.205578233636</v>
      </c>
      <c r="T17" s="7">
        <f>T16+M17-S17</f>
        <v>7272.858412376036</v>
      </c>
      <c r="U17" s="7">
        <f>S17-N17-O17-Q17</f>
        <v>781.6689503168354</v>
      </c>
      <c r="V17" s="7">
        <f>V16+U17</f>
        <v>-11454.714860771976</v>
      </c>
      <c r="W17" s="7">
        <f>(1-Parameters!$H$7)*(C17-E17)+(1-Parameters!$H$8)*(D17+E17)</f>
        <v>945.0244186112002</v>
      </c>
      <c r="X17" s="7">
        <f>Parameters!$H$7*(C17-E17)+Parameters!$H$8*Parameters!$H$9*(D17+E17)</f>
        <v>2858.4372680864126</v>
      </c>
      <c r="Y17" s="7">
        <f>Parameters!$H$8*(1-Parameters!$H$9)*(D17+E17)</f>
        <v>921.6604063583889</v>
      </c>
      <c r="Z17" s="7">
        <f>POWER(1/(1+Parameters!$H$32),A17-1)*(M17-N17)</f>
        <v>5196.300781296525</v>
      </c>
    </row>
    <row r="18" spans="1:26">
      <c r="A18" s="7">
        <v>14</v>
      </c>
      <c r="B18" s="7">
        <f>Parameters!$H$20</f>
        <v>1000</v>
      </c>
      <c r="C18" s="7">
        <f>X17+B18</f>
        <v>3858.437268086413</v>
      </c>
      <c r="D18" s="7">
        <f>Y17</f>
        <v>921.6604063583889</v>
      </c>
      <c r="E18" s="7">
        <f>Parameters!$H$6*C18</f>
        <v>385.8437268086413</v>
      </c>
      <c r="F18" s="7">
        <f>IF(Parameters!$H$5=1,E18,0)</f>
        <v>0.0</v>
      </c>
      <c r="G18" s="7">
        <f>Parameters!$H$27*G17+F18</f>
        <v>0.0</v>
      </c>
      <c r="H18" s="7">
        <f>IF(AND(Parameters!$H$5=1,Parameters!$H$26=1),SUMPRODUCT(--($A$5:A18&lt;A18),--(MOD(A18-$A$5:A18,Parameters!$H$28)=0),$F$5:F18,POWER(Parameters!$H$27,IF(A18-$A$5:A18=0,1,A18-$A$5:A18))),0)</f>
        <v>0.0</v>
      </c>
      <c r="I18" s="7">
        <f>Parameters!$H$23*I17+B18*Parameters!$H$22</f>
        <v>0.0</v>
      </c>
      <c r="J18" s="7">
        <f>E18*Parameters!$H$14*(1-Parameters!$H$15)</f>
        <v>7331.030809364184</v>
      </c>
      <c r="K18" s="7">
        <f>H18*Parameters!$H$29</f>
        <v>0.0</v>
      </c>
      <c r="L18" s="7">
        <f>I18*Parameters!$H$24</f>
        <v>0.0</v>
      </c>
      <c r="M18" s="7">
        <f>J18+K18+L18</f>
        <v>7331.030809364184</v>
      </c>
      <c r="N18" s="7">
        <f>C18*Parameters!$H$17+D18*Parameters!$H$18+E18*Parameters!$H$16+I18*Parameters!$H$25+G18*Parameters!$H$30</f>
        <v>1434.0293023334407</v>
      </c>
      <c r="O18" s="7">
        <f>B18*Parameters!$H$19</f>
        <v>4000</v>
      </c>
      <c r="P18" s="7">
        <f>M18-N18-O18</f>
        <v>1897.0015070307436</v>
      </c>
      <c r="Q18" s="7">
        <f>Parameters!$H$21</f>
        <v>1000</v>
      </c>
      <c r="R18" s="7">
        <f>P18-Q18</f>
        <v>897.0015070307436</v>
      </c>
      <c r="S18" s="7">
        <f>IF(A18&lt;1+Parameters!$H$31,0,INDEX($M$5:$M$40,A18-Parameters!$H$31))</f>
        <v>7272.858412376036</v>
      </c>
      <c r="T18" s="7">
        <f>T17+M18-S18</f>
        <v>7331.030809364184</v>
      </c>
      <c r="U18" s="7">
        <f>S18-N18-O18-Q18</f>
        <v>838.829110042595</v>
      </c>
      <c r="V18" s="7">
        <f>V17+U18</f>
        <v>-10615.88575072938</v>
      </c>
      <c r="W18" s="7">
        <f>(1-Parameters!$H$7)*(C18-E18)+(1-Parameters!$H$8)*(D18+E18)</f>
        <v>956.0195348889603</v>
      </c>
      <c r="X18" s="7">
        <f>Parameters!$H$7*(C18-E18)+Parameters!$H$8*Parameters!$H$9*(D18+E18)</f>
        <v>2882.6751636755803</v>
      </c>
      <c r="Y18" s="7">
        <f>Parameters!$H$8*(1-Parameters!$H$9)*(D18+E18)</f>
        <v>941.4029758802618</v>
      </c>
      <c r="Z18" s="7">
        <f>POWER(1/(1+Parameters!$H$32),A18-1)*(M18-N18)</f>
        <v>5181.474672081066</v>
      </c>
    </row>
    <row r="19" spans="1:26">
      <c r="A19" s="7">
        <v>15</v>
      </c>
      <c r="B19" s="7">
        <f>Parameters!$H$20</f>
        <v>1000</v>
      </c>
      <c r="C19" s="7">
        <f>X18+B19</f>
        <v>3882.6751636755803</v>
      </c>
      <c r="D19" s="7">
        <f>Y18</f>
        <v>941.4029758802618</v>
      </c>
      <c r="E19" s="7">
        <f>Parameters!$H$6*C19</f>
        <v>388.267516367558</v>
      </c>
      <c r="F19" s="7">
        <f>IF(Parameters!$H$5=1,E19,0)</f>
        <v>0.0</v>
      </c>
      <c r="G19" s="7">
        <f>Parameters!$H$27*G18+F19</f>
        <v>0.0</v>
      </c>
      <c r="H19" s="7">
        <f>IF(AND(Parameters!$H$5=1,Parameters!$H$26=1),SUMPRODUCT(--($A$5:A19&lt;A19),--(MOD(A19-$A$5:A19,Parameters!$H$28)=0),$F$5:F19,POWER(Parameters!$H$27,IF(A19-$A$5:A19=0,1,A19-$A$5:A19))),0)</f>
        <v>0.0</v>
      </c>
      <c r="I19" s="7">
        <f>Parameters!$H$23*I18+B19*Parameters!$H$22</f>
        <v>0.0</v>
      </c>
      <c r="J19" s="7">
        <f>E19*Parameters!$H$14*(1-Parameters!$H$15)</f>
        <v>7377.082810983602</v>
      </c>
      <c r="K19" s="7">
        <f>H19*Parameters!$H$29</f>
        <v>0.0</v>
      </c>
      <c r="L19" s="7">
        <f>I19*Parameters!$H$24</f>
        <v>0.0</v>
      </c>
      <c r="M19" s="7">
        <f>J19+K19+L19</f>
        <v>7377.082810983602</v>
      </c>
      <c r="N19" s="7">
        <f>C19*Parameters!$H$17+D19*Parameters!$H$18+E19*Parameters!$H$16+I19*Parameters!$H$25+G19*Parameters!$H$30</f>
        <v>1447.2234418667526</v>
      </c>
      <c r="O19" s="7">
        <f>B19*Parameters!$H$19</f>
        <v>4000</v>
      </c>
      <c r="P19" s="7">
        <f>M19-N19-O19</f>
        <v>1929.8593691168498</v>
      </c>
      <c r="Q19" s="7">
        <f>Parameters!$H$21</f>
        <v>1000</v>
      </c>
      <c r="R19" s="7">
        <f>P19-Q19</f>
        <v>929.8593691168498</v>
      </c>
      <c r="S19" s="7">
        <f>IF(A19&lt;1+Parameters!$H$31,0,INDEX($M$5:$M$40,A19-Parameters!$H$31))</f>
        <v>7331.030809364184</v>
      </c>
      <c r="T19" s="7">
        <f>T18+M19-S19</f>
        <v>7377.082810983602</v>
      </c>
      <c r="U19" s="7">
        <f>S19-N19-O19-Q19</f>
        <v>883.8073674974312</v>
      </c>
      <c r="V19" s="7">
        <f>V18+U19</f>
        <v>-9732.078383231948</v>
      </c>
      <c r="W19" s="7">
        <f>(1-Parameters!$H$7)*(C19-E19)+(1-Parameters!$H$8)*(D19+E19)</f>
        <v>964.8156279111682</v>
      </c>
      <c r="X19" s="7">
        <f>Parameters!$H$7*(C19-E19)+Parameters!$H$8*Parameters!$H$9*(D19+E19)</f>
        <v>2901.8997572262438</v>
      </c>
      <c r="Y19" s="7">
        <f>Parameters!$H$8*(1-Parameters!$H$9)*(D19+E19)</f>
        <v>957.3627544184303</v>
      </c>
      <c r="Z19" s="7">
        <f>POWER(1/(1+Parameters!$H$32),A19-1)*(M19-N19)</f>
        <v>5158.75806592889</v>
      </c>
    </row>
    <row r="20" spans="1:26">
      <c r="A20" s="7">
        <v>16</v>
      </c>
      <c r="B20" s="7">
        <f>Parameters!$H$20</f>
        <v>1000</v>
      </c>
      <c r="C20" s="7">
        <f>X19+B20</f>
        <v>3901.8997572262438</v>
      </c>
      <c r="D20" s="7">
        <f>Y19</f>
        <v>957.3627544184304</v>
      </c>
      <c r="E20" s="7">
        <f>Parameters!$H$6*C20</f>
        <v>390.18997572262435</v>
      </c>
      <c r="F20" s="7">
        <f>IF(Parameters!$H$5=1,E20,0)</f>
        <v>0.0</v>
      </c>
      <c r="G20" s="7">
        <f>Parameters!$H$27*G19+F20</f>
        <v>0.0</v>
      </c>
      <c r="H20" s="7">
        <f>IF(AND(Parameters!$H$5=1,Parameters!$H$26=1),SUMPRODUCT(--($A$5:A20&lt;A20),--(MOD(A20-$A$5:A20,Parameters!$H$28)=0),$F$5:F20,POWER(Parameters!$H$27,IF(A20-$A$5:A20=0,1,A20-$A$5:A20))),0)</f>
        <v>0.0</v>
      </c>
      <c r="I20" s="7">
        <f>Parameters!$H$23*I19+B20*Parameters!$H$22</f>
        <v>0.0</v>
      </c>
      <c r="J20" s="7">
        <f>E20*Parameters!$H$14*(1-Parameters!$H$15)</f>
        <v>7413.609538729862</v>
      </c>
      <c r="K20" s="7">
        <f>H20*Parameters!$H$29</f>
        <v>0.0</v>
      </c>
      <c r="L20" s="7">
        <f>I20*Parameters!$H$24</f>
        <v>0.0</v>
      </c>
      <c r="M20" s="7">
        <f>J20+K20+L20</f>
        <v>7413.609538729862</v>
      </c>
      <c r="N20" s="7">
        <f>C20*Parameters!$H$17+D20*Parameters!$H$18+E20*Parameters!$H$16+I20*Parameters!$H$25+G20*Parameters!$H$30</f>
        <v>1457.7787534934023</v>
      </c>
      <c r="O20" s="7">
        <f>B20*Parameters!$H$19</f>
        <v>4000</v>
      </c>
      <c r="P20" s="7">
        <f>M20-N20-O20</f>
        <v>1955.8307852364596</v>
      </c>
      <c r="Q20" s="7">
        <f>Parameters!$H$21</f>
        <v>1000</v>
      </c>
      <c r="R20" s="7">
        <f>P20-Q20</f>
        <v>955.8307852364596</v>
      </c>
      <c r="S20" s="7">
        <f>IF(A20&lt;1+Parameters!$H$31,0,INDEX($M$5:$M$40,A20-Parameters!$H$31))</f>
        <v>7377.082810983602</v>
      </c>
      <c r="T20" s="7">
        <f>T19+M20-S20</f>
        <v>7413.609538729862</v>
      </c>
      <c r="U20" s="7">
        <f>S20-N20-O20-Q20</f>
        <v>919.3040574901997</v>
      </c>
      <c r="V20" s="7">
        <f>V19+U20</f>
        <v>-8812.77432574175</v>
      </c>
      <c r="W20" s="7">
        <f>(1-Parameters!$H$7)*(C20-E20)+(1-Parameters!$H$8)*(D20+E20)</f>
        <v>971.8525023289346</v>
      </c>
      <c r="X20" s="7">
        <f>Parameters!$H$7*(C20-E20)+Parameters!$H$8*Parameters!$H$9*(D20+E20)</f>
        <v>2917.1720436141804</v>
      </c>
      <c r="Y20" s="7">
        <f>Parameters!$H$8*(1-Parameters!$H$9)*(D20+E20)</f>
        <v>970.2379657015596</v>
      </c>
      <c r="Z20" s="7">
        <f>POWER(1/(1+Parameters!$H$32),A20-1)*(M20-N20)</f>
        <v>5130.051719030116</v>
      </c>
    </row>
    <row r="21" spans="1:26">
      <c r="A21" s="7">
        <v>17</v>
      </c>
      <c r="B21" s="7">
        <f>Parameters!$H$20</f>
        <v>1000</v>
      </c>
      <c r="C21" s="7">
        <f>X20+B21</f>
        <v>3917.17204361418</v>
      </c>
      <c r="D21" s="7">
        <f>Y20</f>
        <v>970.2379657015596</v>
      </c>
      <c r="E21" s="7">
        <f>Parameters!$H$6*C21</f>
        <v>391.71720436141806</v>
      </c>
      <c r="F21" s="7">
        <f>IF(Parameters!$H$5=1,E21,0)</f>
        <v>0.0</v>
      </c>
      <c r="G21" s="7">
        <f>Parameters!$H$27*G20+F21</f>
        <v>0.0</v>
      </c>
      <c r="H21" s="7">
        <f>IF(AND(Parameters!$H$5=1,Parameters!$H$26=1),SUMPRODUCT(--($A$5:A21&lt;A21),--(MOD(A21-$A$5:A21,Parameters!$H$28)=0),$F$5:F21,POWER(Parameters!$H$27,IF(A21-$A$5:A21=0,1,A21-$A$5:A21))),0)</f>
        <v>0.0</v>
      </c>
      <c r="I21" s="7">
        <f>Parameters!$H$23*I20+B21*Parameters!$H$22</f>
        <v>0.0</v>
      </c>
      <c r="J21" s="7">
        <f>E21*Parameters!$H$14*(1-Parameters!$H$15)</f>
        <v>7442.626882866943</v>
      </c>
      <c r="K21" s="7">
        <f>H21*Parameters!$H$29</f>
        <v>0.0</v>
      </c>
      <c r="L21" s="7">
        <f>I21*Parameters!$H$24</f>
        <v>0.0</v>
      </c>
      <c r="M21" s="7">
        <f>J21+K21+L21</f>
        <v>7442.626882866943</v>
      </c>
      <c r="N21" s="7">
        <f>C21*Parameters!$H$17+D21*Parameters!$H$18+E21*Parameters!$H$16+I21*Parameters!$H$25+G21*Parameters!$H$30</f>
        <v>1466.2230027947219</v>
      </c>
      <c r="O21" s="7">
        <f>B21*Parameters!$H$19</f>
        <v>4000</v>
      </c>
      <c r="P21" s="7">
        <f>M21-N21-O21</f>
        <v>1976.403880072221</v>
      </c>
      <c r="Q21" s="7">
        <f>Parameters!$H$21</f>
        <v>1000</v>
      </c>
      <c r="R21" s="7">
        <f>P21-Q21</f>
        <v>976.403880072221</v>
      </c>
      <c r="S21" s="7">
        <f>IF(A21&lt;1+Parameters!$H$31,0,INDEX($M$5:$M$40,A21-Parameters!$H$31))</f>
        <v>7413.609538729862</v>
      </c>
      <c r="T21" s="7">
        <f>T20+M21-S21</f>
        <v>7442.626882866943</v>
      </c>
      <c r="U21" s="7">
        <f>S21-N21-O21-Q21</f>
        <v>947.3865359351403</v>
      </c>
      <c r="V21" s="7">
        <f>V20+U21</f>
        <v>-7865.387789806609</v>
      </c>
      <c r="W21" s="7">
        <f>(1-Parameters!$H$7)*(C21-E21)+(1-Parameters!$H$8)*(D21+E21)</f>
        <v>977.4820018631477</v>
      </c>
      <c r="X21" s="7">
        <f>Parameters!$H$7*(C21-E21)+Parameters!$H$8*Parameters!$H$9*(D21+E21)</f>
        <v>2929.3202850072475</v>
      </c>
      <c r="Y21" s="7">
        <f>Parameters!$H$8*(1-Parameters!$H$9)*(D21+E21)</f>
        <v>980.607722445344</v>
      </c>
      <c r="Z21" s="7">
        <f>POWER(1/(1+Parameters!$H$32),A21-1)*(M21-N21)</f>
        <v>5096.804300457914</v>
      </c>
    </row>
    <row r="22" spans="1:26">
      <c r="A22" s="7">
        <v>18</v>
      </c>
      <c r="B22" s="7">
        <f>Parameters!$H$20</f>
        <v>1000</v>
      </c>
      <c r="C22" s="7">
        <f>X21+B22</f>
        <v>3929.3202850072485</v>
      </c>
      <c r="D22" s="7">
        <f>Y21</f>
        <v>980.6077224453439</v>
      </c>
      <c r="E22" s="7">
        <f>Parameters!$H$6*C22</f>
        <v>392.9320285007248</v>
      </c>
      <c r="F22" s="7">
        <f>IF(Parameters!$H$5=1,E22,0)</f>
        <v>0.0</v>
      </c>
      <c r="G22" s="7">
        <f>Parameters!$H$27*G21+F22</f>
        <v>0.0</v>
      </c>
      <c r="H22" s="7">
        <f>IF(AND(Parameters!$H$5=1,Parameters!$H$26=1),SUMPRODUCT(--($A$5:A22&lt;A22),--(MOD(A22-$A$5:A22,Parameters!$H$28)=0),$F$5:F22,POWER(Parameters!$H$27,IF(A22-$A$5:A22=0,1,A22-$A$5:A22))),0)</f>
        <v>0.0</v>
      </c>
      <c r="I22" s="7">
        <f>Parameters!$H$23*I21+B22*Parameters!$H$22</f>
        <v>0.0</v>
      </c>
      <c r="J22" s="7">
        <f>E22*Parameters!$H$14*(1-Parameters!$H$15)</f>
        <v>7465.708541513771</v>
      </c>
      <c r="K22" s="7">
        <f>H22*Parameters!$H$29</f>
        <v>0.0</v>
      </c>
      <c r="L22" s="7">
        <f>I22*Parameters!$H$24</f>
        <v>0.0</v>
      </c>
      <c r="M22" s="7">
        <f>J22+K22+L22</f>
        <v>7465.708541513771</v>
      </c>
      <c r="N22" s="7">
        <f>C22*Parameters!$H$17+D22*Parameters!$H$18+E22*Parameters!$H$16+I22*Parameters!$H$25+G22*Parameters!$H$30</f>
        <v>1472.9784022357776</v>
      </c>
      <c r="O22" s="7">
        <f>B22*Parameters!$H$19</f>
        <v>4000</v>
      </c>
      <c r="P22" s="7">
        <f>M22-N22-O22</f>
        <v>1992.7301392779937</v>
      </c>
      <c r="Q22" s="7">
        <f>Parameters!$H$21</f>
        <v>1000</v>
      </c>
      <c r="R22" s="7">
        <f>P22-Q22</f>
        <v>992.7301392779937</v>
      </c>
      <c r="S22" s="7">
        <f>IF(A22&lt;1+Parameters!$H$31,0,INDEX($M$5:$M$40,A22-Parameters!$H$31))</f>
        <v>7442.626882866943</v>
      </c>
      <c r="T22" s="7">
        <f>T21+M22-S22</f>
        <v>7465.708541513771</v>
      </c>
      <c r="U22" s="7">
        <f>S22-N22-O22-Q22</f>
        <v>969.6484806311655</v>
      </c>
      <c r="V22" s="7">
        <f>V21+U22</f>
        <v>-6895.739309175444</v>
      </c>
      <c r="W22" s="7">
        <f>(1-Parameters!$H$7)*(C22-E22)+(1-Parameters!$H$8)*(D22+E22)</f>
        <v>981.9856014905183</v>
      </c>
      <c r="X22" s="7">
        <f>Parameters!$H$7*(C22-E22)+Parameters!$H$8*Parameters!$H$9*(D22+E22)</f>
        <v>2938.993785280905</v>
      </c>
      <c r="Y22" s="7">
        <f>Parameters!$H$8*(1-Parameters!$H$9)*(D22+E22)</f>
        <v>988.9486206811697</v>
      </c>
      <c r="Z22" s="7">
        <f>POWER(1/(1+Parameters!$H$32),A22-1)*(M22-N22)</f>
        <v>5060.126417268206</v>
      </c>
    </row>
    <row r="23" spans="1:26">
      <c r="A23" s="7">
        <v>19</v>
      </c>
      <c r="B23" s="7">
        <f>Parameters!$H$20</f>
        <v>1000</v>
      </c>
      <c r="C23" s="7">
        <f>X22+B23</f>
        <v>3938.993785280905</v>
      </c>
      <c r="D23" s="7">
        <f>Y22</f>
        <v>988.9486206811696</v>
      </c>
      <c r="E23" s="7">
        <f>Parameters!$H$6*C23</f>
        <v>393.8993785280905</v>
      </c>
      <c r="F23" s="7">
        <f>IF(Parameters!$H$5=1,E23,0)</f>
        <v>0.0</v>
      </c>
      <c r="G23" s="7">
        <f>Parameters!$H$27*G22+F23</f>
        <v>0.0</v>
      </c>
      <c r="H23" s="7">
        <f>IF(AND(Parameters!$H$5=1,Parameters!$H$26=1),SUMPRODUCT(--($A$5:A23&lt;A23),--(MOD(A23-$A$5:A23,Parameters!$H$28)=0),$F$5:F23,POWER(Parameters!$H$27,IF(A23-$A$5:A23=0,1,A23-$A$5:A23))),0)</f>
        <v>0.0</v>
      </c>
      <c r="I23" s="7">
        <f>Parameters!$H$23*I22+B23*Parameters!$H$22</f>
        <v>0.0</v>
      </c>
      <c r="J23" s="7">
        <f>E23*Parameters!$H$14*(1-Parameters!$H$15)</f>
        <v>7484.088192033719</v>
      </c>
      <c r="K23" s="7">
        <f>H23*Parameters!$H$29</f>
        <v>0.0</v>
      </c>
      <c r="L23" s="7">
        <f>I23*Parameters!$H$24</f>
        <v>0.0</v>
      </c>
      <c r="M23" s="7">
        <f>J23+K23+L23</f>
        <v>7484.088192033719</v>
      </c>
      <c r="N23" s="7">
        <f>C23*Parameters!$H$17+D23*Parameters!$H$18+E23*Parameters!$H$16+I23*Parameters!$H$25+G23*Parameters!$H$30</f>
        <v>1478.3827217886223</v>
      </c>
      <c r="O23" s="7">
        <f>B23*Parameters!$H$19</f>
        <v>4000</v>
      </c>
      <c r="P23" s="7">
        <f>M23-N23-O23</f>
        <v>2005.7054702450969</v>
      </c>
      <c r="Q23" s="7">
        <f>Parameters!$H$21</f>
        <v>1000</v>
      </c>
      <c r="R23" s="7">
        <f>P23-Q23</f>
        <v>1005.7054702450969</v>
      </c>
      <c r="S23" s="7">
        <f>IF(A23&lt;1+Parameters!$H$31,0,INDEX($M$5:$M$40,A23-Parameters!$H$31))</f>
        <v>7465.708541513771</v>
      </c>
      <c r="T23" s="7">
        <f>T22+M23-S23</f>
        <v>7484.088192033719</v>
      </c>
      <c r="U23" s="7">
        <f>S23-N23-O23-Q23</f>
        <v>987.3258197251489</v>
      </c>
      <c r="V23" s="7">
        <f>V22+U23</f>
        <v>-5908.413489450295</v>
      </c>
      <c r="W23" s="7">
        <f>(1-Parameters!$H$7)*(C23-E23)+(1-Parameters!$H$8)*(D23+E23)</f>
        <v>985.5884811924146</v>
      </c>
      <c r="X23" s="7">
        <f>Parameters!$H$7*(C23-E23)+Parameters!$H$8*Parameters!$H$9*(D23+E23)</f>
        <v>2946.703365338992</v>
      </c>
      <c r="Y23" s="7">
        <f>Parameters!$H$8*(1-Parameters!$H$9)*(D23+E23)</f>
        <v>995.6505594306674</v>
      </c>
      <c r="Z23" s="7">
        <f>POWER(1/(1+Parameters!$H$32),A23-1)*(M23-N23)</f>
        <v>5020.873757056954</v>
      </c>
    </row>
    <row r="24" spans="1:26">
      <c r="A24" s="7">
        <v>20</v>
      </c>
      <c r="B24" s="7">
        <f>Parameters!$H$20</f>
        <v>1000</v>
      </c>
      <c r="C24" s="7">
        <f>X23+B24</f>
        <v>3946.7033653389926</v>
      </c>
      <c r="D24" s="7">
        <f>Y23</f>
        <v>995.6505594306674</v>
      </c>
      <c r="E24" s="7">
        <f>Parameters!$H$6*C24</f>
        <v>394.6703365338993</v>
      </c>
      <c r="F24" s="7">
        <f>IF(Parameters!$H$5=1,E24,0)</f>
        <v>0.0</v>
      </c>
      <c r="G24" s="7">
        <f>Parameters!$H$27*G23+F24</f>
        <v>0.0</v>
      </c>
      <c r="H24" s="7">
        <f>IF(AND(Parameters!$H$5=1,Parameters!$H$26=1),SUMPRODUCT(--($A$5:A24&lt;A24),--(MOD(A24-$A$5:A24,Parameters!$H$28)=0),$F$5:F24,POWER(Parameters!$H$27,IF(A24-$A$5:A24=0,1,A24-$A$5:A24))),0)</f>
        <v>0.0</v>
      </c>
      <c r="I24" s="7">
        <f>Parameters!$H$23*I23+B24*Parameters!$H$22</f>
        <v>0.0</v>
      </c>
      <c r="J24" s="7">
        <f>E24*Parameters!$H$14*(1-Parameters!$H$15)</f>
        <v>7498.736394144085</v>
      </c>
      <c r="K24" s="7">
        <f>H24*Parameters!$H$29</f>
        <v>0.0</v>
      </c>
      <c r="L24" s="7">
        <f>I24*Parameters!$H$24</f>
        <v>0.0</v>
      </c>
      <c r="M24" s="7">
        <f>J24+K24+L24</f>
        <v>7498.736394144085</v>
      </c>
      <c r="N24" s="7">
        <f>C24*Parameters!$H$17+D24*Parameters!$H$18+E24*Parameters!$H$16+I24*Parameters!$H$25+G24*Parameters!$H$30</f>
        <v>1482.706177430898</v>
      </c>
      <c r="O24" s="7">
        <f>B24*Parameters!$H$19</f>
        <v>4000</v>
      </c>
      <c r="P24" s="7">
        <f>M24-N24-O24</f>
        <v>2016.0302167131877</v>
      </c>
      <c r="Q24" s="7">
        <f>Parameters!$H$21</f>
        <v>1000</v>
      </c>
      <c r="R24" s="7">
        <f>P24-Q24</f>
        <v>1016.0302167131877</v>
      </c>
      <c r="S24" s="7">
        <f>IF(A24&lt;1+Parameters!$H$31,0,INDEX($M$5:$M$40,A24-Parameters!$H$31))</f>
        <v>7484.088192033719</v>
      </c>
      <c r="T24" s="7">
        <f>T23+M24-S24</f>
        <v>7498.736394144085</v>
      </c>
      <c r="U24" s="7">
        <f>S24-N24-O24-Q24</f>
        <v>1001.3820146028211</v>
      </c>
      <c r="V24" s="7">
        <f>V23+U24</f>
        <v>-4907.031474847474</v>
      </c>
      <c r="W24" s="7">
        <f>(1-Parameters!$H$7)*(C24-E24)+(1-Parameters!$H$8)*(D24+E24)</f>
        <v>988.4707849539318</v>
      </c>
      <c r="X24" s="7">
        <f>Parameters!$H$7*(C24-E24)+Parameters!$H$8*Parameters!$H$9*(D24+E24)</f>
        <v>2952.85209472124</v>
      </c>
      <c r="Y24" s="7">
        <f>Parameters!$H$8*(1-Parameters!$H$9)*(D24+E24)</f>
        <v>1001.0310450944881</v>
      </c>
      <c r="Z24" s="7">
        <f>POWER(1/(1+Parameters!$H$32),A24-1)*(M24-N24)</f>
        <v>4979.708340464267</v>
      </c>
    </row>
    <row r="25" spans="1:26">
      <c r="A25" s="7">
        <v>21</v>
      </c>
      <c r="B25" s="7">
        <f>Parameters!$H$20</f>
        <v>1000</v>
      </c>
      <c r="C25" s="7">
        <f>X24+B25</f>
        <v>3952.85209472124</v>
      </c>
      <c r="D25" s="7">
        <f>Y24</f>
        <v>1001.031045094488</v>
      </c>
      <c r="E25" s="7">
        <f>Parameters!$H$6*C25</f>
        <v>395.28520947212405</v>
      </c>
      <c r="F25" s="7">
        <f>IF(Parameters!$H$5=1,E25,0)</f>
        <v>0.0</v>
      </c>
      <c r="G25" s="7">
        <f>Parameters!$H$27*G24+F25</f>
        <v>0.0</v>
      </c>
      <c r="H25" s="7">
        <f>IF(AND(Parameters!$H$5=1,Parameters!$H$26=1),SUMPRODUCT(--($A$5:A25&lt;A25),--(MOD(A25-$A$5:A25,Parameters!$H$28)=0),$F$5:F25,POWER(Parameters!$H$27,IF(A25-$A$5:A25=0,1,A25-$A$5:A25))),0)</f>
        <v>0.0</v>
      </c>
      <c r="I25" s="7">
        <f>Parameters!$H$23*I24+B25*Parameters!$H$22</f>
        <v>0.0</v>
      </c>
      <c r="J25" s="7">
        <f>E25*Parameters!$H$14*(1-Parameters!$H$15)</f>
        <v>7510.418979970356</v>
      </c>
      <c r="K25" s="7">
        <f>H25*Parameters!$H$29</f>
        <v>0.0</v>
      </c>
      <c r="L25" s="7">
        <f>I25*Parameters!$H$24</f>
        <v>0.0</v>
      </c>
      <c r="M25" s="7">
        <f>J25+K25+L25</f>
        <v>7510.418979970356</v>
      </c>
      <c r="N25" s="7">
        <f>C25*Parameters!$H$17+D25*Parameters!$H$18+E25*Parameters!$H$16+I25*Parameters!$H$25+G25*Parameters!$H$30</f>
        <v>1486.1649419447185</v>
      </c>
      <c r="O25" s="7">
        <f>B25*Parameters!$H$19</f>
        <v>4000</v>
      </c>
      <c r="P25" s="7">
        <f>M25-N25-O25</f>
        <v>2024.2540380256378</v>
      </c>
      <c r="Q25" s="7">
        <f>Parameters!$H$21</f>
        <v>1000</v>
      </c>
      <c r="R25" s="7">
        <f>P25-Q25</f>
        <v>1024.2540380256378</v>
      </c>
      <c r="S25" s="7">
        <f>IF(A25&lt;1+Parameters!$H$31,0,INDEX($M$5:$M$40,A25-Parameters!$H$31))</f>
        <v>7498.736394144085</v>
      </c>
      <c r="T25" s="7">
        <f>T24+M25-S25</f>
        <v>7510.418979970356</v>
      </c>
      <c r="U25" s="7">
        <f>S25-N25-O25-Q25</f>
        <v>1012.5714521993668</v>
      </c>
      <c r="V25" s="7">
        <f>V24+U25</f>
        <v>-3894.460022648107</v>
      </c>
      <c r="W25" s="7">
        <f>(1-Parameters!$H$7)*(C25-E25)+(1-Parameters!$H$8)*(D25+E25)</f>
        <v>990.7766279631455</v>
      </c>
      <c r="X25" s="7">
        <f>Parameters!$H$7*(C25-E25)+Parameters!$H$8*Parameters!$H$9*(D25+E25)</f>
        <v>2957.758808564622</v>
      </c>
      <c r="Y25" s="7">
        <f>Parameters!$H$8*(1-Parameters!$H$9)*(D25+E25)</f>
        <v>1005.3477032879608</v>
      </c>
      <c r="Z25" s="7">
        <f>POWER(1/(1+Parameters!$H$32),A25-1)*(M25-N25)</f>
        <v>4937.144084771035</v>
      </c>
    </row>
    <row r="26" spans="1:26">
      <c r="A26" s="7">
        <v>22</v>
      </c>
      <c r="B26" s="7">
        <f>Parameters!$H$20</f>
        <v>1000</v>
      </c>
      <c r="C26" s="7">
        <f>X25+B26</f>
        <v>3957.7588085646225</v>
      </c>
      <c r="D26" s="7">
        <f>Y25</f>
        <v>1005.3477032879608</v>
      </c>
      <c r="E26" s="7">
        <f>Parameters!$H$6*C26</f>
        <v>395.77588085646227</v>
      </c>
      <c r="F26" s="7">
        <f>IF(Parameters!$H$5=1,E26,0)</f>
        <v>0.0</v>
      </c>
      <c r="G26" s="7">
        <f>Parameters!$H$27*G25+F26</f>
        <v>0.0</v>
      </c>
      <c r="H26" s="7">
        <f>IF(AND(Parameters!$H$5=1,Parameters!$H$26=1),SUMPRODUCT(--($A$5:A26&lt;A26),--(MOD(A26-$A$5:A26,Parameters!$H$28)=0),$F$5:F26,POWER(Parameters!$H$27,IF(A26-$A$5:A26=0,1,A26-$A$5:A26))),0)</f>
        <v>0.0</v>
      </c>
      <c r="I26" s="7">
        <f>Parameters!$H$23*I25+B26*Parameters!$H$22</f>
        <v>0.0</v>
      </c>
      <c r="J26" s="7">
        <f>E26*Parameters!$H$14*(1-Parameters!$H$15)</f>
        <v>7519.741736272783</v>
      </c>
      <c r="K26" s="7">
        <f>H26*Parameters!$H$29</f>
        <v>0.0</v>
      </c>
      <c r="L26" s="7">
        <f>I26*Parameters!$H$24</f>
        <v>0.0</v>
      </c>
      <c r="M26" s="7">
        <f>J26+K26+L26</f>
        <v>7519.741736272783</v>
      </c>
      <c r="N26" s="7">
        <f>C26*Parameters!$H$17+D26*Parameters!$H$18+E26*Parameters!$H$16+I26*Parameters!$H$25+G26*Parameters!$H$30</f>
        <v>1488.931953555775</v>
      </c>
      <c r="O26" s="7">
        <f>B26*Parameters!$H$19</f>
        <v>4000</v>
      </c>
      <c r="P26" s="7">
        <f>M26-N26-O26</f>
        <v>2030.8097827170077</v>
      </c>
      <c r="Q26" s="7">
        <f>Parameters!$H$21</f>
        <v>1000</v>
      </c>
      <c r="R26" s="7">
        <f>P26-Q26</f>
        <v>1030.8097827170077</v>
      </c>
      <c r="S26" s="7">
        <f>IF(A26&lt;1+Parameters!$H$31,0,INDEX($M$5:$M$40,A26-Parameters!$H$31))</f>
        <v>7510.418979970356</v>
      </c>
      <c r="T26" s="7">
        <f>T25+M26-S26</f>
        <v>7519.741736272783</v>
      </c>
      <c r="U26" s="7">
        <f>S26-N26-O26-Q26</f>
        <v>1021.4870264145811</v>
      </c>
      <c r="V26" s="7">
        <f>V25+U26</f>
        <v>-2872.972996233526</v>
      </c>
      <c r="W26" s="7">
        <f>(1-Parameters!$H$7)*(C26-E26)+(1-Parameters!$H$8)*(D26+E26)</f>
        <v>992.6213023705164</v>
      </c>
      <c r="X26" s="7">
        <f>Parameters!$H$7*(C26-E26)+Parameters!$H$8*Parameters!$H$9*(D26+E26)</f>
        <v>2961.6762288980826</v>
      </c>
      <c r="Y26" s="7">
        <f>Parameters!$H$8*(1-Parameters!$H$9)*(D26+E26)</f>
        <v>1008.8089805839847</v>
      </c>
      <c r="Z26" s="7">
        <f>POWER(1/(1+Parameters!$H$32),A26-1)*(M26-N26)</f>
        <v>4893.580999090881</v>
      </c>
    </row>
    <row r="27" spans="1:26">
      <c r="A27" s="7">
        <v>23</v>
      </c>
      <c r="B27" s="7">
        <f>Parameters!$H$20</f>
        <v>1000</v>
      </c>
      <c r="C27" s="7">
        <f>X26+B27</f>
        <v>3961.676228898082</v>
      </c>
      <c r="D27" s="7">
        <f>Y26</f>
        <v>1008.8089805839847</v>
      </c>
      <c r="E27" s="7">
        <f>Parameters!$H$6*C27</f>
        <v>396.16762288980823</v>
      </c>
      <c r="F27" s="7">
        <f>IF(Parameters!$H$5=1,E27,0)</f>
        <v>0.0</v>
      </c>
      <c r="G27" s="7">
        <f>Parameters!$H$27*G26+F27</f>
        <v>0.0</v>
      </c>
      <c r="H27" s="7">
        <f>IF(AND(Parameters!$H$5=1,Parameters!$H$26=1),SUMPRODUCT(--($A$5:A27&lt;A27),--(MOD(A27-$A$5:A27,Parameters!$H$28)=0),$F$5:F27,POWER(Parameters!$H$27,IF(A27-$A$5:A27=0,1,A27-$A$5:A27))),0)</f>
        <v>0.0</v>
      </c>
      <c r="I27" s="7">
        <f>Parameters!$H$23*I26+B27*Parameters!$H$22</f>
        <v>0.0</v>
      </c>
      <c r="J27" s="7">
        <f>E27*Parameters!$H$14*(1-Parameters!$H$15)</f>
        <v>7527.184834906356</v>
      </c>
      <c r="K27" s="7">
        <f>H27*Parameters!$H$29</f>
        <v>0.0</v>
      </c>
      <c r="L27" s="7">
        <f>I27*Parameters!$H$24</f>
        <v>0.0</v>
      </c>
      <c r="M27" s="7">
        <f>J27+K27+L27</f>
        <v>7527.184834906356</v>
      </c>
      <c r="N27" s="7">
        <f>C27*Parameters!$H$17+D27*Parameters!$H$18+E27*Parameters!$H$16+I27*Parameters!$H$25+G27*Parameters!$H$30</f>
        <v>1491.1455628446201</v>
      </c>
      <c r="O27" s="7">
        <f>B27*Parameters!$H$19</f>
        <v>4000</v>
      </c>
      <c r="P27" s="7">
        <f>M27-N27-O27</f>
        <v>2036.0392720617356</v>
      </c>
      <c r="Q27" s="7">
        <f>Parameters!$H$21</f>
        <v>1000</v>
      </c>
      <c r="R27" s="7">
        <f>P27-Q27</f>
        <v>1036.0392720617356</v>
      </c>
      <c r="S27" s="7">
        <f>IF(A27&lt;1+Parameters!$H$31,0,INDEX($M$5:$M$40,A27-Parameters!$H$31))</f>
        <v>7519.741736272783</v>
      </c>
      <c r="T27" s="7">
        <f>T26+M27-S27</f>
        <v>7527.184834906356</v>
      </c>
      <c r="U27" s="7">
        <f>S27-N27-O27-Q27</f>
        <v>1028.5961734281627</v>
      </c>
      <c r="V27" s="7">
        <f>V26+U27</f>
        <v>-1844.3768228053632</v>
      </c>
      <c r="W27" s="7">
        <f>(1-Parameters!$H$7)*(C27-E27)+(1-Parameters!$H$8)*(D27+E27)</f>
        <v>994.0970418964133</v>
      </c>
      <c r="X27" s="7">
        <f>Parameters!$H$7*(C27-E27)+Parameters!$H$8*Parameters!$H$9*(D27+E27)</f>
        <v>2964.805013084523</v>
      </c>
      <c r="Y27" s="7">
        <f>Parameters!$H$8*(1-Parameters!$H$9)*(D27+E27)</f>
        <v>1011.583154501131</v>
      </c>
      <c r="Z27" s="7">
        <f>POWER(1/(1+Parameters!$H$32),A27-1)*(M27-N27)</f>
        <v>4849.33105397211</v>
      </c>
    </row>
    <row r="28" spans="1:26">
      <c r="A28" s="7">
        <v>24</v>
      </c>
      <c r="B28" s="7">
        <f>Parameters!$H$20</f>
        <v>1000</v>
      </c>
      <c r="C28" s="7">
        <f>X27+B28</f>
        <v>3964.805013084523</v>
      </c>
      <c r="D28" s="7">
        <f>Y27</f>
        <v>1011.583154501131</v>
      </c>
      <c r="E28" s="7">
        <f>Parameters!$H$6*C28</f>
        <v>396.4805013084523</v>
      </c>
      <c r="F28" s="7">
        <f>IF(Parameters!$H$5=1,E28,0)</f>
        <v>0.0</v>
      </c>
      <c r="G28" s="7">
        <f>Parameters!$H$27*G27+F28</f>
        <v>0.0</v>
      </c>
      <c r="H28" s="7">
        <f>IF(AND(Parameters!$H$5=1,Parameters!$H$26=1),SUMPRODUCT(--($A$5:A28&lt;A28),--(MOD(A28-$A$5:A28,Parameters!$H$28)=0),$F$5:F28,POWER(Parameters!$H$27,IF(A28-$A$5:A28=0,1,A28-$A$5:A28))),0)</f>
        <v>0.0</v>
      </c>
      <c r="I28" s="7">
        <f>Parameters!$H$23*I27+B28*Parameters!$H$22</f>
        <v>0.0</v>
      </c>
      <c r="J28" s="7">
        <f>E28*Parameters!$H$14*(1-Parameters!$H$15)</f>
        <v>7533.129524860594</v>
      </c>
      <c r="K28" s="7">
        <f>H28*Parameters!$H$29</f>
        <v>0.0</v>
      </c>
      <c r="L28" s="7">
        <f>I28*Parameters!$H$24</f>
        <v>0.0</v>
      </c>
      <c r="M28" s="7">
        <f>J28+K28+L28</f>
        <v>7533.129524860594</v>
      </c>
      <c r="N28" s="7">
        <f>C28*Parameters!$H$17+D28*Parameters!$H$18+E28*Parameters!$H$16+I28*Parameters!$H$25+G28*Parameters!$H$30</f>
        <v>1492.9164502756962</v>
      </c>
      <c r="O28" s="7">
        <f>B28*Parameters!$H$19</f>
        <v>4000</v>
      </c>
      <c r="P28" s="7">
        <f>M28-N28-O28</f>
        <v>2040.2130745848972</v>
      </c>
      <c r="Q28" s="7">
        <f>Parameters!$H$21</f>
        <v>1000</v>
      </c>
      <c r="R28" s="7">
        <f>P28-Q28</f>
        <v>1040.2130745848972</v>
      </c>
      <c r="S28" s="7">
        <f>IF(A28&lt;1+Parameters!$H$31,0,INDEX($M$5:$M$40,A28-Parameters!$H$31))</f>
        <v>7527.184834906356</v>
      </c>
      <c r="T28" s="7">
        <f>T27+M28-S28</f>
        <v>7533.129524860594</v>
      </c>
      <c r="U28" s="7">
        <f>S28-N28-O28-Q28</f>
        <v>1034.268384630659</v>
      </c>
      <c r="V28" s="7">
        <f>V27+U28</f>
        <v>-810.1084381747041</v>
      </c>
      <c r="W28" s="7">
        <f>(1-Parameters!$H$7)*(C28-E28)+(1-Parameters!$H$8)*(D28+E28)</f>
        <v>995.2776335171307</v>
      </c>
      <c r="X28" s="7">
        <f>Parameters!$H$7*(C28-E28)+Parameters!$H$8*Parameters!$H$9*(D28+E28)</f>
        <v>2967.304701885623</v>
      </c>
      <c r="Y28" s="7">
        <f>Parameters!$H$8*(1-Parameters!$H$9)*(D28+E28)</f>
        <v>1013.8058321829002</v>
      </c>
      <c r="Z28" s="7">
        <f>POWER(1/(1+Parameters!$H$32),A28-1)*(M28-N28)</f>
        <v>4804.6378921646065</v>
      </c>
    </row>
    <row r="29" spans="1:26">
      <c r="A29" s="7">
        <v>25</v>
      </c>
      <c r="B29" s="7">
        <f>Parameters!$H$20</f>
        <v>1000</v>
      </c>
      <c r="C29" s="7">
        <f>X28+B29</f>
        <v>3967.3047018856237</v>
      </c>
      <c r="D29" s="7">
        <f>Y28</f>
        <v>1013.8058321829001</v>
      </c>
      <c r="E29" s="7">
        <f>Parameters!$H$6*C29</f>
        <v>396.7304701885624</v>
      </c>
      <c r="F29" s="7">
        <f>IF(Parameters!$H$5=1,E29,0)</f>
        <v>0.0</v>
      </c>
      <c r="G29" s="7">
        <f>Parameters!$H$27*G28+F29</f>
        <v>0.0</v>
      </c>
      <c r="H29" s="7">
        <f>IF(AND(Parameters!$H$5=1,Parameters!$H$26=1),SUMPRODUCT(--($A$5:A29&lt;A29),--(MOD(A29-$A$5:A29,Parameters!$H$28)=0),$F$5:F29,POWER(Parameters!$H$27,IF(A29-$A$5:A29=0,1,A29-$A$5:A29))),0)</f>
        <v>0.0</v>
      </c>
      <c r="I29" s="7">
        <f>Parameters!$H$23*I28+B29*Parameters!$H$22</f>
        <v>0.0</v>
      </c>
      <c r="J29" s="7">
        <f>E29*Parameters!$H$14*(1-Parameters!$H$15)</f>
        <v>7537.878933582685</v>
      </c>
      <c r="K29" s="7">
        <f>H29*Parameters!$H$29</f>
        <v>0.0</v>
      </c>
      <c r="L29" s="7">
        <f>I29*Parameters!$H$24</f>
        <v>0.0</v>
      </c>
      <c r="M29" s="7">
        <f>J29+K29+L29</f>
        <v>7537.878933582685</v>
      </c>
      <c r="N29" s="7">
        <f>C29*Parameters!$H$17+D29*Parameters!$H$18+E29*Parameters!$H$16+I29*Parameters!$H$25+G29*Parameters!$H$30</f>
        <v>1494.3331602205571</v>
      </c>
      <c r="O29" s="7">
        <f>B29*Parameters!$H$19</f>
        <v>4000</v>
      </c>
      <c r="P29" s="7">
        <f>M29-N29-O29</f>
        <v>2043.5457733621279</v>
      </c>
      <c r="Q29" s="7">
        <f>Parameters!$H$21</f>
        <v>1000</v>
      </c>
      <c r="R29" s="7">
        <f>P29-Q29</f>
        <v>1043.5457733621279</v>
      </c>
      <c r="S29" s="7">
        <f>IF(A29&lt;1+Parameters!$H$31,0,INDEX($M$5:$M$40,A29-Parameters!$H$31))</f>
        <v>7533.129524860594</v>
      </c>
      <c r="T29" s="7">
        <f>T28+M29-S29</f>
        <v>7537.878933582685</v>
      </c>
      <c r="U29" s="7">
        <f>S29-N29-O29-Q29</f>
        <v>1038.7963646400367</v>
      </c>
      <c r="V29" s="7">
        <f>V28+U29</f>
        <v>228.68792646533257</v>
      </c>
      <c r="W29" s="7">
        <f>(1-Parameters!$H$7)*(C29-E29)+(1-Parameters!$H$8)*(D29+E29)</f>
        <v>996.2221068137046</v>
      </c>
      <c r="X29" s="7">
        <f>Parameters!$H$7*(C29-E29)+Parameters!$H$8*Parameters!$H$9*(D29+E29)</f>
        <v>2969.3022895473664</v>
      </c>
      <c r="Y29" s="7">
        <f>Parameters!$H$8*(1-Parameters!$H$9)*(D29+E29)</f>
        <v>1015.5861377074531</v>
      </c>
      <c r="Z29" s="7">
        <f>POWER(1/(1+Parameters!$H$32),A29-1)*(M29-N29)</f>
        <v>4759.69194063481</v>
      </c>
    </row>
    <row r="30" spans="1:26">
      <c r="A30" s="7">
        <v>26</v>
      </c>
      <c r="B30" s="7">
        <f>Parameters!$H$20</f>
        <v>1000</v>
      </c>
      <c r="C30" s="7">
        <f>X29+B30</f>
        <v>3969.3022895473664</v>
      </c>
      <c r="D30" s="7">
        <f>Y29</f>
        <v>1015.5861377074531</v>
      </c>
      <c r="E30" s="7">
        <f>Parameters!$H$6*C30</f>
        <v>396.93022895473666</v>
      </c>
      <c r="F30" s="7">
        <f>IF(Parameters!$H$5=1,E30,0)</f>
        <v>0.0</v>
      </c>
      <c r="G30" s="7">
        <f>Parameters!$H$27*G29+F30</f>
        <v>0.0</v>
      </c>
      <c r="H30" s="7">
        <f>IF(AND(Parameters!$H$5=1,Parameters!$H$26=1),SUMPRODUCT(--($A$5:A30&lt;A30),--(MOD(A30-$A$5:A30,Parameters!$H$28)=0),$F$5:F30,POWER(Parameters!$H$27,IF(A30-$A$5:A30=0,1,A30-$A$5:A30))),0)</f>
        <v>0.0</v>
      </c>
      <c r="I30" s="7">
        <f>Parameters!$H$23*I29+B30*Parameters!$H$22</f>
        <v>0.0</v>
      </c>
      <c r="J30" s="7">
        <f>E30*Parameters!$H$14*(1-Parameters!$H$15)</f>
        <v>7541.674350139997</v>
      </c>
      <c r="K30" s="7">
        <f>H30*Parameters!$H$29</f>
        <v>0.0</v>
      </c>
      <c r="L30" s="7">
        <f>I30*Parameters!$H$24</f>
        <v>0.0</v>
      </c>
      <c r="M30" s="7">
        <f>J30+K30+L30</f>
        <v>7541.674350139997</v>
      </c>
      <c r="N30" s="7">
        <f>C30*Parameters!$H$17+D30*Parameters!$H$18+E30*Parameters!$H$16+I30*Parameters!$H$25+G30*Parameters!$H$30</f>
        <v>1495.466528176446</v>
      </c>
      <c r="O30" s="7">
        <f>B30*Parameters!$H$19</f>
        <v>4000</v>
      </c>
      <c r="P30" s="7">
        <f>M30-N30-O30</f>
        <v>2046.2078219635514</v>
      </c>
      <c r="Q30" s="7">
        <f>Parameters!$H$21</f>
        <v>1000</v>
      </c>
      <c r="R30" s="7">
        <f>P30-Q30</f>
        <v>1046.2078219635514</v>
      </c>
      <c r="S30" s="7">
        <f>IF(A30&lt;1+Parameters!$H$31,0,INDEX($M$5:$M$40,A30-Parameters!$H$31))</f>
        <v>7537.878933582685</v>
      </c>
      <c r="T30" s="7">
        <f>T29+M30-S30</f>
        <v>7541.674350139997</v>
      </c>
      <c r="U30" s="7">
        <f>S30-N30-O30-Q30</f>
        <v>1042.4124054062395</v>
      </c>
      <c r="V30" s="7">
        <f>V29+U30</f>
        <v>1271.100331871572</v>
      </c>
      <c r="W30" s="7">
        <f>(1-Parameters!$H$7)*(C30-E30)+(1-Parameters!$H$8)*(D30+E30)</f>
        <v>996.9776854509638</v>
      </c>
      <c r="X30" s="7">
        <f>Parameters!$H$7*(C30-E30)+Parameters!$H$8*Parameters!$H$9*(D30+E30)</f>
        <v>2970.898957807079</v>
      </c>
      <c r="Y30" s="7">
        <f>Parameters!$H$8*(1-Parameters!$H$9)*(D30+E30)</f>
        <v>1017.0117839967768</v>
      </c>
      <c r="Z30" s="7">
        <f>POWER(1/(1+Parameters!$H$32),A30-1)*(M30-N30)</f>
        <v>4714.642059349353</v>
      </c>
    </row>
    <row r="31" spans="1:26">
      <c r="A31" s="7">
        <v>27</v>
      </c>
      <c r="B31" s="7">
        <f>Parameters!$H$20</f>
        <v>1000</v>
      </c>
      <c r="C31" s="7">
        <f>X30+B31</f>
        <v>3970.898957807079</v>
      </c>
      <c r="D31" s="7">
        <f>Y30</f>
        <v>1017.0117839967767</v>
      </c>
      <c r="E31" s="7">
        <f>Parameters!$H$6*C31</f>
        <v>397.08989578070793</v>
      </c>
      <c r="F31" s="7">
        <f>IF(Parameters!$H$5=1,E31,0)</f>
        <v>0.0</v>
      </c>
      <c r="G31" s="7">
        <f>Parameters!$H$27*G30+F31</f>
        <v>0.0</v>
      </c>
      <c r="H31" s="7">
        <f>IF(AND(Parameters!$H$5=1,Parameters!$H$26=1),SUMPRODUCT(--($A$5:A31&lt;A31),--(MOD(A31-$A$5:A31,Parameters!$H$28)=0),$F$5:F31,POWER(Parameters!$H$27,IF(A31-$A$5:A31=0,1,A31-$A$5:A31))),0)</f>
        <v>0.0</v>
      </c>
      <c r="I31" s="7">
        <f>Parameters!$H$23*I30+B31*Parameters!$H$22</f>
        <v>0.0</v>
      </c>
      <c r="J31" s="7">
        <f>E31*Parameters!$H$14*(1-Parameters!$H$15)</f>
        <v>7544.708019833451</v>
      </c>
      <c r="K31" s="7">
        <f>H31*Parameters!$H$29</f>
        <v>0.0</v>
      </c>
      <c r="L31" s="7">
        <f>I31*Parameters!$H$24</f>
        <v>0.0</v>
      </c>
      <c r="M31" s="7">
        <f>J31+K31+L31</f>
        <v>7544.708019833451</v>
      </c>
      <c r="N31" s="7">
        <f>C31*Parameters!$H$17+D31*Parameters!$H$18+E31*Parameters!$H$16+I31*Parameters!$H$25+G31*Parameters!$H$30</f>
        <v>1496.3732225411568</v>
      </c>
      <c r="O31" s="7">
        <f>B31*Parameters!$H$19</f>
        <v>4000</v>
      </c>
      <c r="P31" s="7">
        <f>M31-N31-O31</f>
        <v>2048.334797292294</v>
      </c>
      <c r="Q31" s="7">
        <f>Parameters!$H$21</f>
        <v>1000</v>
      </c>
      <c r="R31" s="7">
        <f>P31-Q31</f>
        <v>1048.3347972922938</v>
      </c>
      <c r="S31" s="7">
        <f>IF(A31&lt;1+Parameters!$H$31,0,INDEX($M$5:$M$40,A31-Parameters!$H$31))</f>
        <v>7541.674350139997</v>
      </c>
      <c r="T31" s="7">
        <f>T30+M31-S31</f>
        <v>7544.708019833451</v>
      </c>
      <c r="U31" s="7">
        <f>S31-N31-O31-Q31</f>
        <v>1045.3011275988401</v>
      </c>
      <c r="V31" s="7">
        <f>V30+U31</f>
        <v>2316.401459470412</v>
      </c>
      <c r="W31" s="7">
        <f>(1-Parameters!$H$7)*(C31-E31)+(1-Parameters!$H$8)*(D31+E31)</f>
        <v>997.582148360771</v>
      </c>
      <c r="X31" s="7">
        <f>Parameters!$H$7*(C31-E31)+Parameters!$H$8*Parameters!$H$9*(D31+E31)</f>
        <v>2972.1753840032957</v>
      </c>
      <c r="Y31" s="7">
        <f>Parameters!$H$8*(1-Parameters!$H$9)*(D31+E31)</f>
        <v>1018.1532094397891</v>
      </c>
      <c r="Z31" s="7">
        <f>POWER(1/(1+Parameters!$H$32),A31-1)*(M31-N31)</f>
        <v>4669.604561970033</v>
      </c>
    </row>
    <row r="32" spans="1:26">
      <c r="A32" s="7">
        <v>28</v>
      </c>
      <c r="B32" s="7">
        <f>Parameters!$H$20</f>
        <v>1000</v>
      </c>
      <c r="C32" s="7">
        <f>X31+B32</f>
        <v>3972.175384003296</v>
      </c>
      <c r="D32" s="7">
        <f>Y31</f>
        <v>1018.1532094397891</v>
      </c>
      <c r="E32" s="7">
        <f>Parameters!$H$6*C32</f>
        <v>397.21753840032966</v>
      </c>
      <c r="F32" s="7">
        <f>IF(Parameters!$H$5=1,E32,0)</f>
        <v>0.0</v>
      </c>
      <c r="G32" s="7">
        <f>Parameters!$H$27*G31+F32</f>
        <v>0.0</v>
      </c>
      <c r="H32" s="7">
        <f>IF(AND(Parameters!$H$5=1,Parameters!$H$26=1),SUMPRODUCT(--($A$5:A32&lt;A32),--(MOD(A32-$A$5:A32,Parameters!$H$28)=0),$F$5:F32,POWER(Parameters!$H$27,IF(A32-$A$5:A32=0,1,A32-$A$5:A32))),0)</f>
        <v>0.0</v>
      </c>
      <c r="I32" s="7">
        <f>Parameters!$H$23*I31+B32*Parameters!$H$22</f>
        <v>0.0</v>
      </c>
      <c r="J32" s="7">
        <f>E32*Parameters!$H$14*(1-Parameters!$H$15)</f>
        <v>7547.133229606263</v>
      </c>
      <c r="K32" s="7">
        <f>H32*Parameters!$H$29</f>
        <v>0.0</v>
      </c>
      <c r="L32" s="7">
        <f>I32*Parameters!$H$24</f>
        <v>0.0</v>
      </c>
      <c r="M32" s="7">
        <f>J32+K32+L32</f>
        <v>7547.133229606263</v>
      </c>
      <c r="N32" s="7">
        <f>C32*Parameters!$H$17+D32*Parameters!$H$18+E32*Parameters!$H$16+I32*Parameters!$H$25+G32*Parameters!$H$30</f>
        <v>1497.0985780329256</v>
      </c>
      <c r="O32" s="7">
        <f>B32*Parameters!$H$19</f>
        <v>4000</v>
      </c>
      <c r="P32" s="7">
        <f>M32-N32-O32</f>
        <v>2050.034651573337</v>
      </c>
      <c r="Q32" s="7">
        <f>Parameters!$H$21</f>
        <v>1000</v>
      </c>
      <c r="R32" s="7">
        <f>P32-Q32</f>
        <v>1050.0346515733372</v>
      </c>
      <c r="S32" s="7">
        <f>IF(A32&lt;1+Parameters!$H$31,0,INDEX($M$5:$M$40,A32-Parameters!$H$31))</f>
        <v>7544.708019833451</v>
      </c>
      <c r="T32" s="7">
        <f>T31+M32-S32</f>
        <v>7547.133229606263</v>
      </c>
      <c r="U32" s="7">
        <f>S32-N32-O32-Q32</f>
        <v>1047.609441800525</v>
      </c>
      <c r="V32" s="7">
        <f>V31+U32</f>
        <v>3364.010901270937</v>
      </c>
      <c r="W32" s="7">
        <f>(1-Parameters!$H$7)*(C32-E32)+(1-Parameters!$H$8)*(D32+E32)</f>
        <v>998.0657186886169</v>
      </c>
      <c r="X32" s="7">
        <f>Parameters!$H$7*(C32-E32)+Parameters!$H$8*Parameters!$H$9*(D32+E32)</f>
        <v>2973.195936309583</v>
      </c>
      <c r="Y32" s="7">
        <f>Parameters!$H$8*(1-Parameters!$H$9)*(D32+E32)</f>
        <v>1019.0669384448856</v>
      </c>
      <c r="Z32" s="7">
        <f>POWER(1/(1+Parameters!$H$32),A32-1)*(M32-N32)</f>
        <v>4624.670228718535</v>
      </c>
    </row>
    <row r="33" spans="1:26">
      <c r="A33" s="7">
        <v>29</v>
      </c>
      <c r="B33" s="7">
        <f>Parameters!$H$20</f>
        <v>1000</v>
      </c>
      <c r="C33" s="7">
        <f>X32+B33</f>
        <v>3973.195936309583</v>
      </c>
      <c r="D33" s="7">
        <f>Y32</f>
        <v>1019.0669384448855</v>
      </c>
      <c r="E33" s="7">
        <f>Parameters!$H$6*C33</f>
        <v>397.3195936309583</v>
      </c>
      <c r="F33" s="7">
        <f>IF(Parameters!$H$5=1,E33,0)</f>
        <v>0.0</v>
      </c>
      <c r="G33" s="7">
        <f>Parameters!$H$27*G32+F33</f>
        <v>0.0</v>
      </c>
      <c r="H33" s="7">
        <f>IF(AND(Parameters!$H$5=1,Parameters!$H$26=1),SUMPRODUCT(--($A$5:A33&lt;A33),--(MOD(A33-$A$5:A33,Parameters!$H$28)=0),$F$5:F33,POWER(Parameters!$H$27,IF(A33-$A$5:A33=0,1,A33-$A$5:A33))),0)</f>
        <v>0.0</v>
      </c>
      <c r="I33" s="7">
        <f>Parameters!$H$23*I32+B33*Parameters!$H$22</f>
        <v>0.0</v>
      </c>
      <c r="J33" s="7">
        <f>E33*Parameters!$H$14*(1-Parameters!$H$15)</f>
        <v>7549.0722789882075</v>
      </c>
      <c r="K33" s="7">
        <f>H33*Parameters!$H$29</f>
        <v>0.0</v>
      </c>
      <c r="L33" s="7">
        <f>I33*Parameters!$H$24</f>
        <v>0.0</v>
      </c>
      <c r="M33" s="7">
        <f>J33+K33+L33</f>
        <v>7549.0722789882075</v>
      </c>
      <c r="N33" s="7">
        <f>C33*Parameters!$H$17+D33*Parameters!$H$18+E33*Parameters!$H$16+I33*Parameters!$H$25+G33*Parameters!$H$30</f>
        <v>1497.6788624263406</v>
      </c>
      <c r="O33" s="7">
        <f>B33*Parameters!$H$19</f>
        <v>4000</v>
      </c>
      <c r="P33" s="7">
        <f>M33-N33-O33</f>
        <v>2051.3934165618666</v>
      </c>
      <c r="Q33" s="7">
        <f>Parameters!$H$21</f>
        <v>1000</v>
      </c>
      <c r="R33" s="7">
        <f>P33-Q33</f>
        <v>1051.3934165618666</v>
      </c>
      <c r="S33" s="7">
        <f>IF(A33&lt;1+Parameters!$H$31,0,INDEX($M$5:$M$40,A33-Parameters!$H$31))</f>
        <v>7547.133229606263</v>
      </c>
      <c r="T33" s="7">
        <f>T32+M33-S33</f>
        <v>7549.0722789882075</v>
      </c>
      <c r="U33" s="7">
        <f>S33-N33-O33-Q33</f>
        <v>1049.454367179922</v>
      </c>
      <c r="V33" s="7">
        <f>V32+U33</f>
        <v>4413.465268450859</v>
      </c>
      <c r="W33" s="7">
        <f>(1-Parameters!$H$7)*(C33-E33)+(1-Parameters!$H$8)*(D33+E33)</f>
        <v>998.4525749508936</v>
      </c>
      <c r="X33" s="7">
        <f>Parameters!$H$7*(C33-E33)+Parameters!$H$8*Parameters!$H$9*(D33+E33)</f>
        <v>2974.011996708967</v>
      </c>
      <c r="Y33" s="7">
        <f>Parameters!$H$8*(1-Parameters!$H$9)*(D33+E33)</f>
        <v>1019.7983030946077</v>
      </c>
      <c r="Z33" s="7">
        <f>POWER(1/(1+Parameters!$H$32),A33-1)*(M33-N33)</f>
        <v>4579.90977624527</v>
      </c>
    </row>
    <row r="34" spans="1:26">
      <c r="A34" s="7">
        <v>30</v>
      </c>
      <c r="B34" s="7">
        <f>Parameters!$H$20</f>
        <v>1000</v>
      </c>
      <c r="C34" s="7">
        <f>X33+B34</f>
        <v>3974.0119967089677</v>
      </c>
      <c r="D34" s="7">
        <f>Y33</f>
        <v>1019.7983030946077</v>
      </c>
      <c r="E34" s="7">
        <f>Parameters!$H$6*C34</f>
        <v>397.4011996708968</v>
      </c>
      <c r="F34" s="7">
        <f>IF(Parameters!$H$5=1,E34,0)</f>
        <v>0.0</v>
      </c>
      <c r="G34" s="7">
        <f>Parameters!$H$27*G33+F34</f>
        <v>0.0</v>
      </c>
      <c r="H34" s="7">
        <f>IF(AND(Parameters!$H$5=1,Parameters!$H$26=1),SUMPRODUCT(--($A$5:A34&lt;A34),--(MOD(A34-$A$5:A34,Parameters!$H$28)=0),$F$5:F34,POWER(Parameters!$H$27,IF(A34-$A$5:A34=0,1,A34-$A$5:A34))),0)</f>
        <v>0.0</v>
      </c>
      <c r="I34" s="7">
        <f>Parameters!$H$23*I33+B34*Parameters!$H$22</f>
        <v>0.0</v>
      </c>
      <c r="J34" s="7">
        <f>E34*Parameters!$H$14*(1-Parameters!$H$15)</f>
        <v>7550.622793747039</v>
      </c>
      <c r="K34" s="7">
        <f>H34*Parameters!$H$29</f>
        <v>0.0</v>
      </c>
      <c r="L34" s="7">
        <f>I34*Parameters!$H$24</f>
        <v>0.0</v>
      </c>
      <c r="M34" s="7">
        <f>J34+K34+L34</f>
        <v>7550.622793747039</v>
      </c>
      <c r="N34" s="7">
        <f>C34*Parameters!$H$17+D34*Parameters!$H$18+E34*Parameters!$H$16+I34*Parameters!$H$25+G34*Parameters!$H$30</f>
        <v>1498.1430899410727</v>
      </c>
      <c r="O34" s="7">
        <f>B34*Parameters!$H$19</f>
        <v>4000</v>
      </c>
      <c r="P34" s="7">
        <f>M34-N34-O34</f>
        <v>2052.479703805967</v>
      </c>
      <c r="Q34" s="7">
        <f>Parameters!$H$21</f>
        <v>1000</v>
      </c>
      <c r="R34" s="7">
        <f>P34-Q34</f>
        <v>1052.479703805967</v>
      </c>
      <c r="S34" s="7">
        <f>IF(A34&lt;1+Parameters!$H$31,0,INDEX($M$5:$M$40,A34-Parameters!$H$31))</f>
        <v>7549.0722789882075</v>
      </c>
      <c r="T34" s="7">
        <f>T33+M34-S34</f>
        <v>7550.622793747039</v>
      </c>
      <c r="U34" s="7">
        <f>S34-N34-O34-Q34</f>
        <v>1050.929189047135</v>
      </c>
      <c r="V34" s="7">
        <f>V33+U34</f>
        <v>5464.394457497994</v>
      </c>
      <c r="W34" s="7">
        <f>(1-Parameters!$H$7)*(C34-E34)+(1-Parameters!$H$8)*(D34+E34)</f>
        <v>998.762059960715</v>
      </c>
      <c r="X34" s="7">
        <f>Parameters!$H$7*(C34-E34)+Parameters!$H$8*Parameters!$H$9*(D34+E34)</f>
        <v>2974.664597851697</v>
      </c>
      <c r="Y34" s="7">
        <f>Parameters!$H$8*(1-Parameters!$H$9)*(D34+E34)</f>
        <v>1020.3836419911634</v>
      </c>
      <c r="Z34" s="7">
        <f>POWER(1/(1+Parameters!$H$32),A34-1)*(M34-N34)</f>
        <v>4535.378135712022</v>
      </c>
    </row>
    <row r="35" spans="1:26">
      <c r="A35" s="7">
        <v>31</v>
      </c>
      <c r="B35" s="7">
        <f>Parameters!$H$20</f>
        <v>1000</v>
      </c>
      <c r="C35" s="7">
        <f>X34+B35</f>
        <v>3974.6645978516976</v>
      </c>
      <c r="D35" s="7">
        <f>Y34</f>
        <v>1020.3836419911634</v>
      </c>
      <c r="E35" s="7">
        <f>Parameters!$H$6*C35</f>
        <v>397.4664597851698</v>
      </c>
      <c r="F35" s="7">
        <f>IF(Parameters!$H$5=1,E35,0)</f>
        <v>0.0</v>
      </c>
      <c r="G35" s="7">
        <f>Parameters!$H$27*G34+F35</f>
        <v>0.0</v>
      </c>
      <c r="H35" s="7">
        <f>IF(AND(Parameters!$H$5=1,Parameters!$H$26=1),SUMPRODUCT(--($A$5:A35&lt;A35),--(MOD(A35-$A$5:A35,Parameters!$H$28)=0),$F$5:F35,POWER(Parameters!$H$27,IF(A35-$A$5:A35=0,1,A35-$A$5:A35))),0)</f>
        <v>0.0</v>
      </c>
      <c r="I35" s="7">
        <f>Parameters!$H$23*I34+B35*Parameters!$H$22</f>
        <v>0.0</v>
      </c>
      <c r="J35" s="7">
        <f>E35*Parameters!$H$14*(1-Parameters!$H$15)</f>
        <v>7551.862735918226</v>
      </c>
      <c r="K35" s="7">
        <f>H35*Parameters!$H$29</f>
        <v>0.0</v>
      </c>
      <c r="L35" s="7">
        <f>I35*Parameters!$H$24</f>
        <v>0.0</v>
      </c>
      <c r="M35" s="7">
        <f>J35+K35+L35</f>
        <v>7551.862735918226</v>
      </c>
      <c r="N35" s="7">
        <f>C35*Parameters!$H$17+D35*Parameters!$H$18+E35*Parameters!$H$16+I35*Parameters!$H$25+G35*Parameters!$H$30</f>
        <v>1498.5144719528582</v>
      </c>
      <c r="O35" s="7">
        <f>B35*Parameters!$H$19</f>
        <v>4000</v>
      </c>
      <c r="P35" s="7">
        <f>M35-N35-O35</f>
        <v>2053.3482639653676</v>
      </c>
      <c r="Q35" s="7">
        <f>Parameters!$H$21</f>
        <v>1000</v>
      </c>
      <c r="R35" s="7">
        <f>P35-Q35</f>
        <v>1053.3482639653676</v>
      </c>
      <c r="S35" s="7">
        <f>IF(A35&lt;1+Parameters!$H$31,0,INDEX($M$5:$M$40,A35-Parameters!$H$31))</f>
        <v>7550.622793747039</v>
      </c>
      <c r="T35" s="7">
        <f>T34+M35-S35</f>
        <v>7551.862735918226</v>
      </c>
      <c r="U35" s="7">
        <f>S35-N35-O35-Q35</f>
        <v>1052.1083217941814</v>
      </c>
      <c r="V35" s="7">
        <f>V34+U35</f>
        <v>6516.502779292176</v>
      </c>
      <c r="W35" s="7">
        <f>(1-Parameters!$H$7)*(C35-E35)+(1-Parameters!$H$8)*(D35+E35)</f>
        <v>999.009647968572</v>
      </c>
      <c r="X35" s="7">
        <f>Parameters!$H$7*(C35-E35)+Parameters!$H$8*Parameters!$H$9*(D35+E35)</f>
        <v>2975.1865185953293</v>
      </c>
      <c r="Y35" s="7">
        <f>Parameters!$H$8*(1-Parameters!$H$9)*(D35+E35)</f>
        <v>1020.8520732789599</v>
      </c>
      <c r="Z35" s="7">
        <f>POWER(1/(1+Parameters!$H$32),A35-1)*(M35-N35)</f>
        <v>4491.117806382807</v>
      </c>
    </row>
    <row r="36" spans="1:26">
      <c r="A36" s="7">
        <v>32</v>
      </c>
      <c r="B36" s="7">
        <f>Parameters!$H$20</f>
        <v>1000</v>
      </c>
      <c r="C36" s="7">
        <f>X35+B36</f>
        <v>3975.1865185953293</v>
      </c>
      <c r="D36" s="7">
        <f>Y35</f>
        <v>1020.8520732789599</v>
      </c>
      <c r="E36" s="7">
        <f>Parameters!$H$6*C36</f>
        <v>397.51865185953295</v>
      </c>
      <c r="F36" s="7">
        <f>IF(Parameters!$H$5=1,E36,0)</f>
        <v>0.0</v>
      </c>
      <c r="G36" s="7">
        <f>Parameters!$H$27*G35+F36</f>
        <v>0.0</v>
      </c>
      <c r="H36" s="7">
        <f>IF(AND(Parameters!$H$5=1,Parameters!$H$26=1),SUMPRODUCT(--($A$5:A36&lt;A36),--(MOD(A36-$A$5:A36,Parameters!$H$28)=0),$F$5:F36,POWER(Parameters!$H$27,IF(A36-$A$5:A36=0,1,A36-$A$5:A36))),0)</f>
        <v>0.0</v>
      </c>
      <c r="I36" s="7">
        <f>Parameters!$H$23*I35+B36*Parameters!$H$22</f>
        <v>0.0</v>
      </c>
      <c r="J36" s="7">
        <f>E36*Parameters!$H$14*(1-Parameters!$H$15)</f>
        <v>7552.854385331126</v>
      </c>
      <c r="K36" s="7">
        <f>H36*Parameters!$H$29</f>
        <v>0.0</v>
      </c>
      <c r="L36" s="7">
        <f>I36*Parameters!$H$24</f>
        <v>0.0</v>
      </c>
      <c r="M36" s="7">
        <f>J36+K36+L36</f>
        <v>7552.854385331126</v>
      </c>
      <c r="N36" s="7">
        <f>C36*Parameters!$H$17+D36*Parameters!$H$18+E36*Parameters!$H$16+I36*Parameters!$H$25+G36*Parameters!$H$30</f>
        <v>1498.8115775622869</v>
      </c>
      <c r="O36" s="7">
        <f>B36*Parameters!$H$19</f>
        <v>4000</v>
      </c>
      <c r="P36" s="7">
        <f>M36-N36-O36</f>
        <v>2054.0428077688393</v>
      </c>
      <c r="Q36" s="7">
        <f>Parameters!$H$21</f>
        <v>1000</v>
      </c>
      <c r="R36" s="7">
        <f>P36-Q36</f>
        <v>1054.0428077688393</v>
      </c>
      <c r="S36" s="7">
        <f>IF(A36&lt;1+Parameters!$H$31,0,INDEX($M$5:$M$40,A36-Parameters!$H$31))</f>
        <v>7551.862735918226</v>
      </c>
      <c r="T36" s="7">
        <f>T35+M36-S36</f>
        <v>7552.854385331126</v>
      </c>
      <c r="U36" s="7">
        <f>S36-N36-O36-Q36</f>
        <v>1053.0511583559382</v>
      </c>
      <c r="V36" s="7">
        <f>V35+U36</f>
        <v>7569.553937648114</v>
      </c>
      <c r="W36" s="7">
        <f>(1-Parameters!$H$7)*(C36-E36)+(1-Parameters!$H$8)*(D36+E36)</f>
        <v>999.2077183748577</v>
      </c>
      <c r="X36" s="7">
        <f>Parameters!$H$7*(C36-E36)+Parameters!$H$8*Parameters!$H$9*(D36+E36)</f>
        <v>2975.6039513997166</v>
      </c>
      <c r="Y36" s="7">
        <f>Parameters!$H$8*(1-Parameters!$H$9)*(D36+E36)</f>
        <v>1021.226922099715</v>
      </c>
      <c r="Z36" s="7">
        <f>POWER(1/(1+Parameters!$H$32),A36-1)*(M36-N36)</f>
        <v>4447.161489453476</v>
      </c>
    </row>
    <row r="37" spans="1:26">
      <c r="A37" s="7">
        <v>33</v>
      </c>
      <c r="B37" s="7">
        <f>Parameters!$H$20</f>
        <v>1000</v>
      </c>
      <c r="C37" s="7">
        <f>X36+B37</f>
        <v>3975.6039513997166</v>
      </c>
      <c r="D37" s="7">
        <f>Y36</f>
        <v>1021.226922099715</v>
      </c>
      <c r="E37" s="7">
        <f>Parameters!$H$6*C37</f>
        <v>397.5603951399717</v>
      </c>
      <c r="F37" s="7">
        <f>IF(Parameters!$H$5=1,E37,0)</f>
        <v>0.0</v>
      </c>
      <c r="G37" s="7">
        <f>Parameters!$H$27*G36+F37</f>
        <v>0.0</v>
      </c>
      <c r="H37" s="7">
        <f>IF(AND(Parameters!$H$5=1,Parameters!$H$26=1),SUMPRODUCT(--($A$5:A37&lt;A37),--(MOD(A37-$A$5:A37,Parameters!$H$28)=0),$F$5:F37,POWER(Parameters!$H$27,IF(A37-$A$5:A37=0,1,A37-$A$5:A37))),0)</f>
        <v>0.0</v>
      </c>
      <c r="I37" s="7">
        <f>Parameters!$H$23*I36+B37*Parameters!$H$22</f>
        <v>0.0</v>
      </c>
      <c r="J37" s="7">
        <f>E37*Parameters!$H$14*(1-Parameters!$H$15)</f>
        <v>7553.6475076594625</v>
      </c>
      <c r="K37" s="7">
        <f>H37*Parameters!$H$29</f>
        <v>0.0</v>
      </c>
      <c r="L37" s="7">
        <f>I37*Parameters!$H$24</f>
        <v>0.0</v>
      </c>
      <c r="M37" s="7">
        <f>J37+K37+L37</f>
        <v>7553.6475076594625</v>
      </c>
      <c r="N37" s="7">
        <f>C37*Parameters!$H$17+D37*Parameters!$H$18+E37*Parameters!$H$16+I37*Parameters!$H$25+G37*Parameters!$H$30</f>
        <v>1499.0492620498294</v>
      </c>
      <c r="O37" s="7">
        <f>B37*Parameters!$H$19</f>
        <v>4000</v>
      </c>
      <c r="P37" s="7">
        <f>M37-N37-O37</f>
        <v>2054.5982456096335</v>
      </c>
      <c r="Q37" s="7">
        <f>Parameters!$H$21</f>
        <v>1000</v>
      </c>
      <c r="R37" s="7">
        <f>P37-Q37</f>
        <v>1054.5982456096335</v>
      </c>
      <c r="S37" s="7">
        <f>IF(A37&lt;1+Parameters!$H$31,0,INDEX($M$5:$M$40,A37-Parameters!$H$31))</f>
        <v>7552.854385331126</v>
      </c>
      <c r="T37" s="7">
        <f>T36+M37-S37</f>
        <v>7553.6475076594625</v>
      </c>
      <c r="U37" s="7">
        <f>S37-N37-O37-Q37</f>
        <v>1053.805123281296</v>
      </c>
      <c r="V37" s="7">
        <f>V36+U37</f>
        <v>8623.35906092941</v>
      </c>
      <c r="W37" s="7">
        <f>(1-Parameters!$H$7)*(C37-E37)+(1-Parameters!$H$8)*(D37+E37)</f>
        <v>999.3661746998862</v>
      </c>
      <c r="X37" s="7">
        <f>Parameters!$H$7*(C37-E37)+Parameters!$H$8*Parameters!$H$9*(D37+E37)</f>
        <v>2975.9378303869707</v>
      </c>
      <c r="Y37" s="7">
        <f>Parameters!$H$8*(1-Parameters!$H$9)*(D37+E37)</f>
        <v>1021.5268684125746</v>
      </c>
      <c r="Z37" s="7">
        <f>POWER(1/(1+Parameters!$H$32),A37-1)*(M37-N37)</f>
        <v>4403.534159799531</v>
      </c>
    </row>
    <row r="38" spans="1:26">
      <c r="A38" s="7">
        <v>34</v>
      </c>
      <c r="B38" s="7">
        <f>Parameters!$H$20</f>
        <v>1000</v>
      </c>
      <c r="C38" s="7">
        <f>X37+B38</f>
        <v>3975.937830386971</v>
      </c>
      <c r="D38" s="7">
        <f>Y37</f>
        <v>1021.5268684125745</v>
      </c>
      <c r="E38" s="7">
        <f>Parameters!$H$6*C38</f>
        <v>397.59378303869715</v>
      </c>
      <c r="F38" s="7">
        <f>IF(Parameters!$H$5=1,E38,0)</f>
        <v>0.0</v>
      </c>
      <c r="G38" s="7">
        <f>Parameters!$H$27*G37+F38</f>
        <v>0.0</v>
      </c>
      <c r="H38" s="7">
        <f>IF(AND(Parameters!$H$5=1,Parameters!$H$26=1),SUMPRODUCT(--($A$5:A38&lt;A38),--(MOD(A38-$A$5:A38,Parameters!$H$28)=0),$F$5:F38,POWER(Parameters!$H$27,IF(A38-$A$5:A38=0,1,A38-$A$5:A38))),0)</f>
        <v>0.0</v>
      </c>
      <c r="I38" s="7">
        <f>Parameters!$H$23*I37+B38*Parameters!$H$22</f>
        <v>0.0</v>
      </c>
      <c r="J38" s="7">
        <f>E38*Parameters!$H$14*(1-Parameters!$H$15)</f>
        <v>7554.281877735246</v>
      </c>
      <c r="K38" s="7">
        <f>H38*Parameters!$H$29</f>
        <v>0.0</v>
      </c>
      <c r="L38" s="7">
        <f>I38*Parameters!$H$24</f>
        <v>0.0</v>
      </c>
      <c r="M38" s="7">
        <f>J38+K38+L38</f>
        <v>7554.281877735246</v>
      </c>
      <c r="N38" s="7">
        <f>C38*Parameters!$H$17+D38*Parameters!$H$18+E38*Parameters!$H$16+I38*Parameters!$H$25+G38*Parameters!$H$30</f>
        <v>1499.2394096398639</v>
      </c>
      <c r="O38" s="7">
        <f>B38*Parameters!$H$19</f>
        <v>4000</v>
      </c>
      <c r="P38" s="7">
        <f>M38-N38-O38</f>
        <v>2055.042468095382</v>
      </c>
      <c r="Q38" s="7">
        <f>Parameters!$H$21</f>
        <v>1000</v>
      </c>
      <c r="R38" s="7">
        <f>P38-Q38</f>
        <v>1055.042468095382</v>
      </c>
      <c r="S38" s="7">
        <f>IF(A38&lt;1+Parameters!$H$31,0,INDEX($M$5:$M$40,A38-Parameters!$H$31))</f>
        <v>7553.6475076594625</v>
      </c>
      <c r="T38" s="7">
        <f>T37+M38-S38</f>
        <v>7554.281877735246</v>
      </c>
      <c r="U38" s="7">
        <f>S38-N38-O38-Q38</f>
        <v>1054.4080980195986</v>
      </c>
      <c r="V38" s="7">
        <f>V37+U38</f>
        <v>9677.76715894901</v>
      </c>
      <c r="W38" s="7">
        <f>(1-Parameters!$H$7)*(C38-E38)+(1-Parameters!$H$8)*(D38+E38)</f>
        <v>999.4929397599091</v>
      </c>
      <c r="X38" s="7">
        <f>Parameters!$H$7*(C38-E38)+Parameters!$H$8*Parameters!$H$9*(D38+E38)</f>
        <v>2976.2048899947213</v>
      </c>
      <c r="Y38" s="7">
        <f>Parameters!$H$8*(1-Parameters!$H$9)*(D38+E38)</f>
        <v>1021.7668690449157</v>
      </c>
      <c r="Z38" s="7">
        <f>POWER(1/(1+Parameters!$H$32),A38-1)*(M38-N38)</f>
        <v>4360.254697660465</v>
      </c>
    </row>
    <row r="39" spans="1:26">
      <c r="A39" s="7">
        <v>35</v>
      </c>
      <c r="B39" s="7">
        <f>Parameters!$H$20</f>
        <v>1000</v>
      </c>
      <c r="C39" s="7">
        <f>X38+B39</f>
        <v>3976.2048899947217</v>
      </c>
      <c r="D39" s="7">
        <f>Y38</f>
        <v>1021.7668690449157</v>
      </c>
      <c r="E39" s="7">
        <f>Parameters!$H$6*C39</f>
        <v>397.6204889994722</v>
      </c>
      <c r="F39" s="7">
        <f>IF(Parameters!$H$5=1,E39,0)</f>
        <v>0.0</v>
      </c>
      <c r="G39" s="7">
        <f>Parameters!$H$27*G38+F39</f>
        <v>0.0</v>
      </c>
      <c r="H39" s="7">
        <f>IF(AND(Parameters!$H$5=1,Parameters!$H$26=1),SUMPRODUCT(--($A$5:A39&lt;A39),--(MOD(A39-$A$5:A39,Parameters!$H$28)=0),$F$5:F39,POWER(Parameters!$H$27,IF(A39-$A$5:A39=0,1,A39-$A$5:A39))),0)</f>
        <v>0.0</v>
      </c>
      <c r="I39" s="7">
        <f>Parameters!$H$23*I38+B39*Parameters!$H$22</f>
        <v>0.0</v>
      </c>
      <c r="J39" s="7">
        <f>E39*Parameters!$H$14*(1-Parameters!$H$15)</f>
        <v>7554.789290989971</v>
      </c>
      <c r="K39" s="7">
        <f>H39*Parameters!$H$29</f>
        <v>0.0</v>
      </c>
      <c r="L39" s="7">
        <f>I39*Parameters!$H$24</f>
        <v>0.0</v>
      </c>
      <c r="M39" s="7">
        <f>J39+K39+L39</f>
        <v>7554.789290989971</v>
      </c>
      <c r="N39" s="7">
        <f>C39*Parameters!$H$17+D39*Parameters!$H$18+E39*Parameters!$H$16+I39*Parameters!$H$25+G39*Parameters!$H$30</f>
        <v>1499.3915277118913</v>
      </c>
      <c r="O39" s="7">
        <f>B39*Parameters!$H$19</f>
        <v>4000</v>
      </c>
      <c r="P39" s="7">
        <f>M39-N39-O39</f>
        <v>2055.3977632780798</v>
      </c>
      <c r="Q39" s="7">
        <f>Parameters!$H$21</f>
        <v>1000</v>
      </c>
      <c r="R39" s="7">
        <f>P39-Q39</f>
        <v>1055.3977632780798</v>
      </c>
      <c r="S39" s="7">
        <f>IF(A39&lt;1+Parameters!$H$31,0,INDEX($M$5:$M$40,A39-Parameters!$H$31))</f>
        <v>7554.281877735246</v>
      </c>
      <c r="T39" s="7">
        <f>T38+M39-S39</f>
        <v>7554.789290989971</v>
      </c>
      <c r="U39" s="7">
        <f>S39-N39-O39-Q39</f>
        <v>1054.8903500233546</v>
      </c>
      <c r="V39" s="7">
        <f>V38+U39</f>
        <v>10732.657508972363</v>
      </c>
      <c r="W39" s="7">
        <f>(1-Parameters!$H$7)*(C39-E39)+(1-Parameters!$H$8)*(D39+E39)</f>
        <v>999.5943518079273</v>
      </c>
      <c r="X39" s="7">
        <f>Parameters!$H$7*(C39-E39)+Parameters!$H$8*Parameters!$H$9*(D39+E39)</f>
        <v>2976.4185094397512</v>
      </c>
      <c r="Y39" s="7">
        <f>Parameters!$H$8*(1-Parameters!$H$9)*(D39+E39)</f>
        <v>1021.9588977919593</v>
      </c>
      <c r="Z39" s="7">
        <f>POWER(1/(1+Parameters!$H$32),A39-1)*(M39-N39)</f>
        <v>4317.337175063257</v>
      </c>
    </row>
    <row r="40" spans="1:26">
      <c r="A40" s="7">
        <v>36</v>
      </c>
      <c r="B40" s="7">
        <f>Parameters!$H$20</f>
        <v>1000</v>
      </c>
      <c r="C40" s="7">
        <f>X39+B40</f>
        <v>3976.418509439751</v>
      </c>
      <c r="D40" s="7">
        <f>Y39</f>
        <v>1021.9588977919593</v>
      </c>
      <c r="E40" s="7">
        <f>Parameters!$H$6*C40</f>
        <v>397.6418509439751</v>
      </c>
      <c r="F40" s="7">
        <f>IF(Parameters!$H$5=1,E40,0)</f>
        <v>0.0</v>
      </c>
      <c r="G40" s="7">
        <f>Parameters!$H$27*G39+F40</f>
        <v>0.0</v>
      </c>
      <c r="H40" s="7">
        <f>IF(AND(Parameters!$H$5=1,Parameters!$H$26=1),SUMPRODUCT(--($A$5:A40&lt;A40),--(MOD(A40-$A$5:A40,Parameters!$H$28)=0),$F$5:F40,POWER(Parameters!$H$27,IF(A40-$A$5:A40=0,1,A40-$A$5:A40))),0)</f>
        <v>0.0</v>
      </c>
      <c r="I40" s="7">
        <f>Parameters!$H$23*I39+B40*Parameters!$H$22</f>
        <v>0.0</v>
      </c>
      <c r="J40" s="7">
        <f>E40*Parameters!$H$14*(1-Parameters!$H$15)</f>
        <v>7555.195167935526</v>
      </c>
      <c r="K40" s="7">
        <f>H40*Parameters!$H$29</f>
        <v>0.0</v>
      </c>
      <c r="L40" s="7">
        <f>I40*Parameters!$H$24</f>
        <v>0.0</v>
      </c>
      <c r="M40" s="7">
        <f>J40+K40+L40</f>
        <v>7555.195167935526</v>
      </c>
      <c r="N40" s="7">
        <f>C40*Parameters!$H$17+D40*Parameters!$H$18+E40*Parameters!$H$16+I40*Parameters!$H$25+G40*Parameters!$H$30</f>
        <v>1499.513222169513</v>
      </c>
      <c r="O40" s="7">
        <f>B40*Parameters!$H$19</f>
        <v>4000</v>
      </c>
      <c r="P40" s="7">
        <f>M40-N40-O40</f>
        <v>2055.681945766013</v>
      </c>
      <c r="Q40" s="7">
        <f>Parameters!$H$21</f>
        <v>1000</v>
      </c>
      <c r="R40" s="7">
        <f>P40-Q40</f>
        <v>1055.681945766013</v>
      </c>
      <c r="S40" s="7">
        <f>IF(A40&lt;1+Parameters!$H$31,0,INDEX($M$5:$M$40,A40-Parameters!$H$31))</f>
        <v>7554.789290989971</v>
      </c>
      <c r="T40" s="7">
        <f>T39+M40-S40</f>
        <v>7555.195167935526</v>
      </c>
      <c r="U40" s="7">
        <f>S40-N40-O40-Q40</f>
        <v>1055.276068820458</v>
      </c>
      <c r="V40" s="7">
        <f>V39+U40</f>
        <v>11787.93357779282</v>
      </c>
      <c r="W40" s="7">
        <f>(1-Parameters!$H$7)*(C40-E40)+(1-Parameters!$H$8)*(D40+E40)</f>
        <v>999.6754814463419</v>
      </c>
      <c r="X40" s="7">
        <f>Parameters!$H$7*(C40-E40)+Parameters!$H$8*Parameters!$H$9*(D40+E40)</f>
        <v>2976.5893866954957</v>
      </c>
      <c r="Y40" s="7">
        <f>Parameters!$H$8*(1-Parameters!$H$9)*(D40+E40)</f>
        <v>1022.1125390898728</v>
      </c>
      <c r="Z40" s="7">
        <f>POWER(1/(1+Parameters!$H$32),A40-1)*(M40-N40)</f>
        <v>4274.791870892243</v>
      </c>
    </row>
    <row r="43" spans="1:26">
      <c r="A43" s="1" t="s">
        <v>189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45" customHeight="1">
      <c r="A44" s="4" t="s">
        <v>164</v>
      </c>
      <c r="B44" s="4" t="s">
        <v>165</v>
      </c>
      <c r="C44" s="4" t="s">
        <v>166</v>
      </c>
      <c r="D44" s="4" t="s">
        <v>167</v>
      </c>
      <c r="E44" s="4" t="s">
        <v>168</v>
      </c>
      <c r="F44" s="4" t="s">
        <v>169</v>
      </c>
      <c r="G44" s="4" t="s">
        <v>170</v>
      </c>
      <c r="H44" s="4" t="s">
        <v>171</v>
      </c>
      <c r="I44" s="4" t="s">
        <v>172</v>
      </c>
      <c r="J44" s="4" t="s">
        <v>173</v>
      </c>
      <c r="K44" s="4" t="s">
        <v>174</v>
      </c>
      <c r="L44" s="4" t="s">
        <v>175</v>
      </c>
      <c r="M44" s="4" t="s">
        <v>176</v>
      </c>
      <c r="N44" s="4" t="s">
        <v>177</v>
      </c>
      <c r="O44" s="4" t="s">
        <v>99</v>
      </c>
      <c r="P44" s="4" t="s">
        <v>178</v>
      </c>
      <c r="Q44" s="4" t="s">
        <v>179</v>
      </c>
      <c r="R44" s="4" t="s">
        <v>180</v>
      </c>
      <c r="S44" s="4" t="s">
        <v>181</v>
      </c>
      <c r="T44" s="4" t="s">
        <v>182</v>
      </c>
      <c r="U44" s="4" t="s">
        <v>183</v>
      </c>
      <c r="V44" s="4" t="s">
        <v>184</v>
      </c>
      <c r="W44" s="4" t="s">
        <v>185</v>
      </c>
      <c r="X44" s="4" t="s">
        <v>186</v>
      </c>
      <c r="Y44" s="4" t="s">
        <v>187</v>
      </c>
      <c r="Z44" s="4" t="s">
        <v>188</v>
      </c>
    </row>
    <row r="45" spans="1:26">
      <c r="A45" s="7">
        <v>1</v>
      </c>
      <c r="B45" s="7">
        <f>1</f>
        <v>1</v>
      </c>
      <c r="C45" s="7">
        <f>B45</f>
        <v>1</v>
      </c>
      <c r="D45" s="7">
        <f>0</f>
        <v>0.0</v>
      </c>
      <c r="E45" s="7">
        <f>Parameters!$H$6*C45</f>
        <v>0.1</v>
      </c>
      <c r="F45" s="7">
        <f>IF(Parameters!$H$5=1,E45,0)</f>
        <v>0.0</v>
      </c>
      <c r="G45" s="7">
        <f>F45</f>
        <v>0.0</v>
      </c>
      <c r="H45" s="7">
        <f>IF(AND(Parameters!$H$5=1,Parameters!$H$26=1),SUMPRODUCT(--($A$45:A45&lt;A45),--(MOD(A45-$A$45:A45,Parameters!$H$28)=0),$F$45:F45,POWER(Parameters!$H$27,IF(A45-$A$45:A45=0,1,A45-$A$45:A45))),0)</f>
        <v>0.0</v>
      </c>
      <c r="I45" s="7">
        <f>B45*Parameters!$H$22</f>
        <v>0.0</v>
      </c>
      <c r="J45" s="7">
        <f>E45*Parameters!$H$14*(1-Parameters!$H$15)</f>
        <v>1.9</v>
      </c>
      <c r="K45" s="7">
        <f>H45*Parameters!$H$29</f>
        <v>0.0</v>
      </c>
      <c r="L45" s="7">
        <f>I45*Parameters!$H$24</f>
        <v>0.0</v>
      </c>
      <c r="M45" s="7">
        <f>J45+K45+L45</f>
        <v>1.9</v>
      </c>
      <c r="N45" s="7">
        <f>C45*Parameters!$H$17+D45*Parameters!$H$18+E45*Parameters!$H$16+I45*Parameters!$H$25+G45*Parameters!$H$30</f>
        <v>0.30000000000000004</v>
      </c>
      <c r="O45" s="7">
        <f>0</f>
        <v>0</v>
      </c>
      <c r="P45" s="7">
        <f>M45-N45-O45</f>
        <v>1.5999999999999999</v>
      </c>
      <c r="Q45" s="7">
        <f>0</f>
        <v>0</v>
      </c>
      <c r="R45" s="7">
        <f>P45-Q45</f>
        <v>1.5999999999999999</v>
      </c>
      <c r="S45" s="7">
        <f>IF(A45&lt;1+Parameters!$H$31,0,INDEX($M$45:$M$80,A45-Parameters!$H$31))</f>
        <v>0.0</v>
      </c>
      <c r="T45" s="7">
        <f>M45-S45</f>
        <v>1.9</v>
      </c>
      <c r="U45" s="7">
        <f>S45-N45-O45-Q45</f>
        <v>-0.30000000000000004</v>
      </c>
      <c r="V45" s="7">
        <f>U45</f>
        <v>-0.30000000000000004</v>
      </c>
      <c r="W45" s="7">
        <f>(1-Parameters!$H$7)*(C45-E45)+(1-Parameters!$H$8)*(D45+E45)</f>
        <v>0.19999999999999996</v>
      </c>
      <c r="X45" s="7">
        <f>Parameters!$H$7*(C45-E45)+Parameters!$H$8*Parameters!$H$9*(D45+E45)</f>
        <v>0.7280000000000001</v>
      </c>
      <c r="Y45" s="7">
        <f>Parameters!$H$8*(1-Parameters!$H$9)*(D45+E45)</f>
        <v>0.07200000000000001</v>
      </c>
      <c r="Z45" s="7">
        <f>POWER(1/(1+Parameters!$H$32),A45-1)*(M45-N45)</f>
        <v>1.5999999999999999</v>
      </c>
    </row>
    <row r="46" spans="1:26">
      <c r="A46" s="7">
        <v>2</v>
      </c>
      <c r="B46" s="7">
        <f>0</f>
        <v>0</v>
      </c>
      <c r="C46" s="7">
        <f>X45+B46</f>
        <v>0.7280000000000001</v>
      </c>
      <c r="D46" s="7">
        <f>Y45</f>
        <v>0.07200000000000001</v>
      </c>
      <c r="E46" s="7">
        <f>Parameters!$H$6*C46</f>
        <v>0.07280000000000002</v>
      </c>
      <c r="F46" s="7">
        <f>IF(Parameters!$H$5=1,E46,0)</f>
        <v>0.0</v>
      </c>
      <c r="G46" s="7">
        <f>Parameters!$H$27*G45+F46</f>
        <v>0.0</v>
      </c>
      <c r="H46" s="7">
        <f>IF(AND(Parameters!$H$5=1,Parameters!$H$26=1),SUMPRODUCT(--($A$45:A46&lt;A46),--(MOD(A46-$A$45:A46,Parameters!$H$28)=0),$F$45:F46,POWER(Parameters!$H$27,IF(A46-$A$45:A46=0,1,A46-$A$45:A46))),0)</f>
        <v>0.0</v>
      </c>
      <c r="I46" s="7">
        <f>Parameters!$H$23*I45+B46*Parameters!$H$22</f>
        <v>0.0</v>
      </c>
      <c r="J46" s="7">
        <f>E46*Parameters!$H$14*(1-Parameters!$H$15)</f>
        <v>1.3832000000000004</v>
      </c>
      <c r="K46" s="7">
        <f>H46*Parameters!$H$29</f>
        <v>0.0</v>
      </c>
      <c r="L46" s="7">
        <f>I46*Parameters!$H$24</f>
        <v>0.0</v>
      </c>
      <c r="M46" s="7">
        <f>J46+K46+L46</f>
        <v>1.3832000000000004</v>
      </c>
      <c r="N46" s="7">
        <f>C46*Parameters!$H$17+D46*Parameters!$H$18+E46*Parameters!$H$16+I46*Parameters!$H$25+G46*Parameters!$H$30</f>
        <v>0.24000000000000005</v>
      </c>
      <c r="O46" s="7">
        <f>0</f>
        <v>0</v>
      </c>
      <c r="P46" s="7">
        <f>M46-N46-O46</f>
        <v>1.1432000000000004</v>
      </c>
      <c r="Q46" s="7">
        <f>0</f>
        <v>0</v>
      </c>
      <c r="R46" s="7">
        <f>P46-Q46</f>
        <v>1.1432000000000004</v>
      </c>
      <c r="S46" s="7">
        <f>IF(A46&lt;1+Parameters!$H$31,0,INDEX($M$45:$M$80,A46-Parameters!$H$31))</f>
        <v>1.9</v>
      </c>
      <c r="T46" s="7">
        <f>T45+M46-S46</f>
        <v>1.3832000000000004</v>
      </c>
      <c r="U46" s="7">
        <f>S46-N46-O46-Q46</f>
        <v>1.66</v>
      </c>
      <c r="V46" s="7">
        <f>V45+U46</f>
        <v>1.3599999999999999</v>
      </c>
      <c r="W46" s="7">
        <f>(1-Parameters!$H$7)*(C46-E46)+(1-Parameters!$H$8)*(D46+E46)</f>
        <v>0.16</v>
      </c>
      <c r="X46" s="7">
        <f>Parameters!$H$7*(C46-E46)+Parameters!$H$8*Parameters!$H$9*(D46+E46)</f>
        <v>0.5357440000000001</v>
      </c>
      <c r="Y46" s="7">
        <f>Parameters!$H$8*(1-Parameters!$H$9)*(D46+E46)</f>
        <v>0.10425600000000004</v>
      </c>
      <c r="Z46" s="7">
        <f>POWER(1/(1+Parameters!$H$32),A46-1)*(M46-N46)</f>
        <v>1.1318811881188122</v>
      </c>
    </row>
    <row r="47" spans="1:26">
      <c r="A47" s="7">
        <v>3</v>
      </c>
      <c r="B47" s="7">
        <f>0</f>
        <v>0</v>
      </c>
      <c r="C47" s="7">
        <f>X46+B47</f>
        <v>0.5357440000000001</v>
      </c>
      <c r="D47" s="7">
        <f>Y46</f>
        <v>0.10425600000000002</v>
      </c>
      <c r="E47" s="7">
        <f>Parameters!$H$6*C47</f>
        <v>0.053574400000000015</v>
      </c>
      <c r="F47" s="7">
        <f>IF(Parameters!$H$5=1,E47,0)</f>
        <v>0.0</v>
      </c>
      <c r="G47" s="7">
        <f>Parameters!$H$27*G46+F47</f>
        <v>0.0</v>
      </c>
      <c r="H47" s="7">
        <f>IF(AND(Parameters!$H$5=1,Parameters!$H$26=1),SUMPRODUCT(--($A$45:A47&lt;A47),--(MOD(A47-$A$45:A47,Parameters!$H$28)=0),$F$45:F47,POWER(Parameters!$H$27,IF(A47-$A$45:A47=0,1,A47-$A$45:A47))),0)</f>
        <v>0.0</v>
      </c>
      <c r="I47" s="7">
        <f>Parameters!$H$23*I46+B47*Parameters!$H$22</f>
        <v>0.0</v>
      </c>
      <c r="J47" s="7">
        <f>E47*Parameters!$H$14*(1-Parameters!$H$15)</f>
        <v>1.0179136000000002</v>
      </c>
      <c r="K47" s="7">
        <f>H47*Parameters!$H$29</f>
        <v>0.0</v>
      </c>
      <c r="L47" s="7">
        <f>I47*Parameters!$H$24</f>
        <v>0.0</v>
      </c>
      <c r="M47" s="7">
        <f>J47+K47+L47</f>
        <v>1.0179136000000002</v>
      </c>
      <c r="N47" s="7">
        <f>C47*Parameters!$H$17+D47*Parameters!$H$18+E47*Parameters!$H$16+I47*Parameters!$H$25+G47*Parameters!$H$30</f>
        <v>0.19200000000000006</v>
      </c>
      <c r="O47" s="7">
        <f>0</f>
        <v>0</v>
      </c>
      <c r="P47" s="7">
        <f>M47-N47-O47</f>
        <v>0.8259136000000001</v>
      </c>
      <c r="Q47" s="7">
        <f>0</f>
        <v>0</v>
      </c>
      <c r="R47" s="7">
        <f>P47-Q47</f>
        <v>0.8259136000000001</v>
      </c>
      <c r="S47" s="7">
        <f>IF(A47&lt;1+Parameters!$H$31,0,INDEX($M$45:$M$80,A47-Parameters!$H$31))</f>
        <v>1.3832000000000004</v>
      </c>
      <c r="T47" s="7">
        <f>T46+M47-S47</f>
        <v>1.0179136000000002</v>
      </c>
      <c r="U47" s="7">
        <f>S47-N47-O47-Q47</f>
        <v>1.1912000000000003</v>
      </c>
      <c r="V47" s="7">
        <f>V46+U47</f>
        <v>2.5512</v>
      </c>
      <c r="W47" s="7">
        <f>(1-Parameters!$H$7)*(C47-E47)+(1-Parameters!$H$8)*(D47+E47)</f>
        <v>0.128</v>
      </c>
      <c r="X47" s="7">
        <f>Parameters!$H$7*(C47-E47)+Parameters!$H$8*Parameters!$H$9*(D47+E47)</f>
        <v>0.3983621120000001</v>
      </c>
      <c r="Y47" s="7">
        <f>Parameters!$H$8*(1-Parameters!$H$9)*(D47+E47)</f>
        <v>0.11363788800000003</v>
      </c>
      <c r="Z47" s="7">
        <f>POWER(1/(1+Parameters!$H$32),A47-1)*(M47-N47)</f>
        <v>0.809639839231448</v>
      </c>
    </row>
    <row r="48" spans="1:26">
      <c r="A48" s="7">
        <v>4</v>
      </c>
      <c r="B48" s="7">
        <f>0</f>
        <v>0</v>
      </c>
      <c r="C48" s="7">
        <f>X47+B48</f>
        <v>0.3983621120000001</v>
      </c>
      <c r="D48" s="7">
        <f>Y47</f>
        <v>0.11363788800000002</v>
      </c>
      <c r="E48" s="7">
        <f>Parameters!$H$6*C48</f>
        <v>0.03983621120000001</v>
      </c>
      <c r="F48" s="7">
        <f>IF(Parameters!$H$5=1,E48,0)</f>
        <v>0.0</v>
      </c>
      <c r="G48" s="7">
        <f>Parameters!$H$27*G47+F48</f>
        <v>0.0</v>
      </c>
      <c r="H48" s="7">
        <f>IF(AND(Parameters!$H$5=1,Parameters!$H$26=1),SUMPRODUCT(--($A$45:A48&lt;A48),--(MOD(A48-$A$45:A48,Parameters!$H$28)=0),$F$45:F48,POWER(Parameters!$H$27,IF(A48-$A$45:A48=0,1,A48-$A$45:A48))),0)</f>
        <v>0.0</v>
      </c>
      <c r="I48" s="7">
        <f>Parameters!$H$23*I47+B48*Parameters!$H$22</f>
        <v>0.0</v>
      </c>
      <c r="J48" s="7">
        <f>E48*Parameters!$H$14*(1-Parameters!$H$15)</f>
        <v>0.7568880128000003</v>
      </c>
      <c r="K48" s="7">
        <f>H48*Parameters!$H$29</f>
        <v>0.0</v>
      </c>
      <c r="L48" s="7">
        <f>I48*Parameters!$H$24</f>
        <v>0.0</v>
      </c>
      <c r="M48" s="7">
        <f>J48+K48+L48</f>
        <v>0.7568880128000003</v>
      </c>
      <c r="N48" s="7">
        <f>C48*Parameters!$H$17+D48*Parameters!$H$18+E48*Parameters!$H$16+I48*Parameters!$H$25+G48*Parameters!$H$30</f>
        <v>0.15360000000000004</v>
      </c>
      <c r="O48" s="7">
        <f>0</f>
        <v>0</v>
      </c>
      <c r="P48" s="7">
        <f>M48-N48-O48</f>
        <v>0.6032880128000002</v>
      </c>
      <c r="Q48" s="7">
        <f>0</f>
        <v>0</v>
      </c>
      <c r="R48" s="7">
        <f>P48-Q48</f>
        <v>0.6032880128000002</v>
      </c>
      <c r="S48" s="7">
        <f>IF(A48&lt;1+Parameters!$H$31,0,INDEX($M$45:$M$80,A48-Parameters!$H$31))</f>
        <v>1.0179136000000002</v>
      </c>
      <c r="T48" s="7">
        <f>T47+M48-S48</f>
        <v>0.7568880128000003</v>
      </c>
      <c r="U48" s="7">
        <f>S48-N48-O48-Q48</f>
        <v>0.8643136000000001</v>
      </c>
      <c r="V48" s="7">
        <f>V47+U48</f>
        <v>3.4155136</v>
      </c>
      <c r="W48" s="7">
        <f>(1-Parameters!$H$7)*(C48-E48)+(1-Parameters!$H$8)*(D48+E48)</f>
        <v>0.10239999999999999</v>
      </c>
      <c r="X48" s="7">
        <f>Parameters!$H$7*(C48-E48)+Parameters!$H$8*Parameters!$H$9*(D48+E48)</f>
        <v>0.2990986485760001</v>
      </c>
      <c r="Y48" s="7">
        <f>Parameters!$H$8*(1-Parameters!$H$9)*(D48+E48)</f>
        <v>0.11050135142400004</v>
      </c>
      <c r="Z48" s="7">
        <f>POWER(1/(1+Parameters!$H$32),A48-1)*(M48-N48)</f>
        <v>0.5855454015865269</v>
      </c>
    </row>
    <row r="49" spans="1:26">
      <c r="A49" s="7">
        <v>5</v>
      </c>
      <c r="B49" s="7">
        <f>0</f>
        <v>0</v>
      </c>
      <c r="C49" s="7">
        <f>X48+B49</f>
        <v>0.2990986485760001</v>
      </c>
      <c r="D49" s="7">
        <f>Y48</f>
        <v>0.11050135142400003</v>
      </c>
      <c r="E49" s="7">
        <f>Parameters!$H$6*C49</f>
        <v>0.029909864857600013</v>
      </c>
      <c r="F49" s="7">
        <f>IF(Parameters!$H$5=1,E49,0)</f>
        <v>0.0</v>
      </c>
      <c r="G49" s="7">
        <f>Parameters!$H$27*G48+F49</f>
        <v>0.0</v>
      </c>
      <c r="H49" s="7">
        <f>IF(AND(Parameters!$H$5=1,Parameters!$H$26=1),SUMPRODUCT(--($A$45:A49&lt;A49),--(MOD(A49-$A$45:A49,Parameters!$H$28)=0),$F$45:F49,POWER(Parameters!$H$27,IF(A49-$A$45:A49=0,1,A49-$A$45:A49))),0)</f>
        <v>0.0</v>
      </c>
      <c r="I49" s="7">
        <f>Parameters!$H$23*I48+B49*Parameters!$H$22</f>
        <v>0.0</v>
      </c>
      <c r="J49" s="7">
        <f>E49*Parameters!$H$14*(1-Parameters!$H$15)</f>
        <v>0.5682874322944002</v>
      </c>
      <c r="K49" s="7">
        <f>H49*Parameters!$H$29</f>
        <v>0.0</v>
      </c>
      <c r="L49" s="7">
        <f>I49*Parameters!$H$24</f>
        <v>0.0</v>
      </c>
      <c r="M49" s="7">
        <f>J49+K49+L49</f>
        <v>0.5682874322944002</v>
      </c>
      <c r="N49" s="7">
        <f>C49*Parameters!$H$17+D49*Parameters!$H$18+E49*Parameters!$H$16+I49*Parameters!$H$25+G49*Parameters!$H$30</f>
        <v>0.12288000000000004</v>
      </c>
      <c r="O49" s="7">
        <f>0</f>
        <v>0</v>
      </c>
      <c r="P49" s="7">
        <f>M49-N49-O49</f>
        <v>0.4454074322944001</v>
      </c>
      <c r="Q49" s="7">
        <f>0</f>
        <v>0</v>
      </c>
      <c r="R49" s="7">
        <f>P49-Q49</f>
        <v>0.4454074322944001</v>
      </c>
      <c r="S49" s="7">
        <f>IF(A49&lt;1+Parameters!$H$31,0,INDEX($M$45:$M$80,A49-Parameters!$H$31))</f>
        <v>0.7568880128000003</v>
      </c>
      <c r="T49" s="7">
        <f>T48+M49-S49</f>
        <v>0.5682874322944002</v>
      </c>
      <c r="U49" s="7">
        <f>S49-N49-O49-Q49</f>
        <v>0.6340080128000003</v>
      </c>
      <c r="V49" s="7">
        <f>V48+U49</f>
        <v>4.0495216128000004</v>
      </c>
      <c r="W49" s="7">
        <f>(1-Parameters!$H$7)*(C49-E49)+(1-Parameters!$H$8)*(D49+E49)</f>
        <v>0.08192</v>
      </c>
      <c r="X49" s="7">
        <f>Parameters!$H$7*(C49-E49)+Parameters!$H$8*Parameters!$H$9*(D49+E49)</f>
        <v>0.22658392427724808</v>
      </c>
      <c r="Y49" s="7">
        <f>Parameters!$H$8*(1-Parameters!$H$9)*(D49+E49)</f>
        <v>0.10109607572275203</v>
      </c>
      <c r="Z49" s="7">
        <f>POWER(1/(1+Parameters!$H$32),A49-1)*(M49-N49)</f>
        <v>0.42802778772147926</v>
      </c>
    </row>
    <row r="50" spans="1:26">
      <c r="A50" s="7">
        <v>6</v>
      </c>
      <c r="B50" s="7">
        <f>0</f>
        <v>0</v>
      </c>
      <c r="C50" s="7">
        <f>X49+B50</f>
        <v>0.2265839242772481</v>
      </c>
      <c r="D50" s="7">
        <f>Y49</f>
        <v>0.10109607572275205</v>
      </c>
      <c r="E50" s="7">
        <f>Parameters!$H$6*C50</f>
        <v>0.022658392427724813</v>
      </c>
      <c r="F50" s="7">
        <f>IF(Parameters!$H$5=1,E50,0)</f>
        <v>0.0</v>
      </c>
      <c r="G50" s="7">
        <f>Parameters!$H$27*G49+F50</f>
        <v>0.0</v>
      </c>
      <c r="H50" s="7">
        <f>IF(AND(Parameters!$H$5=1,Parameters!$H$26=1),SUMPRODUCT(--($A$45:A50&lt;A50),--(MOD(A50-$A$45:A50,Parameters!$H$28)=0),$F$45:F50,POWER(Parameters!$H$27,IF(A50-$A$45:A50=0,1,A50-$A$45:A50))),0)</f>
        <v>0.0</v>
      </c>
      <c r="I50" s="7">
        <f>Parameters!$H$23*I49+B50*Parameters!$H$22</f>
        <v>0.0</v>
      </c>
      <c r="J50" s="7">
        <f>E50*Parameters!$H$14*(1-Parameters!$H$15)</f>
        <v>0.43050945612677144</v>
      </c>
      <c r="K50" s="7">
        <f>H50*Parameters!$H$29</f>
        <v>0.0</v>
      </c>
      <c r="L50" s="7">
        <f>I50*Parameters!$H$24</f>
        <v>0.0</v>
      </c>
      <c r="M50" s="7">
        <f>J50+K50+L50</f>
        <v>0.43050945612677144</v>
      </c>
      <c r="N50" s="7">
        <f>C50*Parameters!$H$17+D50*Parameters!$H$18+E50*Parameters!$H$16+I50*Parameters!$H$25+G50*Parameters!$H$30</f>
        <v>0.09830400000000004</v>
      </c>
      <c r="O50" s="7">
        <f>0</f>
        <v>0</v>
      </c>
      <c r="P50" s="7">
        <f>M50-N50-O50</f>
        <v>0.3322054561267714</v>
      </c>
      <c r="Q50" s="7">
        <f>0</f>
        <v>0</v>
      </c>
      <c r="R50" s="7">
        <f>P50-Q50</f>
        <v>0.3322054561267714</v>
      </c>
      <c r="S50" s="7">
        <f>IF(A50&lt;1+Parameters!$H$31,0,INDEX($M$45:$M$80,A50-Parameters!$H$31))</f>
        <v>0.5682874322944002</v>
      </c>
      <c r="T50" s="7">
        <f>T49+M50-S50</f>
        <v>0.43050945612677144</v>
      </c>
      <c r="U50" s="7">
        <f>S50-N50-O50-Q50</f>
        <v>0.4699834322944001</v>
      </c>
      <c r="V50" s="7">
        <f>V49+U50</f>
        <v>4.519505045094401</v>
      </c>
      <c r="W50" s="7">
        <f>(1-Parameters!$H$7)*(C50-E50)+(1-Parameters!$H$8)*(D50+E50)</f>
        <v>0.06553600000000001</v>
      </c>
      <c r="X50" s="7">
        <f>Parameters!$H$7*(C50-E50)+Parameters!$H$8*Parameters!$H$9*(D50+E50)</f>
        <v>0.17304078293165678</v>
      </c>
      <c r="Y50" s="7">
        <f>Parameters!$H$8*(1-Parameters!$H$9)*(D50+E50)</f>
        <v>0.08910321706834334</v>
      </c>
      <c r="Z50" s="7">
        <f>POWER(1/(1+Parameters!$H$32),A50-1)*(M50-N50)</f>
        <v>0.31608209274037213</v>
      </c>
    </row>
    <row r="51" spans="1:26">
      <c r="A51" s="7">
        <v>7</v>
      </c>
      <c r="B51" s="7">
        <f>0</f>
        <v>0</v>
      </c>
      <c r="C51" s="7">
        <f>X50+B51</f>
        <v>0.1730407829316568</v>
      </c>
      <c r="D51" s="7">
        <f>Y50</f>
        <v>0.08910321706834334</v>
      </c>
      <c r="E51" s="7">
        <f>Parameters!$H$6*C51</f>
        <v>0.017304078293165683</v>
      </c>
      <c r="F51" s="7">
        <f>IF(Parameters!$H$5=1,E51,0)</f>
        <v>0.0</v>
      </c>
      <c r="G51" s="7">
        <f>Parameters!$H$27*G50+F51</f>
        <v>0.0</v>
      </c>
      <c r="H51" s="7">
        <f>IF(AND(Parameters!$H$5=1,Parameters!$H$26=1),SUMPRODUCT(--($A$45:A51&lt;A51),--(MOD(A51-$A$45:A51,Parameters!$H$28)=0),$F$45:F51,POWER(Parameters!$H$27,IF(A51-$A$45:A51=0,1,A51-$A$45:A51))),0)</f>
        <v>0.0</v>
      </c>
      <c r="I51" s="7">
        <f>Parameters!$H$23*I50+B51*Parameters!$H$22</f>
        <v>0.0</v>
      </c>
      <c r="J51" s="7">
        <f>E51*Parameters!$H$14*(1-Parameters!$H$15)</f>
        <v>0.32877748757014796</v>
      </c>
      <c r="K51" s="7">
        <f>H51*Parameters!$H$29</f>
        <v>0.0</v>
      </c>
      <c r="L51" s="7">
        <f>I51*Parameters!$H$24</f>
        <v>0.0</v>
      </c>
      <c r="M51" s="7">
        <f>J51+K51+L51</f>
        <v>0.32877748757014796</v>
      </c>
      <c r="N51" s="7">
        <f>C51*Parameters!$H$17+D51*Parameters!$H$18+E51*Parameters!$H$16+I51*Parameters!$H$25+G51*Parameters!$H$30</f>
        <v>0.07864320000000005</v>
      </c>
      <c r="O51" s="7">
        <f>0</f>
        <v>0</v>
      </c>
      <c r="P51" s="7">
        <f>M51-N51-O51</f>
        <v>0.2501342875701479</v>
      </c>
      <c r="Q51" s="7">
        <f>0</f>
        <v>0</v>
      </c>
      <c r="R51" s="7">
        <f>P51-Q51</f>
        <v>0.2501342875701479</v>
      </c>
      <c r="S51" s="7">
        <f>IF(A51&lt;1+Parameters!$H$31,0,INDEX($M$45:$M$80,A51-Parameters!$H$31))</f>
        <v>0.43050945612677144</v>
      </c>
      <c r="T51" s="7">
        <f>T50+M51-S51</f>
        <v>0.32877748757014796</v>
      </c>
      <c r="U51" s="7">
        <f>S51-N51-O51-Q51</f>
        <v>0.35186625612677136</v>
      </c>
      <c r="V51" s="7">
        <f>V50+U51</f>
        <v>4.871371301221172</v>
      </c>
      <c r="W51" s="7">
        <f>(1-Parameters!$H$7)*(C51-E51)+(1-Parameters!$H$8)*(D51+E51)</f>
        <v>0.052428800000000025</v>
      </c>
      <c r="X51" s="7">
        <f>Parameters!$H$7*(C51-E51)+Parameters!$H$8*Parameters!$H$9*(D51+E51)</f>
        <v>0.13310194733971362</v>
      </c>
      <c r="Y51" s="7">
        <f>Parameters!$H$8*(1-Parameters!$H$9)*(D51+E51)</f>
        <v>0.07661325266028651</v>
      </c>
      <c r="Z51" s="7">
        <f>POWER(1/(1+Parameters!$H$32),A51-1)*(M51-N51)</f>
        <v>0.23563781377916335</v>
      </c>
    </row>
    <row r="52" spans="1:26">
      <c r="A52" s="7">
        <v>8</v>
      </c>
      <c r="B52" s="7">
        <f>0</f>
        <v>0</v>
      </c>
      <c r="C52" s="7">
        <f>X51+B52</f>
        <v>0.13310194733971364</v>
      </c>
      <c r="D52" s="7">
        <f>Y51</f>
        <v>0.07661325266028651</v>
      </c>
      <c r="E52" s="7">
        <f>Parameters!$H$6*C52</f>
        <v>0.013310194733971365</v>
      </c>
      <c r="F52" s="7">
        <f>IF(Parameters!$H$5=1,E52,0)</f>
        <v>0.0</v>
      </c>
      <c r="G52" s="7">
        <f>Parameters!$H$27*G51+F52</f>
        <v>0.0</v>
      </c>
      <c r="H52" s="7">
        <f>IF(AND(Parameters!$H$5=1,Parameters!$H$26=1),SUMPRODUCT(--($A$45:A52&lt;A52),--(MOD(A52-$A$45:A52,Parameters!$H$28)=0),$F$45:F52,POWER(Parameters!$H$27,IF(A52-$A$45:A52=0,1,A52-$A$45:A52))),0)</f>
        <v>0.0</v>
      </c>
      <c r="I52" s="7">
        <f>Parameters!$H$23*I51+B52*Parameters!$H$22</f>
        <v>0.0</v>
      </c>
      <c r="J52" s="7">
        <f>E52*Parameters!$H$14*(1-Parameters!$H$15)</f>
        <v>0.2528936999454559</v>
      </c>
      <c r="K52" s="7">
        <f>H52*Parameters!$H$29</f>
        <v>0.0</v>
      </c>
      <c r="L52" s="7">
        <f>I52*Parameters!$H$24</f>
        <v>0.0</v>
      </c>
      <c r="M52" s="7">
        <f>J52+K52+L52</f>
        <v>0.2528936999454559</v>
      </c>
      <c r="N52" s="7">
        <f>C52*Parameters!$H$17+D52*Parameters!$H$18+E52*Parameters!$H$16+I52*Parameters!$H$25+G52*Parameters!$H$30</f>
        <v>0.06291456000000005</v>
      </c>
      <c r="O52" s="7">
        <f>0</f>
        <v>0</v>
      </c>
      <c r="P52" s="7">
        <f>M52-N52-O52</f>
        <v>0.18997913994545584</v>
      </c>
      <c r="Q52" s="7">
        <f>0</f>
        <v>0</v>
      </c>
      <c r="R52" s="7">
        <f>P52-Q52</f>
        <v>0.18997913994545584</v>
      </c>
      <c r="S52" s="7">
        <f>IF(A52&lt;1+Parameters!$H$31,0,INDEX($M$45:$M$80,A52-Parameters!$H$31))</f>
        <v>0.32877748757014796</v>
      </c>
      <c r="T52" s="7">
        <f>T51+M52-S52</f>
        <v>0.2528936999454559</v>
      </c>
      <c r="U52" s="7">
        <f>S52-N52-O52-Q52</f>
        <v>0.2658629275701479</v>
      </c>
      <c r="V52" s="7">
        <f>V51+U52</f>
        <v>5.13723422879132</v>
      </c>
      <c r="W52" s="7">
        <f>(1-Parameters!$H$7)*(C52-E52)+(1-Parameters!$H$8)*(D52+E52)</f>
        <v>0.04194304000000002</v>
      </c>
      <c r="X52" s="7">
        <f>Parameters!$H$7*(C52-E52)+Parameters!$H$8*Parameters!$H$9*(D52+E52)</f>
        <v>0.10302727787613446</v>
      </c>
      <c r="Y52" s="7">
        <f>Parameters!$H$8*(1-Parameters!$H$9)*(D52+E52)</f>
        <v>0.06474488212386569</v>
      </c>
      <c r="Z52" s="7">
        <f>POWER(1/(1+Parameters!$H$32),A52-1)*(M52-N52)</f>
        <v>0.1771969738448602</v>
      </c>
    </row>
    <row r="53" spans="1:26">
      <c r="A53" s="7">
        <v>9</v>
      </c>
      <c r="B53" s="7">
        <f>0</f>
        <v>0</v>
      </c>
      <c r="C53" s="7">
        <f>X52+B53</f>
        <v>0.10302727787613446</v>
      </c>
      <c r="D53" s="7">
        <f>Y52</f>
        <v>0.06474488212386567</v>
      </c>
      <c r="E53" s="7">
        <f>Parameters!$H$6*C53</f>
        <v>0.010302727787613446</v>
      </c>
      <c r="F53" s="7">
        <f>IF(Parameters!$H$5=1,E53,0)</f>
        <v>0.0</v>
      </c>
      <c r="G53" s="7">
        <f>Parameters!$H$27*G52+F53</f>
        <v>0.0</v>
      </c>
      <c r="H53" s="7">
        <f>IF(AND(Parameters!$H$5=1,Parameters!$H$26=1),SUMPRODUCT(--($A$45:A53&lt;A53),--(MOD(A53-$A$45:A53,Parameters!$H$28)=0),$F$45:F53,POWER(Parameters!$H$27,IF(A53-$A$45:A53=0,1,A53-$A$45:A53))),0)</f>
        <v>0.0</v>
      </c>
      <c r="I53" s="7">
        <f>Parameters!$H$23*I52+B53*Parameters!$H$22</f>
        <v>0.0</v>
      </c>
      <c r="J53" s="7">
        <f>E53*Parameters!$H$14*(1-Parameters!$H$15)</f>
        <v>0.19575182796465546</v>
      </c>
      <c r="K53" s="7">
        <f>H53*Parameters!$H$29</f>
        <v>0.0</v>
      </c>
      <c r="L53" s="7">
        <f>I53*Parameters!$H$24</f>
        <v>0.0</v>
      </c>
      <c r="M53" s="7">
        <f>J53+K53+L53</f>
        <v>0.19575182796465546</v>
      </c>
      <c r="N53" s="7">
        <f>C53*Parameters!$H$17+D53*Parameters!$H$18+E53*Parameters!$H$16+I53*Parameters!$H$25+G53*Parameters!$H$30</f>
        <v>0.050331648000000034</v>
      </c>
      <c r="O53" s="7">
        <f>0</f>
        <v>0</v>
      </c>
      <c r="P53" s="7">
        <f>M53-N53-O53</f>
        <v>0.14542017996465542</v>
      </c>
      <c r="Q53" s="7">
        <f>0</f>
        <v>0</v>
      </c>
      <c r="R53" s="7">
        <f>P53-Q53</f>
        <v>0.14542017996465542</v>
      </c>
      <c r="S53" s="7">
        <f>IF(A53&lt;1+Parameters!$H$31,0,INDEX($M$45:$M$80,A53-Parameters!$H$31))</f>
        <v>0.2528936999454559</v>
      </c>
      <c r="T53" s="7">
        <f>T52+M53-S53</f>
        <v>0.19575182796465546</v>
      </c>
      <c r="U53" s="7">
        <f>S53-N53-O53-Q53</f>
        <v>0.20256205194545587</v>
      </c>
      <c r="V53" s="7">
        <f>V52+U53</f>
        <v>5.339796280736777</v>
      </c>
      <c r="W53" s="7">
        <f>(1-Parameters!$H$7)*(C53-E53)+(1-Parameters!$H$8)*(D53+E53)</f>
        <v>0.033554432000000016</v>
      </c>
      <c r="X53" s="7">
        <f>Parameters!$H$7*(C53-E53)+Parameters!$H$8*Parameters!$H$9*(D53+E53)</f>
        <v>0.08018344886373514</v>
      </c>
      <c r="Y53" s="7">
        <f>Parameters!$H$8*(1-Parameters!$H$9)*(D53+E53)</f>
        <v>0.05403427913626497</v>
      </c>
      <c r="Z53" s="7">
        <f>POWER(1/(1+Parameters!$H$32),A53-1)*(M53-N53)</f>
        <v>0.13429309640771775</v>
      </c>
    </row>
    <row r="54" spans="1:26">
      <c r="A54" s="7">
        <v>10</v>
      </c>
      <c r="B54" s="7">
        <f>0</f>
        <v>0</v>
      </c>
      <c r="C54" s="7">
        <f>X53+B54</f>
        <v>0.08018344886373516</v>
      </c>
      <c r="D54" s="7">
        <f>Y53</f>
        <v>0.05403427913626497</v>
      </c>
      <c r="E54" s="7">
        <f>Parameters!$H$6*C54</f>
        <v>0.008018344886373516</v>
      </c>
      <c r="F54" s="7">
        <f>IF(Parameters!$H$5=1,E54,0)</f>
        <v>0.0</v>
      </c>
      <c r="G54" s="7">
        <f>Parameters!$H$27*G53+F54</f>
        <v>0.0</v>
      </c>
      <c r="H54" s="7">
        <f>IF(AND(Parameters!$H$5=1,Parameters!$H$26=1),SUMPRODUCT(--($A$45:A54&lt;A54),--(MOD(A54-$A$45:A54,Parameters!$H$28)=0),$F$45:F54,POWER(Parameters!$H$27,IF(A54-$A$45:A54=0,1,A54-$A$45:A54))),0)</f>
        <v>0.0</v>
      </c>
      <c r="I54" s="7">
        <f>Parameters!$H$23*I53+B54*Parameters!$H$22</f>
        <v>0.0</v>
      </c>
      <c r="J54" s="7">
        <f>E54*Parameters!$H$14*(1-Parameters!$H$15)</f>
        <v>0.1523485528410968</v>
      </c>
      <c r="K54" s="7">
        <f>H54*Parameters!$H$29</f>
        <v>0.0</v>
      </c>
      <c r="L54" s="7">
        <f>I54*Parameters!$H$24</f>
        <v>0.0</v>
      </c>
      <c r="M54" s="7">
        <f>J54+K54+L54</f>
        <v>0.1523485528410968</v>
      </c>
      <c r="N54" s="7">
        <f>C54*Parameters!$H$17+D54*Parameters!$H$18+E54*Parameters!$H$16+I54*Parameters!$H$25+G54*Parameters!$H$30</f>
        <v>0.04026531840000004</v>
      </c>
      <c r="O54" s="7">
        <f>0</f>
        <v>0</v>
      </c>
      <c r="P54" s="7">
        <f>M54-N54-O54</f>
        <v>0.11208323444109676</v>
      </c>
      <c r="Q54" s="7">
        <f>0</f>
        <v>0</v>
      </c>
      <c r="R54" s="7">
        <f>P54-Q54</f>
        <v>0.11208323444109676</v>
      </c>
      <c r="S54" s="7">
        <f>IF(A54&lt;1+Parameters!$H$31,0,INDEX($M$45:$M$80,A54-Parameters!$H$31))</f>
        <v>0.19575182796465546</v>
      </c>
      <c r="T54" s="7">
        <f>T53+M54-S54</f>
        <v>0.1523485528410968</v>
      </c>
      <c r="U54" s="7">
        <f>S54-N54-O54-Q54</f>
        <v>0.15548650956465543</v>
      </c>
      <c r="V54" s="7">
        <f>V53+U54</f>
        <v>5.495282790301432</v>
      </c>
      <c r="W54" s="7">
        <f>(1-Parameters!$H$7)*(C54-E54)+(1-Parameters!$H$8)*(D54+E54)</f>
        <v>0.026843545600000022</v>
      </c>
      <c r="X54" s="7">
        <f>Parameters!$H$7*(C54-E54)+Parameters!$H$8*Parameters!$H$9*(D54+E54)</f>
        <v>0.0626962931037004</v>
      </c>
      <c r="Y54" s="7">
        <f>Parameters!$H$8*(1-Parameters!$H$9)*(D54+E54)</f>
        <v>0.04467788929629972</v>
      </c>
      <c r="Z54" s="7">
        <f>POWER(1/(1+Parameters!$H$32),A54-1)*(M54-N54)</f>
        <v>0.10248216487911338</v>
      </c>
    </row>
    <row r="55" spans="1:26">
      <c r="A55" s="7">
        <v>11</v>
      </c>
      <c r="B55" s="7">
        <f>0</f>
        <v>0</v>
      </c>
      <c r="C55" s="7">
        <f>X54+B55</f>
        <v>0.0626962931037004</v>
      </c>
      <c r="D55" s="7">
        <f>Y54</f>
        <v>0.04467788929629972</v>
      </c>
      <c r="E55" s="7">
        <f>Parameters!$H$6*C55</f>
        <v>0.00626962931037004</v>
      </c>
      <c r="F55" s="7">
        <f>IF(Parameters!$H$5=1,E55,0)</f>
        <v>0.0</v>
      </c>
      <c r="G55" s="7">
        <f>Parameters!$H$27*G54+F55</f>
        <v>0.0</v>
      </c>
      <c r="H55" s="7">
        <f>IF(AND(Parameters!$H$5=1,Parameters!$H$26=1),SUMPRODUCT(--($A$45:A55&lt;A55),--(MOD(A55-$A$45:A55,Parameters!$H$28)=0),$F$45:F55,POWER(Parameters!$H$27,IF(A55-$A$45:A55=0,1,A55-$A$45:A55))),0)</f>
        <v>0.0</v>
      </c>
      <c r="I55" s="7">
        <f>Parameters!$H$23*I54+B55*Parameters!$H$22</f>
        <v>0.0</v>
      </c>
      <c r="J55" s="7">
        <f>E55*Parameters!$H$14*(1-Parameters!$H$15)</f>
        <v>0.11912295689703074</v>
      </c>
      <c r="K55" s="7">
        <f>H55*Parameters!$H$29</f>
        <v>0.0</v>
      </c>
      <c r="L55" s="7">
        <f>I55*Parameters!$H$24</f>
        <v>0.0</v>
      </c>
      <c r="M55" s="7">
        <f>J55+K55+L55</f>
        <v>0.11912295689703074</v>
      </c>
      <c r="N55" s="7">
        <f>C55*Parameters!$H$17+D55*Parameters!$H$18+E55*Parameters!$H$16+I55*Parameters!$H$25+G55*Parameters!$H$30</f>
        <v>0.032212254720000034</v>
      </c>
      <c r="O55" s="7">
        <f>0</f>
        <v>0</v>
      </c>
      <c r="P55" s="7">
        <f>M55-N55-O55</f>
        <v>0.0869107021770307</v>
      </c>
      <c r="Q55" s="7">
        <f>0</f>
        <v>0</v>
      </c>
      <c r="R55" s="7">
        <f>P55-Q55</f>
        <v>0.0869107021770307</v>
      </c>
      <c r="S55" s="7">
        <f>IF(A55&lt;1+Parameters!$H$31,0,INDEX($M$45:$M$80,A55-Parameters!$H$31))</f>
        <v>0.1523485528410968</v>
      </c>
      <c r="T55" s="7">
        <f>T54+M55-S55</f>
        <v>0.11912295689703074</v>
      </c>
      <c r="U55" s="7">
        <f>S55-N55-O55-Q55</f>
        <v>0.12013629812109677</v>
      </c>
      <c r="V55" s="7">
        <f>V54+U55</f>
        <v>5.615419088422529</v>
      </c>
      <c r="W55" s="7">
        <f>(1-Parameters!$H$7)*(C55-E55)+(1-Parameters!$H$8)*(D55+E55)</f>
        <v>0.021474836480000016</v>
      </c>
      <c r="X55" s="7">
        <f>Parameters!$H$7*(C55-E55)+Parameters!$H$8*Parameters!$H$9*(D55+E55)</f>
        <v>0.049217132523197864</v>
      </c>
      <c r="Y55" s="7">
        <f>Parameters!$H$8*(1-Parameters!$H$9)*(D55+E55)</f>
        <v>0.03668221339680223</v>
      </c>
      <c r="Z55" s="7">
        <f>POWER(1/(1+Parameters!$H$32),A55-1)*(M55-N55)</f>
        <v>0.07867912490407296</v>
      </c>
    </row>
    <row r="56" spans="1:26">
      <c r="A56" s="7">
        <v>12</v>
      </c>
      <c r="B56" s="7">
        <f>0</f>
        <v>0</v>
      </c>
      <c r="C56" s="7">
        <f>X55+B56</f>
        <v>0.04921713252319787</v>
      </c>
      <c r="D56" s="7">
        <f>Y55</f>
        <v>0.03668221339680223</v>
      </c>
      <c r="E56" s="7">
        <f>Parameters!$H$6*C56</f>
        <v>0.004921713252319788</v>
      </c>
      <c r="F56" s="7">
        <f>IF(Parameters!$H$5=1,E56,0)</f>
        <v>0.0</v>
      </c>
      <c r="G56" s="7">
        <f>Parameters!$H$27*G55+F56</f>
        <v>0.0</v>
      </c>
      <c r="H56" s="7">
        <f>IF(AND(Parameters!$H$5=1,Parameters!$H$26=1),SUMPRODUCT(--($A$45:A56&lt;A56),--(MOD(A56-$A$45:A56,Parameters!$H$28)=0),$F$45:F56,POWER(Parameters!$H$27,IF(A56-$A$45:A56=0,1,A56-$A$45:A56))),0)</f>
        <v>0.0</v>
      </c>
      <c r="I56" s="7">
        <f>Parameters!$H$23*I55+B56*Parameters!$H$22</f>
        <v>0.0</v>
      </c>
      <c r="J56" s="7">
        <f>E56*Parameters!$H$14*(1-Parameters!$H$15)</f>
        <v>0.09351255179407596</v>
      </c>
      <c r="K56" s="7">
        <f>H56*Parameters!$H$29</f>
        <v>0.0</v>
      </c>
      <c r="L56" s="7">
        <f>I56*Parameters!$H$24</f>
        <v>0.0</v>
      </c>
      <c r="M56" s="7">
        <f>J56+K56+L56</f>
        <v>0.09351255179407596</v>
      </c>
      <c r="N56" s="7">
        <f>C56*Parameters!$H$17+D56*Parameters!$H$18+E56*Parameters!$H$16+I56*Parameters!$H$25+G56*Parameters!$H$30</f>
        <v>0.025769803776000032</v>
      </c>
      <c r="O56" s="7">
        <f>0</f>
        <v>0</v>
      </c>
      <c r="P56" s="7">
        <f>M56-N56-O56</f>
        <v>0.06774274801807592</v>
      </c>
      <c r="Q56" s="7">
        <f>0</f>
        <v>0</v>
      </c>
      <c r="R56" s="7">
        <f>P56-Q56</f>
        <v>0.06774274801807592</v>
      </c>
      <c r="S56" s="7">
        <f>IF(A56&lt;1+Parameters!$H$31,0,INDEX($M$45:$M$80,A56-Parameters!$H$31))</f>
        <v>0.11912295689703074</v>
      </c>
      <c r="T56" s="7">
        <f>T55+M56-S56</f>
        <v>0.09351255179407596</v>
      </c>
      <c r="U56" s="7">
        <f>S56-N56-O56-Q56</f>
        <v>0.09335315312103071</v>
      </c>
      <c r="V56" s="7">
        <f>V55+U56</f>
        <v>5.70877224154356</v>
      </c>
      <c r="W56" s="7">
        <f>(1-Parameters!$H$7)*(C56-E56)+(1-Parameters!$H$8)*(D56+E56)</f>
        <v>0.017179869184000017</v>
      </c>
      <c r="X56" s="7">
        <f>Parameters!$H$7*(C56-E56)+Parameters!$H$8*Parameters!$H$9*(D56+E56)</f>
        <v>0.038764649548632235</v>
      </c>
      <c r="Y56" s="7">
        <f>Parameters!$H$8*(1-Parameters!$H$9)*(D56+E56)</f>
        <v>0.029954827187367857</v>
      </c>
      <c r="Z56" s="7">
        <f>POWER(1/(1+Parameters!$H$32),A56-1)*(M56-N56)</f>
        <v>0.060719431738433735</v>
      </c>
    </row>
    <row r="57" spans="1:26">
      <c r="A57" s="7">
        <v>13</v>
      </c>
      <c r="B57" s="7">
        <f>0</f>
        <v>0</v>
      </c>
      <c r="C57" s="7">
        <f>X56+B57</f>
        <v>0.038764649548632235</v>
      </c>
      <c r="D57" s="7">
        <f>Y56</f>
        <v>0.029954827187367854</v>
      </c>
      <c r="E57" s="7">
        <f>Parameters!$H$6*C57</f>
        <v>0.0038764649548632237</v>
      </c>
      <c r="F57" s="7">
        <f>IF(Parameters!$H$5=1,E57,0)</f>
        <v>0.0</v>
      </c>
      <c r="G57" s="7">
        <f>Parameters!$H$27*G56+F57</f>
        <v>0.0</v>
      </c>
      <c r="H57" s="7">
        <f>IF(AND(Parameters!$H$5=1,Parameters!$H$26=1),SUMPRODUCT(--($A$45:A57&lt;A57),--(MOD(A57-$A$45:A57,Parameters!$H$28)=0),$F$45:F57,POWER(Parameters!$H$27,IF(A57-$A$45:A57=0,1,A57-$A$45:A57))),0)</f>
        <v>0.0</v>
      </c>
      <c r="I57" s="7">
        <f>Parameters!$H$23*I56+B57*Parameters!$H$22</f>
        <v>0.0</v>
      </c>
      <c r="J57" s="7">
        <f>E57*Parameters!$H$14*(1-Parameters!$H$15)</f>
        <v>0.07365283414240124</v>
      </c>
      <c r="K57" s="7">
        <f>H57*Parameters!$H$29</f>
        <v>0.0</v>
      </c>
      <c r="L57" s="7">
        <f>I57*Parameters!$H$24</f>
        <v>0.0</v>
      </c>
      <c r="M57" s="7">
        <f>J57+K57+L57</f>
        <v>0.07365283414240124</v>
      </c>
      <c r="N57" s="7">
        <f>C57*Parameters!$H$17+D57*Parameters!$H$18+E57*Parameters!$H$16+I57*Parameters!$H$25+G57*Parameters!$H$30</f>
        <v>0.020615843020800027</v>
      </c>
      <c r="O57" s="7">
        <f>0</f>
        <v>0</v>
      </c>
      <c r="P57" s="7">
        <f>M57-N57-O57</f>
        <v>0.05303699112160122</v>
      </c>
      <c r="Q57" s="7">
        <f>0</f>
        <v>0</v>
      </c>
      <c r="R57" s="7">
        <f>P57-Q57</f>
        <v>0.05303699112160122</v>
      </c>
      <c r="S57" s="7">
        <f>IF(A57&lt;1+Parameters!$H$31,0,INDEX($M$45:$M$80,A57-Parameters!$H$31))</f>
        <v>0.09351255179407596</v>
      </c>
      <c r="T57" s="7">
        <f>T56+M57-S57</f>
        <v>0.07365283414240124</v>
      </c>
      <c r="U57" s="7">
        <f>S57-N57-O57-Q57</f>
        <v>0.07289670877327593</v>
      </c>
      <c r="V57" s="7">
        <f>V56+U57</f>
        <v>5.781668950316836</v>
      </c>
      <c r="W57" s="7">
        <f>(1-Parameters!$H$7)*(C57-E57)+(1-Parameters!$H$8)*(D57+E57)</f>
        <v>0.013743895347200014</v>
      </c>
      <c r="X57" s="7">
        <f>Parameters!$H$7*(C57-E57)+Parameters!$H$8*Parameters!$H$9*(D57+E57)</f>
        <v>0.030617051046393694</v>
      </c>
      <c r="Y57" s="7">
        <f>Parameters!$H$8*(1-Parameters!$H$9)*(D57+E57)</f>
        <v>0.02435853034240638</v>
      </c>
      <c r="Z57" s="7">
        <f>POWER(1/(1+Parameters!$H$32),A57-1)*(M57-N57)</f>
        <v>0.04706763668125983</v>
      </c>
    </row>
    <row r="58" spans="1:26">
      <c r="A58" s="7">
        <v>14</v>
      </c>
      <c r="B58" s="7">
        <f>0</f>
        <v>0</v>
      </c>
      <c r="C58" s="7">
        <f>X57+B58</f>
        <v>0.0306170510463937</v>
      </c>
      <c r="D58" s="7">
        <f>Y57</f>
        <v>0.024358530342406377</v>
      </c>
      <c r="E58" s="7">
        <f>Parameters!$H$6*C58</f>
        <v>0.00306170510463937</v>
      </c>
      <c r="F58" s="7">
        <f>IF(Parameters!$H$5=1,E58,0)</f>
        <v>0.0</v>
      </c>
      <c r="G58" s="7">
        <f>Parameters!$H$27*G57+F58</f>
        <v>0.0</v>
      </c>
      <c r="H58" s="7">
        <f>IF(AND(Parameters!$H$5=1,Parameters!$H$26=1),SUMPRODUCT(--($A$45:A58&lt;A58),--(MOD(A58-$A$45:A58,Parameters!$H$28)=0),$F$45:F58,POWER(Parameters!$H$27,IF(A58-$A$45:A58=0,1,A58-$A$45:A58))),0)</f>
        <v>0.0</v>
      </c>
      <c r="I58" s="7">
        <f>Parameters!$H$23*I57+B58*Parameters!$H$22</f>
        <v>0.0</v>
      </c>
      <c r="J58" s="7">
        <f>E58*Parameters!$H$14*(1-Parameters!$H$15)</f>
        <v>0.05817239698814803</v>
      </c>
      <c r="K58" s="7">
        <f>H58*Parameters!$H$29</f>
        <v>0.0</v>
      </c>
      <c r="L58" s="7">
        <f>I58*Parameters!$H$24</f>
        <v>0.0</v>
      </c>
      <c r="M58" s="7">
        <f>J58+K58+L58</f>
        <v>0.05817239698814803</v>
      </c>
      <c r="N58" s="7">
        <f>C58*Parameters!$H$17+D58*Parameters!$H$18+E58*Parameters!$H$16+I58*Parameters!$H$25+G58*Parameters!$H$30</f>
        <v>0.016492674416640023</v>
      </c>
      <c r="O58" s="7">
        <f>0</f>
        <v>0</v>
      </c>
      <c r="P58" s="7">
        <f>M58-N58-O58</f>
        <v>0.04167972257150801</v>
      </c>
      <c r="Q58" s="7">
        <f>0</f>
        <v>0</v>
      </c>
      <c r="R58" s="7">
        <f>P58-Q58</f>
        <v>0.04167972257150801</v>
      </c>
      <c r="S58" s="7">
        <f>IF(A58&lt;1+Parameters!$H$31,0,INDEX($M$45:$M$80,A58-Parameters!$H$31))</f>
        <v>0.07365283414240124</v>
      </c>
      <c r="T58" s="7">
        <f>T57+M58-S58</f>
        <v>0.05817239698814803</v>
      </c>
      <c r="U58" s="7">
        <f>S58-N58-O58-Q58</f>
        <v>0.05716015972576122</v>
      </c>
      <c r="V58" s="7">
        <f>V57+U58</f>
        <v>5.838829110042597</v>
      </c>
      <c r="W58" s="7">
        <f>(1-Parameters!$H$7)*(C58-E58)+(1-Parameters!$H$8)*(D58+E58)</f>
        <v>0.010995116277760012</v>
      </c>
      <c r="X58" s="7">
        <f>Parameters!$H$7*(C58-E58)+Parameters!$H$8*Parameters!$H$9*(D58+E58)</f>
        <v>0.024237895589167127</v>
      </c>
      <c r="Y58" s="7">
        <f>Parameters!$H$8*(1-Parameters!$H$9)*(D58+E58)</f>
        <v>0.019742569521872942</v>
      </c>
      <c r="Z58" s="7">
        <f>POWER(1/(1+Parameters!$H$32),A58-1)*(M58-N58)</f>
        <v>0.036622413371634965</v>
      </c>
    </row>
    <row r="59" spans="1:26">
      <c r="A59" s="7">
        <v>15</v>
      </c>
      <c r="B59" s="7">
        <f>0</f>
        <v>0</v>
      </c>
      <c r="C59" s="7">
        <f>X58+B59</f>
        <v>0.024237895589167127</v>
      </c>
      <c r="D59" s="7">
        <f>Y58</f>
        <v>0.019742569521872942</v>
      </c>
      <c r="E59" s="7">
        <f>Parameters!$H$6*C59</f>
        <v>0.002423789558916713</v>
      </c>
      <c r="F59" s="7">
        <f>IF(Parameters!$H$5=1,E59,0)</f>
        <v>0.0</v>
      </c>
      <c r="G59" s="7">
        <f>Parameters!$H$27*G58+F59</f>
        <v>0.0</v>
      </c>
      <c r="H59" s="7">
        <f>IF(AND(Parameters!$H$5=1,Parameters!$H$26=1),SUMPRODUCT(--($A$45:A59&lt;A59),--(MOD(A59-$A$45:A59,Parameters!$H$28)=0),$F$45:F59,POWER(Parameters!$H$27,IF(A59-$A$45:A59=0,1,A59-$A$45:A59))),0)</f>
        <v>0.0</v>
      </c>
      <c r="I59" s="7">
        <f>Parameters!$H$23*I58+B59*Parameters!$H$22</f>
        <v>0.0</v>
      </c>
      <c r="J59" s="7">
        <f>E59*Parameters!$H$14*(1-Parameters!$H$15)</f>
        <v>0.04605200161941754</v>
      </c>
      <c r="K59" s="7">
        <f>H59*Parameters!$H$29</f>
        <v>0.0</v>
      </c>
      <c r="L59" s="7">
        <f>I59*Parameters!$H$24</f>
        <v>0.0</v>
      </c>
      <c r="M59" s="7">
        <f>J59+K59+L59</f>
        <v>0.04605200161941754</v>
      </c>
      <c r="N59" s="7">
        <f>C59*Parameters!$H$17+D59*Parameters!$H$18+E59*Parameters!$H$16+I59*Parameters!$H$25+G59*Parameters!$H$30</f>
        <v>0.01319413953331202</v>
      </c>
      <c r="O59" s="7">
        <f>0</f>
        <v>0</v>
      </c>
      <c r="P59" s="7">
        <f>M59-N59-O59</f>
        <v>0.03285786208610552</v>
      </c>
      <c r="Q59" s="7">
        <f>0</f>
        <v>0</v>
      </c>
      <c r="R59" s="7">
        <f>P59-Q59</f>
        <v>0.03285786208610552</v>
      </c>
      <c r="S59" s="7">
        <f>IF(A59&lt;1+Parameters!$H$31,0,INDEX($M$45:$M$80,A59-Parameters!$H$31))</f>
        <v>0.05817239698814803</v>
      </c>
      <c r="T59" s="7">
        <f>T58+M59-S59</f>
        <v>0.04605200161941754</v>
      </c>
      <c r="U59" s="7">
        <f>S59-N59-O59-Q59</f>
        <v>0.04497825745483601</v>
      </c>
      <c r="V59" s="7">
        <f>V58+U59</f>
        <v>5.8838073674974325</v>
      </c>
      <c r="W59" s="7">
        <f>(1-Parameters!$H$7)*(C59-E59)+(1-Parameters!$H$8)*(D59+E59)</f>
        <v>0.008796093022208011</v>
      </c>
      <c r="X59" s="7">
        <f>Parameters!$H$7*(C59-E59)+Parameters!$H$8*Parameters!$H$9*(D59+E59)</f>
        <v>0.019224593550663503</v>
      </c>
      <c r="Y59" s="7">
        <f>Parameters!$H$8*(1-Parameters!$H$9)*(D59+E59)</f>
        <v>0.015959778538168556</v>
      </c>
      <c r="Z59" s="7">
        <f>POWER(1/(1+Parameters!$H$32),A59-1)*(M59-N59)</f>
        <v>0.028585123274368792</v>
      </c>
    </row>
    <row r="60" spans="1:26">
      <c r="A60" s="7">
        <v>16</v>
      </c>
      <c r="B60" s="7">
        <f>0</f>
        <v>0</v>
      </c>
      <c r="C60" s="7">
        <f>X59+B60</f>
        <v>0.019224593550663506</v>
      </c>
      <c r="D60" s="7">
        <f>Y59</f>
        <v>0.015959778538168552</v>
      </c>
      <c r="E60" s="7">
        <f>Parameters!$H$6*C60</f>
        <v>0.0019224593550663507</v>
      </c>
      <c r="F60" s="7">
        <f>IF(Parameters!$H$5=1,E60,0)</f>
        <v>0.0</v>
      </c>
      <c r="G60" s="7">
        <f>Parameters!$H$27*G59+F60</f>
        <v>0.0</v>
      </c>
      <c r="H60" s="7">
        <f>IF(AND(Parameters!$H$5=1,Parameters!$H$26=1),SUMPRODUCT(--($A$45:A60&lt;A60),--(MOD(A60-$A$45:A60,Parameters!$H$28)=0),$F$45:F60,POWER(Parameters!$H$27,IF(A60-$A$45:A60=0,1,A60-$A$45:A60))),0)</f>
        <v>0.0</v>
      </c>
      <c r="I60" s="7">
        <f>Parameters!$H$23*I59+B60*Parameters!$H$22</f>
        <v>0.0</v>
      </c>
      <c r="J60" s="7">
        <f>E60*Parameters!$H$14*(1-Parameters!$H$15)</f>
        <v>0.03652672774626066</v>
      </c>
      <c r="K60" s="7">
        <f>H60*Parameters!$H$29</f>
        <v>0.0</v>
      </c>
      <c r="L60" s="7">
        <f>I60*Parameters!$H$24</f>
        <v>0.0</v>
      </c>
      <c r="M60" s="7">
        <f>J60+K60+L60</f>
        <v>0.03652672774626066</v>
      </c>
      <c r="N60" s="7">
        <f>C60*Parameters!$H$17+D60*Parameters!$H$18+E60*Parameters!$H$16+I60*Parameters!$H$25+G60*Parameters!$H$30</f>
        <v>0.010555311626649617</v>
      </c>
      <c r="O60" s="7">
        <f>0</f>
        <v>0</v>
      </c>
      <c r="P60" s="7">
        <f>M60-N60-O60</f>
        <v>0.02597141611961104</v>
      </c>
      <c r="Q60" s="7">
        <f>0</f>
        <v>0</v>
      </c>
      <c r="R60" s="7">
        <f>P60-Q60</f>
        <v>0.02597141611961104</v>
      </c>
      <c r="S60" s="7">
        <f>IF(A60&lt;1+Parameters!$H$31,0,INDEX($M$45:$M$80,A60-Parameters!$H$31))</f>
        <v>0.04605200161941754</v>
      </c>
      <c r="T60" s="7">
        <f>T59+M60-S60</f>
        <v>0.03652672774626066</v>
      </c>
      <c r="U60" s="7">
        <f>S60-N60-O60-Q60</f>
        <v>0.03549668999276792</v>
      </c>
      <c r="V60" s="7">
        <f>V59+U60</f>
        <v>5.9193040574902005</v>
      </c>
      <c r="W60" s="7">
        <f>(1-Parameters!$H$7)*(C60-E60)+(1-Parameters!$H$8)*(D60+E60)</f>
        <v>0.00703687441776641</v>
      </c>
      <c r="X60" s="7">
        <f>Parameters!$H$7*(C60-E60)+Parameters!$H$8*Parameters!$H$9*(D60+E60)</f>
        <v>0.015272286387936517</v>
      </c>
      <c r="Y60" s="7">
        <f>Parameters!$H$8*(1-Parameters!$H$9)*(D60+E60)</f>
        <v>0.01287521128312913</v>
      </c>
      <c r="Z60" s="7">
        <f>POWER(1/(1+Parameters!$H$32),A60-1)*(M60-N60)</f>
        <v>0.02237046563517626</v>
      </c>
    </row>
    <row r="61" spans="1:26">
      <c r="A61" s="7">
        <v>17</v>
      </c>
      <c r="B61" s="7">
        <f>0</f>
        <v>0</v>
      </c>
      <c r="C61" s="7">
        <f>X60+B61</f>
        <v>0.015272286387936517</v>
      </c>
      <c r="D61" s="7">
        <f>Y60</f>
        <v>0.01287521128312913</v>
      </c>
      <c r="E61" s="7">
        <f>Parameters!$H$6*C61</f>
        <v>0.001527228638793652</v>
      </c>
      <c r="F61" s="7">
        <f>IF(Parameters!$H$5=1,E61,0)</f>
        <v>0.0</v>
      </c>
      <c r="G61" s="7">
        <f>Parameters!$H$27*G60+F61</f>
        <v>0.0</v>
      </c>
      <c r="H61" s="7">
        <f>IF(AND(Parameters!$H$5=1,Parameters!$H$26=1),SUMPRODUCT(--($A$45:A61&lt;A61),--(MOD(A61-$A$45:A61,Parameters!$H$28)=0),$F$45:F61,POWER(Parameters!$H$27,IF(A61-$A$45:A61=0,1,A61-$A$45:A61))),0)</f>
        <v>0.0</v>
      </c>
      <c r="I61" s="7">
        <f>Parameters!$H$23*I60+B61*Parameters!$H$22</f>
        <v>0.0</v>
      </c>
      <c r="J61" s="7">
        <f>E61*Parameters!$H$14*(1-Parameters!$H$15)</f>
        <v>0.029017344137079387</v>
      </c>
      <c r="K61" s="7">
        <f>H61*Parameters!$H$29</f>
        <v>0.0</v>
      </c>
      <c r="L61" s="7">
        <f>I61*Parameters!$H$24</f>
        <v>0.0</v>
      </c>
      <c r="M61" s="7">
        <f>J61+K61+L61</f>
        <v>0.029017344137079387</v>
      </c>
      <c r="N61" s="7">
        <f>C61*Parameters!$H$17+D61*Parameters!$H$18+E61*Parameters!$H$16+I61*Parameters!$H$25+G61*Parameters!$H$30</f>
        <v>0.008444249301319696</v>
      </c>
      <c r="O61" s="7">
        <f>0</f>
        <v>0</v>
      </c>
      <c r="P61" s="7">
        <f>M61-N61-O61</f>
        <v>0.02057309483575969</v>
      </c>
      <c r="Q61" s="7">
        <f>0</f>
        <v>0</v>
      </c>
      <c r="R61" s="7">
        <f>P61-Q61</f>
        <v>0.02057309483575969</v>
      </c>
      <c r="S61" s="7">
        <f>IF(A61&lt;1+Parameters!$H$31,0,INDEX($M$45:$M$80,A61-Parameters!$H$31))</f>
        <v>0.03652672774626066</v>
      </c>
      <c r="T61" s="7">
        <f>T60+M61-S61</f>
        <v>0.029017344137079387</v>
      </c>
      <c r="U61" s="7">
        <f>S61-N61-O61-Q61</f>
        <v>0.028082478444940964</v>
      </c>
      <c r="V61" s="7">
        <f>V60+U61</f>
        <v>5.947386535935141</v>
      </c>
      <c r="W61" s="7">
        <f>(1-Parameters!$H$7)*(C61-E61)+(1-Parameters!$H$8)*(D61+E61)</f>
        <v>0.005629499534213128</v>
      </c>
      <c r="X61" s="7">
        <f>Parameters!$H$7*(C61-E61)+Parameters!$H$8*Parameters!$H$9*(D61+E61)</f>
        <v>0.012148241393068117</v>
      </c>
      <c r="Y61" s="7">
        <f>Parameters!$H$8*(1-Parameters!$H$9)*(D61+E61)</f>
        <v>0.010369756743784405</v>
      </c>
      <c r="Z61" s="7">
        <f>POWER(1/(1+Parameters!$H$32),A61-1)*(M61-N61)</f>
        <v>0.017545172705322815</v>
      </c>
    </row>
    <row r="62" spans="1:26">
      <c r="A62" s="7">
        <v>18</v>
      </c>
      <c r="B62" s="7">
        <f>0</f>
        <v>0</v>
      </c>
      <c r="C62" s="7">
        <f>X61+B62</f>
        <v>0.012148241393068117</v>
      </c>
      <c r="D62" s="7">
        <f>Y61</f>
        <v>0.010369756743784405</v>
      </c>
      <c r="E62" s="7">
        <f>Parameters!$H$6*C62</f>
        <v>0.0012148241393068117</v>
      </c>
      <c r="F62" s="7">
        <f>IF(Parameters!$H$5=1,E62,0)</f>
        <v>0.0</v>
      </c>
      <c r="G62" s="7">
        <f>Parameters!$H$27*G61+F62</f>
        <v>0.0</v>
      </c>
      <c r="H62" s="7">
        <f>IF(AND(Parameters!$H$5=1,Parameters!$H$26=1),SUMPRODUCT(--($A$45:A62&lt;A62),--(MOD(A62-$A$45:A62,Parameters!$H$28)=0),$F$45:F62,POWER(Parameters!$H$27,IF(A62-$A$45:A62=0,1,A62-$A$45:A62))),0)</f>
        <v>0.0</v>
      </c>
      <c r="I62" s="7">
        <f>Parameters!$H$23*I61+B62*Parameters!$H$22</f>
        <v>0.0</v>
      </c>
      <c r="J62" s="7">
        <f>E62*Parameters!$H$14*(1-Parameters!$H$15)</f>
        <v>0.02308165864682942</v>
      </c>
      <c r="K62" s="7">
        <f>H62*Parameters!$H$29</f>
        <v>0.0</v>
      </c>
      <c r="L62" s="7">
        <f>I62*Parameters!$H$24</f>
        <v>0.0</v>
      </c>
      <c r="M62" s="7">
        <f>J62+K62+L62</f>
        <v>0.02308165864682942</v>
      </c>
      <c r="N62" s="7">
        <f>C62*Parameters!$H$17+D62*Parameters!$H$18+E62*Parameters!$H$16+I62*Parameters!$H$25+G62*Parameters!$H$30</f>
        <v>0.006755399441055756</v>
      </c>
      <c r="O62" s="7">
        <f>0</f>
        <v>0</v>
      </c>
      <c r="P62" s="7">
        <f>M62-N62-O62</f>
        <v>0.016326259205773665</v>
      </c>
      <c r="Q62" s="7">
        <f>0</f>
        <v>0</v>
      </c>
      <c r="R62" s="7">
        <f>P62-Q62</f>
        <v>0.016326259205773665</v>
      </c>
      <c r="S62" s="7">
        <f>IF(A62&lt;1+Parameters!$H$31,0,INDEX($M$45:$M$80,A62-Parameters!$H$31))</f>
        <v>0.029017344137079387</v>
      </c>
      <c r="T62" s="7">
        <f>T61+M62-S62</f>
        <v>0.02308165864682942</v>
      </c>
      <c r="U62" s="7">
        <f>S62-N62-O62-Q62</f>
        <v>0.02226194469602363</v>
      </c>
      <c r="V62" s="7">
        <f>V61+U62</f>
        <v>5.969648480631165</v>
      </c>
      <c r="W62" s="7">
        <f>(1-Parameters!$H$7)*(C62-E62)+(1-Parameters!$H$8)*(D62+E62)</f>
        <v>0.004503599627370503</v>
      </c>
      <c r="X62" s="7">
        <f>Parameters!$H$7*(C62-E62)+Parameters!$H$8*Parameters!$H$9*(D62+E62)</f>
        <v>0.009673500273656342</v>
      </c>
      <c r="Y62" s="7">
        <f>Parameters!$H$8*(1-Parameters!$H$9)*(D62+E62)</f>
        <v>0.008340898235825678</v>
      </c>
      <c r="Z62" s="7">
        <f>POWER(1/(1+Parameters!$H$32),A62-1)*(M62-N62)</f>
        <v>0.013785525725718195</v>
      </c>
    </row>
    <row r="63" spans="1:26">
      <c r="A63" s="7">
        <v>19</v>
      </c>
      <c r="B63" s="7">
        <f>0</f>
        <v>0</v>
      </c>
      <c r="C63" s="7">
        <f>X62+B63</f>
        <v>0.009673500273656344</v>
      </c>
      <c r="D63" s="7">
        <f>Y62</f>
        <v>0.008340898235825676</v>
      </c>
      <c r="E63" s="7">
        <f>Parameters!$H$6*C63</f>
        <v>0.0009673500273656345</v>
      </c>
      <c r="F63" s="7">
        <f>IF(Parameters!$H$5=1,E63,0)</f>
        <v>0.0</v>
      </c>
      <c r="G63" s="7">
        <f>Parameters!$H$27*G62+F63</f>
        <v>0.0</v>
      </c>
      <c r="H63" s="7">
        <f>IF(AND(Parameters!$H$5=1,Parameters!$H$26=1),SUMPRODUCT(--($A$45:A63&lt;A63),--(MOD(A63-$A$45:A63,Parameters!$H$28)=0),$F$45:F63,POWER(Parameters!$H$27,IF(A63-$A$45:A63=0,1,A63-$A$45:A63))),0)</f>
        <v>0.0</v>
      </c>
      <c r="I63" s="7">
        <f>Parameters!$H$23*I62+B63*Parameters!$H$22</f>
        <v>0.0</v>
      </c>
      <c r="J63" s="7">
        <f>E63*Parameters!$H$14*(1-Parameters!$H$15)</f>
        <v>0.01837965051994705</v>
      </c>
      <c r="K63" s="7">
        <f>H63*Parameters!$H$29</f>
        <v>0.0</v>
      </c>
      <c r="L63" s="7">
        <f>I63*Parameters!$H$24</f>
        <v>0.0</v>
      </c>
      <c r="M63" s="7">
        <f>J63+K63+L63</f>
        <v>0.01837965051994705</v>
      </c>
      <c r="N63" s="7">
        <f>C63*Parameters!$H$17+D63*Parameters!$H$18+E63*Parameters!$H$16+I63*Parameters!$H$25+G63*Parameters!$H$30</f>
        <v>0.005404319552844606</v>
      </c>
      <c r="O63" s="7">
        <f>0</f>
        <v>0</v>
      </c>
      <c r="P63" s="7">
        <f>M63-N63-O63</f>
        <v>0.012975330967102445</v>
      </c>
      <c r="Q63" s="7">
        <f>0</f>
        <v>0</v>
      </c>
      <c r="R63" s="7">
        <f>P63-Q63</f>
        <v>0.012975330967102445</v>
      </c>
      <c r="S63" s="7">
        <f>IF(A63&lt;1+Parameters!$H$31,0,INDEX($M$45:$M$80,A63-Parameters!$H$31))</f>
        <v>0.02308165864682942</v>
      </c>
      <c r="T63" s="7">
        <f>T62+M63-S63</f>
        <v>0.01837965051994705</v>
      </c>
      <c r="U63" s="7">
        <f>S63-N63-O63-Q63</f>
        <v>0.017677339093984813</v>
      </c>
      <c r="V63" s="7">
        <f>V62+U63</f>
        <v>5.98732581972515</v>
      </c>
      <c r="W63" s="7">
        <f>(1-Parameters!$H$7)*(C63-E63)+(1-Parameters!$H$8)*(D63+E63)</f>
        <v>0.003602879701896403</v>
      </c>
      <c r="X63" s="7">
        <f>Parameters!$H$7*(C63-E63)+Parameters!$H$8*Parameters!$H$9*(D63+E63)</f>
        <v>0.007709580058087873</v>
      </c>
      <c r="Y63" s="7">
        <f>Parameters!$H$8*(1-Parameters!$H$9)*(D63+E63)</f>
        <v>0.006701938749497744</v>
      </c>
      <c r="Z63" s="7">
        <f>POWER(1/(1+Parameters!$H$32),A63-1)*(M63-N63)</f>
        <v>0.01084760134585727</v>
      </c>
    </row>
    <row r="64" spans="1:26">
      <c r="A64" s="7">
        <v>20</v>
      </c>
      <c r="B64" s="7">
        <f>0</f>
        <v>0</v>
      </c>
      <c r="C64" s="7">
        <f>X63+B64</f>
        <v>0.007709580058087874</v>
      </c>
      <c r="D64" s="7">
        <f>Y63</f>
        <v>0.006701938749497744</v>
      </c>
      <c r="E64" s="7">
        <f>Parameters!$H$6*C64</f>
        <v>0.0007709580058087875</v>
      </c>
      <c r="F64" s="7">
        <f>IF(Parameters!$H$5=1,E64,0)</f>
        <v>0.0</v>
      </c>
      <c r="G64" s="7">
        <f>Parameters!$H$27*G63+F64</f>
        <v>0.0</v>
      </c>
      <c r="H64" s="7">
        <f>IF(AND(Parameters!$H$5=1,Parameters!$H$26=1),SUMPRODUCT(--($A$45:A64&lt;A64),--(MOD(A64-$A$45:A64,Parameters!$H$28)=0),$F$45:F64,POWER(Parameters!$H$27,IF(A64-$A$45:A64=0,1,A64-$A$45:A64))),0)</f>
        <v>0.0</v>
      </c>
      <c r="I64" s="7">
        <f>Parameters!$H$23*I63+B64*Parameters!$H$22</f>
        <v>0.0</v>
      </c>
      <c r="J64" s="7">
        <f>E64*Parameters!$H$14*(1-Parameters!$H$15)</f>
        <v>0.014648202110366961</v>
      </c>
      <c r="K64" s="7">
        <f>H64*Parameters!$H$29</f>
        <v>0.0</v>
      </c>
      <c r="L64" s="7">
        <f>I64*Parameters!$H$24</f>
        <v>0.0</v>
      </c>
      <c r="M64" s="7">
        <f>J64+K64+L64</f>
        <v>0.014648202110366961</v>
      </c>
      <c r="N64" s="7">
        <f>C64*Parameters!$H$17+D64*Parameters!$H$18+E64*Parameters!$H$16+I64*Parameters!$H$25+G64*Parameters!$H$30</f>
        <v>0.004323455642275686</v>
      </c>
      <c r="O64" s="7">
        <f>0</f>
        <v>0</v>
      </c>
      <c r="P64" s="7">
        <f>M64-N64-O64</f>
        <v>0.010324746468091275</v>
      </c>
      <c r="Q64" s="7">
        <f>0</f>
        <v>0</v>
      </c>
      <c r="R64" s="7">
        <f>P64-Q64</f>
        <v>0.010324746468091275</v>
      </c>
      <c r="S64" s="7">
        <f>IF(A64&lt;1+Parameters!$H$31,0,INDEX($M$45:$M$80,A64-Parameters!$H$31))</f>
        <v>0.01837965051994705</v>
      </c>
      <c r="T64" s="7">
        <f>T63+M64-S64</f>
        <v>0.014648202110366961</v>
      </c>
      <c r="U64" s="7">
        <f>S64-N64-O64-Q64</f>
        <v>0.014056194877671365</v>
      </c>
      <c r="V64" s="7">
        <f>V63+U64</f>
        <v>6.001382014602822</v>
      </c>
      <c r="W64" s="7">
        <f>(1-Parameters!$H$7)*(C64-E64)+(1-Parameters!$H$8)*(D64+E64)</f>
        <v>0.002882303761517123</v>
      </c>
      <c r="X64" s="7">
        <f>Parameters!$H$7*(C64-E64)+Parameters!$H$8*Parameters!$H$9*(D64+E64)</f>
        <v>0.006148729382247792</v>
      </c>
      <c r="Y64" s="7">
        <f>Parameters!$H$8*(1-Parameters!$H$9)*(D64+E64)</f>
        <v>0.005380485663820704</v>
      </c>
      <c r="Z64" s="7">
        <f>POWER(1/(1+Parameters!$H$32),A64-1)*(M64-N64)</f>
        <v>0.008546204764314313</v>
      </c>
    </row>
    <row r="65" spans="1:26">
      <c r="A65" s="7">
        <v>21</v>
      </c>
      <c r="B65" s="7">
        <f>0</f>
        <v>0</v>
      </c>
      <c r="C65" s="7">
        <f>X64+B65</f>
        <v>0.006148729382247793</v>
      </c>
      <c r="D65" s="7">
        <f>Y64</f>
        <v>0.005380485663820703</v>
      </c>
      <c r="E65" s="7">
        <f>Parameters!$H$6*C65</f>
        <v>0.0006148729382247794</v>
      </c>
      <c r="F65" s="7">
        <f>IF(Parameters!$H$5=1,E65,0)</f>
        <v>0.0</v>
      </c>
      <c r="G65" s="7">
        <f>Parameters!$H$27*G64+F65</f>
        <v>0.0</v>
      </c>
      <c r="H65" s="7">
        <f>IF(AND(Parameters!$H$5=1,Parameters!$H$26=1),SUMPRODUCT(--($A$45:A65&lt;A65),--(MOD(A65-$A$45:A65,Parameters!$H$28)=0),$F$45:F65,POWER(Parameters!$H$27,IF(A65-$A$45:A65=0,1,A65-$A$45:A65))),0)</f>
        <v>0.0</v>
      </c>
      <c r="I65" s="7">
        <f>Parameters!$H$23*I64+B65*Parameters!$H$22</f>
        <v>0.0</v>
      </c>
      <c r="J65" s="7">
        <f>E65*Parameters!$H$14*(1-Parameters!$H$15)</f>
        <v>0.011682585826270808</v>
      </c>
      <c r="K65" s="7">
        <f>H65*Parameters!$H$29</f>
        <v>0.0</v>
      </c>
      <c r="L65" s="7">
        <f>I65*Parameters!$H$24</f>
        <v>0.0</v>
      </c>
      <c r="M65" s="7">
        <f>J65+K65+L65</f>
        <v>0.011682585826270808</v>
      </c>
      <c r="N65" s="7">
        <f>C65*Parameters!$H$17+D65*Parameters!$H$18+E65*Parameters!$H$16+I65*Parameters!$H$25+G65*Parameters!$H$30</f>
        <v>0.003458764513820549</v>
      </c>
      <c r="O65" s="7">
        <f>0</f>
        <v>0</v>
      </c>
      <c r="P65" s="7">
        <f>M65-N65-O65</f>
        <v>0.00822382131245026</v>
      </c>
      <c r="Q65" s="7">
        <f>0</f>
        <v>0</v>
      </c>
      <c r="R65" s="7">
        <f>P65-Q65</f>
        <v>0.00822382131245026</v>
      </c>
      <c r="S65" s="7">
        <f>IF(A65&lt;1+Parameters!$H$31,0,INDEX($M$45:$M$80,A65-Parameters!$H$31))</f>
        <v>0.014648202110366961</v>
      </c>
      <c r="T65" s="7">
        <f>T64+M65-S65</f>
        <v>0.011682585826270808</v>
      </c>
      <c r="U65" s="7">
        <f>S65-N65-O65-Q65</f>
        <v>0.011189437596546413</v>
      </c>
      <c r="V65" s="7">
        <f>V64+U65</f>
        <v>6.012571452199368</v>
      </c>
      <c r="W65" s="7">
        <f>(1-Parameters!$H$7)*(C65-E65)+(1-Parameters!$H$8)*(D65+E65)</f>
        <v>0.0023058430092136985</v>
      </c>
      <c r="X65" s="7">
        <f>Parameters!$H$7*(C65-E65)+Parameters!$H$8*Parameters!$H$9*(D65+E65)</f>
        <v>0.00490671384338205</v>
      </c>
      <c r="Y65" s="7">
        <f>Parameters!$H$8*(1-Parameters!$H$9)*(D65+E65)</f>
        <v>0.0043166581934727475</v>
      </c>
      <c r="Z65" s="7">
        <f>POWER(1/(1+Parameters!$H$32),A65-1)*(M65-N65)</f>
        <v>0.0067397872816606095</v>
      </c>
    </row>
    <row r="66" spans="1:26">
      <c r="A66" s="7">
        <v>22</v>
      </c>
      <c r="B66" s="7">
        <f>0</f>
        <v>0</v>
      </c>
      <c r="C66" s="7">
        <f>X65+B66</f>
        <v>0.00490671384338205</v>
      </c>
      <c r="D66" s="7">
        <f>Y65</f>
        <v>0.0043166581934727475</v>
      </c>
      <c r="E66" s="7">
        <f>Parameters!$H$6*C66</f>
        <v>0.0004906713843382051</v>
      </c>
      <c r="F66" s="7">
        <f>IF(Parameters!$H$5=1,E66,0)</f>
        <v>0.0</v>
      </c>
      <c r="G66" s="7">
        <f>Parameters!$H$27*G65+F66</f>
        <v>0.0</v>
      </c>
      <c r="H66" s="7">
        <f>IF(AND(Parameters!$H$5=1,Parameters!$H$26=1),SUMPRODUCT(--($A$45:A66&lt;A66),--(MOD(A66-$A$45:A66,Parameters!$H$28)=0),$F$45:F66,POWER(Parameters!$H$27,IF(A66-$A$45:A66=0,1,A66-$A$45:A66))),0)</f>
        <v>0.0</v>
      </c>
      <c r="I66" s="7">
        <f>Parameters!$H$23*I65+B66*Parameters!$H$22</f>
        <v>0.0</v>
      </c>
      <c r="J66" s="7">
        <f>E66*Parameters!$H$14*(1-Parameters!$H$15)</f>
        <v>0.009322756302425897</v>
      </c>
      <c r="K66" s="7">
        <f>H66*Parameters!$H$29</f>
        <v>0.0</v>
      </c>
      <c r="L66" s="7">
        <f>I66*Parameters!$H$24</f>
        <v>0.0</v>
      </c>
      <c r="M66" s="7">
        <f>J66+K66+L66</f>
        <v>0.009322756302425897</v>
      </c>
      <c r="N66" s="7">
        <f>C66*Parameters!$H$17+D66*Parameters!$H$18+E66*Parameters!$H$16+I66*Parameters!$H$25+G66*Parameters!$H$30</f>
        <v>0.0027670116110564396</v>
      </c>
      <c r="O66" s="7">
        <f>0</f>
        <v>0</v>
      </c>
      <c r="P66" s="7">
        <f>M66-N66-O66</f>
        <v>0.006555744691369457</v>
      </c>
      <c r="Q66" s="7">
        <f>0</f>
        <v>0</v>
      </c>
      <c r="R66" s="7">
        <f>P66-Q66</f>
        <v>0.006555744691369457</v>
      </c>
      <c r="S66" s="7">
        <f>IF(A66&lt;1+Parameters!$H$31,0,INDEX($M$45:$M$80,A66-Parameters!$H$31))</f>
        <v>0.011682585826270808</v>
      </c>
      <c r="T66" s="7">
        <f>T65+M66-S66</f>
        <v>0.009322756302425897</v>
      </c>
      <c r="U66" s="7">
        <f>S66-N66-O66-Q66</f>
        <v>0.008915574215214368</v>
      </c>
      <c r="V66" s="7">
        <f>V65+U66</f>
        <v>6.021487026414582</v>
      </c>
      <c r="W66" s="7">
        <f>(1-Parameters!$H$7)*(C66-E66)+(1-Parameters!$H$8)*(D66+E66)</f>
        <v>0.0018446744073709592</v>
      </c>
      <c r="X66" s="7">
        <f>Parameters!$H$7*(C66-E66)+Parameters!$H$8*Parameters!$H$9*(D66+E66)</f>
        <v>0.003917420333459952</v>
      </c>
      <c r="Y66" s="7">
        <f>Parameters!$H$8*(1-Parameters!$H$9)*(D66+E66)</f>
        <v>0.0034612772960238864</v>
      </c>
      <c r="Z66" s="7">
        <f>POWER(1/(1+Parameters!$H$32),A66-1)*(M66-N66)</f>
        <v>0.005319529020549423</v>
      </c>
    </row>
    <row r="67" spans="1:26">
      <c r="A67" s="7">
        <v>23</v>
      </c>
      <c r="B67" s="7">
        <f>0</f>
        <v>0</v>
      </c>
      <c r="C67" s="7">
        <f>X66+B67</f>
        <v>0.003917420333459953</v>
      </c>
      <c r="D67" s="7">
        <f>Y66</f>
        <v>0.003461277296023886</v>
      </c>
      <c r="E67" s="7">
        <f>Parameters!$H$6*C67</f>
        <v>0.0003917420333459953</v>
      </c>
      <c r="F67" s="7">
        <f>IF(Parameters!$H$5=1,E67,0)</f>
        <v>0.0</v>
      </c>
      <c r="G67" s="7">
        <f>Parameters!$H$27*G66+F67</f>
        <v>0.0</v>
      </c>
      <c r="H67" s="7">
        <f>IF(AND(Parameters!$H$5=1,Parameters!$H$26=1),SUMPRODUCT(--($A$45:A67&lt;A67),--(MOD(A67-$A$45:A67,Parameters!$H$28)=0),$F$45:F67,POWER(Parameters!$H$27,IF(A67-$A$45:A67=0,1,A67-$A$45:A67))),0)</f>
        <v>0.0</v>
      </c>
      <c r="I67" s="7">
        <f>Parameters!$H$23*I66+B67*Parameters!$H$22</f>
        <v>0.0</v>
      </c>
      <c r="J67" s="7">
        <f>E67*Parameters!$H$14*(1-Parameters!$H$15)</f>
        <v>0.00744309863357391</v>
      </c>
      <c r="K67" s="7">
        <f>H67*Parameters!$H$29</f>
        <v>0.0</v>
      </c>
      <c r="L67" s="7">
        <f>I67*Parameters!$H$24</f>
        <v>0.0</v>
      </c>
      <c r="M67" s="7">
        <f>J67+K67+L67</f>
        <v>0.00744309863357391</v>
      </c>
      <c r="N67" s="7">
        <f>C67*Parameters!$H$17+D67*Parameters!$H$18+E67*Parameters!$H$16+I67*Parameters!$H$25+G67*Parameters!$H$30</f>
        <v>0.002213609288845152</v>
      </c>
      <c r="O67" s="7">
        <f>0</f>
        <v>0</v>
      </c>
      <c r="P67" s="7">
        <f>M67-N67-O67</f>
        <v>0.005229489344728758</v>
      </c>
      <c r="Q67" s="7">
        <f>0</f>
        <v>0</v>
      </c>
      <c r="R67" s="7">
        <f>P67-Q67</f>
        <v>0.005229489344728758</v>
      </c>
      <c r="S67" s="7">
        <f>IF(A67&lt;1+Parameters!$H$31,0,INDEX($M$45:$M$80,A67-Parameters!$H$31))</f>
        <v>0.009322756302425897</v>
      </c>
      <c r="T67" s="7">
        <f>T66+M67-S67</f>
        <v>0.00744309863357391</v>
      </c>
      <c r="U67" s="7">
        <f>S67-N67-O67-Q67</f>
        <v>0.007109147013580745</v>
      </c>
      <c r="V67" s="7">
        <f>V66+U67</f>
        <v>6.028596173428163</v>
      </c>
      <c r="W67" s="7">
        <f>(1-Parameters!$H$7)*(C67-E67)+(1-Parameters!$H$8)*(D67+E67)</f>
        <v>0.0014757395258967673</v>
      </c>
      <c r="X67" s="7">
        <f>Parameters!$H$7*(C67-E67)+Parameters!$H$8*Parameters!$H$9*(D67+E67)</f>
        <v>0.003128784186440757</v>
      </c>
      <c r="Y67" s="7">
        <f>Parameters!$H$8*(1-Parameters!$H$9)*(D67+E67)</f>
        <v>0.0027741739171463146</v>
      </c>
      <c r="Z67" s="7">
        <f>POWER(1/(1+Parameters!$H$32),A67-1)*(M67-N67)</f>
        <v>0.004201351901931438</v>
      </c>
    </row>
    <row r="68" spans="1:26">
      <c r="A68" s="7">
        <v>24</v>
      </c>
      <c r="B68" s="7">
        <f>0</f>
        <v>0</v>
      </c>
      <c r="C68" s="7">
        <f>X67+B68</f>
        <v>0.003128784186440757</v>
      </c>
      <c r="D68" s="7">
        <f>Y67</f>
        <v>0.0027741739171463146</v>
      </c>
      <c r="E68" s="7">
        <f>Parameters!$H$6*C68</f>
        <v>0.0003128784186440757</v>
      </c>
      <c r="F68" s="7">
        <f>IF(Parameters!$H$5=1,E68,0)</f>
        <v>0.0</v>
      </c>
      <c r="G68" s="7">
        <f>Parameters!$H$27*G67+F68</f>
        <v>0.0</v>
      </c>
      <c r="H68" s="7">
        <f>IF(AND(Parameters!$H$5=1,Parameters!$H$26=1),SUMPRODUCT(--($A$45:A68&lt;A68),--(MOD(A68-$A$45:A68,Parameters!$H$28)=0),$F$45:F68,POWER(Parameters!$H$27,IF(A68-$A$45:A68=0,1,A68-$A$45:A68))),0)</f>
        <v>0.0</v>
      </c>
      <c r="I68" s="7">
        <f>Parameters!$H$23*I67+B68*Parameters!$H$22</f>
        <v>0.0</v>
      </c>
      <c r="J68" s="7">
        <f>E68*Parameters!$H$14*(1-Parameters!$H$15)</f>
        <v>0.005944689954237439</v>
      </c>
      <c r="K68" s="7">
        <f>H68*Parameters!$H$29</f>
        <v>0.0</v>
      </c>
      <c r="L68" s="7">
        <f>I68*Parameters!$H$24</f>
        <v>0.0</v>
      </c>
      <c r="M68" s="7">
        <f>J68+K68+L68</f>
        <v>0.005944689954237439</v>
      </c>
      <c r="N68" s="7">
        <f>C68*Parameters!$H$17+D68*Parameters!$H$18+E68*Parameters!$H$16+I68*Parameters!$H$25+G68*Parameters!$H$30</f>
        <v>0.0017708874310761217</v>
      </c>
      <c r="O68" s="7">
        <f>0</f>
        <v>0</v>
      </c>
      <c r="P68" s="7">
        <f>M68-N68-O68</f>
        <v>0.004173802523161317</v>
      </c>
      <c r="Q68" s="7">
        <f>0</f>
        <v>0</v>
      </c>
      <c r="R68" s="7">
        <f>P68-Q68</f>
        <v>0.004173802523161317</v>
      </c>
      <c r="S68" s="7">
        <f>IF(A68&lt;1+Parameters!$H$31,0,INDEX($M$45:$M$80,A68-Parameters!$H$31))</f>
        <v>0.00744309863357391</v>
      </c>
      <c r="T68" s="7">
        <f>T67+M68-S68</f>
        <v>0.005944689954237439</v>
      </c>
      <c r="U68" s="7">
        <f>S68-N68-O68-Q68</f>
        <v>0.005672211202497788</v>
      </c>
      <c r="V68" s="7">
        <f>V67+U68</f>
        <v>6.034268384630661</v>
      </c>
      <c r="W68" s="7">
        <f>(1-Parameters!$H$7)*(C68-E68)+(1-Parameters!$H$8)*(D68+E68)</f>
        <v>0.001180591620717414</v>
      </c>
      <c r="X68" s="7">
        <f>Parameters!$H$7*(C68-E68)+Parameters!$H$8*Parameters!$H$9*(D68+E68)</f>
        <v>0.002499688801100576</v>
      </c>
      <c r="Y68" s="7">
        <f>Parameters!$H$8*(1-Parameters!$H$9)*(D68+E68)</f>
        <v>0.002222677681769081</v>
      </c>
      <c r="Z68" s="7">
        <f>POWER(1/(1+Parameters!$H$32),A68-1)*(M68-N68)</f>
        <v>0.0033200169446954905</v>
      </c>
    </row>
    <row r="69" spans="1:26">
      <c r="A69" s="7">
        <v>25</v>
      </c>
      <c r="B69" s="7">
        <f>0</f>
        <v>0</v>
      </c>
      <c r="C69" s="7">
        <f>X68+B69</f>
        <v>0.0024996888011005764</v>
      </c>
      <c r="D69" s="7">
        <f>Y68</f>
        <v>0.0022226776817690815</v>
      </c>
      <c r="E69" s="7">
        <f>Parameters!$H$6*C69</f>
        <v>0.00024996888011005763</v>
      </c>
      <c r="F69" s="7">
        <f>IF(Parameters!$H$5=1,E69,0)</f>
        <v>0.0</v>
      </c>
      <c r="G69" s="7">
        <f>Parameters!$H$27*G68+F69</f>
        <v>0.0</v>
      </c>
      <c r="H69" s="7">
        <f>IF(AND(Parameters!$H$5=1,Parameters!$H$26=1),SUMPRODUCT(--($A$45:A69&lt;A69),--(MOD(A69-$A$45:A69,Parameters!$H$28)=0),$F$45:F69,POWER(Parameters!$H$27,IF(A69-$A$45:A69=0,1,A69-$A$45:A69))),0)</f>
        <v>0.0</v>
      </c>
      <c r="I69" s="7">
        <f>Parameters!$H$23*I68+B69*Parameters!$H$22</f>
        <v>0.0</v>
      </c>
      <c r="J69" s="7">
        <f>E69*Parameters!$H$14*(1-Parameters!$H$15)</f>
        <v>0.004749408722091095</v>
      </c>
      <c r="K69" s="7">
        <f>H69*Parameters!$H$29</f>
        <v>0.0</v>
      </c>
      <c r="L69" s="7">
        <f>I69*Parameters!$H$24</f>
        <v>0.0</v>
      </c>
      <c r="M69" s="7">
        <f>J69+K69+L69</f>
        <v>0.004749408722091095</v>
      </c>
      <c r="N69" s="7">
        <f>C69*Parameters!$H$17+D69*Parameters!$H$18+E69*Parameters!$H$16+I69*Parameters!$H$25+G69*Parameters!$H$30</f>
        <v>0.0014167099448608974</v>
      </c>
      <c r="O69" s="7">
        <f>0</f>
        <v>0</v>
      </c>
      <c r="P69" s="7">
        <f>M69-N69-O69</f>
        <v>0.003332698777230198</v>
      </c>
      <c r="Q69" s="7">
        <f>0</f>
        <v>0</v>
      </c>
      <c r="R69" s="7">
        <f>P69-Q69</f>
        <v>0.003332698777230198</v>
      </c>
      <c r="S69" s="7">
        <f>IF(A69&lt;1+Parameters!$H$31,0,INDEX($M$45:$M$80,A69-Parameters!$H$31))</f>
        <v>0.005944689954237439</v>
      </c>
      <c r="T69" s="7">
        <f>T68+M69-S69</f>
        <v>0.004749408722091095</v>
      </c>
      <c r="U69" s="7">
        <f>S69-N69-O69-Q69</f>
        <v>0.004527980009376541</v>
      </c>
      <c r="V69" s="7">
        <f>V68+U69</f>
        <v>6.038796364640037</v>
      </c>
      <c r="W69" s="7">
        <f>(1-Parameters!$H$7)*(C69-E69)+(1-Parameters!$H$8)*(D69+E69)</f>
        <v>0.0009444732965739314</v>
      </c>
      <c r="X69" s="7">
        <f>Parameters!$H$7*(C69-E69)+Parameters!$H$8*Parameters!$H$9*(D69+E69)</f>
        <v>0.0019975876617427464</v>
      </c>
      <c r="Y69" s="7">
        <f>Parameters!$H$8*(1-Parameters!$H$9)*(D69+E69)</f>
        <v>0.0017803055245529803</v>
      </c>
      <c r="Z69" s="7">
        <f>POWER(1/(1+Parameters!$H$32),A69-1)*(M69-N69)</f>
        <v>0.0026247206698529583</v>
      </c>
    </row>
    <row r="70" spans="1:26">
      <c r="A70" s="7">
        <v>26</v>
      </c>
      <c r="B70" s="7">
        <f>0</f>
        <v>0</v>
      </c>
      <c r="C70" s="7">
        <f>X69+B70</f>
        <v>0.0019975876617427464</v>
      </c>
      <c r="D70" s="7">
        <f>Y69</f>
        <v>0.0017803055245529803</v>
      </c>
      <c r="E70" s="7">
        <f>Parameters!$H$6*C70</f>
        <v>0.00019975876617427465</v>
      </c>
      <c r="F70" s="7">
        <f>IF(Parameters!$H$5=1,E70,0)</f>
        <v>0.0</v>
      </c>
      <c r="G70" s="7">
        <f>Parameters!$H$27*G69+F70</f>
        <v>0.0</v>
      </c>
      <c r="H70" s="7">
        <f>IF(AND(Parameters!$H$5=1,Parameters!$H$26=1),SUMPRODUCT(--($A$45:A70&lt;A70),--(MOD(A70-$A$45:A70,Parameters!$H$28)=0),$F$45:F70,POWER(Parameters!$H$27,IF(A70-$A$45:A70=0,1,A70-$A$45:A70))),0)</f>
        <v>0.0</v>
      </c>
      <c r="I70" s="7">
        <f>Parameters!$H$23*I69+B70*Parameters!$H$22</f>
        <v>0.0</v>
      </c>
      <c r="J70" s="7">
        <f>E70*Parameters!$H$14*(1-Parameters!$H$15)</f>
        <v>0.003795416557311218</v>
      </c>
      <c r="K70" s="7">
        <f>H70*Parameters!$H$29</f>
        <v>0.0</v>
      </c>
      <c r="L70" s="7">
        <f>I70*Parameters!$H$24</f>
        <v>0.0</v>
      </c>
      <c r="M70" s="7">
        <f>J70+K70+L70</f>
        <v>0.003795416557311218</v>
      </c>
      <c r="N70" s="7">
        <f>C70*Parameters!$H$17+D70*Parameters!$H$18+E70*Parameters!$H$16+I70*Parameters!$H$25+G70*Parameters!$H$30</f>
        <v>0.001133367955888718</v>
      </c>
      <c r="O70" s="7">
        <f>0</f>
        <v>0</v>
      </c>
      <c r="P70" s="7">
        <f>M70-N70-O70</f>
        <v>0.0026620486014224997</v>
      </c>
      <c r="Q70" s="7">
        <f>0</f>
        <v>0</v>
      </c>
      <c r="R70" s="7">
        <f>P70-Q70</f>
        <v>0.0026620486014224997</v>
      </c>
      <c r="S70" s="7">
        <f>IF(A70&lt;1+Parameters!$H$31,0,INDEX($M$45:$M$80,A70-Parameters!$H$31))</f>
        <v>0.004749408722091095</v>
      </c>
      <c r="T70" s="7">
        <f>T69+M70-S70</f>
        <v>0.003795416557311218</v>
      </c>
      <c r="U70" s="7">
        <f>S70-N70-O70-Q70</f>
        <v>0.0036160407662023776</v>
      </c>
      <c r="V70" s="7">
        <f>V69+U70</f>
        <v>6.042412405406239</v>
      </c>
      <c r="W70" s="7">
        <f>(1-Parameters!$H$7)*(C70-E70)+(1-Parameters!$H$8)*(D70+E70)</f>
        <v>0.0007555786372591452</v>
      </c>
      <c r="X70" s="7">
        <f>Parameters!$H$7*(C70-E70)+Parameters!$H$8*Parameters!$H$9*(D70+E70)</f>
        <v>0.001596668259712958</v>
      </c>
      <c r="Y70" s="7">
        <f>Parameters!$H$8*(1-Parameters!$H$9)*(D70+E70)</f>
        <v>0.0014256462893236237</v>
      </c>
      <c r="Z70" s="7">
        <f>POWER(1/(1+Parameters!$H$32),A70-1)*(M70-N70)</f>
        <v>0.0020757814931050013</v>
      </c>
    </row>
    <row r="71" spans="1:26">
      <c r="A71" s="7">
        <v>27</v>
      </c>
      <c r="B71" s="7">
        <f>0</f>
        <v>0</v>
      </c>
      <c r="C71" s="7">
        <f>X70+B71</f>
        <v>0.001596668259712958</v>
      </c>
      <c r="D71" s="7">
        <f>Y70</f>
        <v>0.0014256462893236237</v>
      </c>
      <c r="E71" s="7">
        <f>Parameters!$H$6*C71</f>
        <v>0.00015966682597129582</v>
      </c>
      <c r="F71" s="7">
        <f>IF(Parameters!$H$5=1,E71,0)</f>
        <v>0.0</v>
      </c>
      <c r="G71" s="7">
        <f>Parameters!$H$27*G70+F71</f>
        <v>0.0</v>
      </c>
      <c r="H71" s="7">
        <f>IF(AND(Parameters!$H$5=1,Parameters!$H$26=1),SUMPRODUCT(--($A$45:A71&lt;A71),--(MOD(A71-$A$45:A71,Parameters!$H$28)=0),$F$45:F71,POWER(Parameters!$H$27,IF(A71-$A$45:A71=0,1,A71-$A$45:A71))),0)</f>
        <v>0.0</v>
      </c>
      <c r="I71" s="7">
        <f>Parameters!$H$23*I70+B71*Parameters!$H$22</f>
        <v>0.0</v>
      </c>
      <c r="J71" s="7">
        <f>E71*Parameters!$H$14*(1-Parameters!$H$15)</f>
        <v>0.0030336696934546207</v>
      </c>
      <c r="K71" s="7">
        <f>H71*Parameters!$H$29</f>
        <v>0.0</v>
      </c>
      <c r="L71" s="7">
        <f>I71*Parameters!$H$24</f>
        <v>0.0</v>
      </c>
      <c r="M71" s="7">
        <f>J71+K71+L71</f>
        <v>0.0030336696934546207</v>
      </c>
      <c r="N71" s="7">
        <f>C71*Parameters!$H$17+D71*Parameters!$H$18+E71*Parameters!$H$16+I71*Parameters!$H$25+G71*Parameters!$H$30</f>
        <v>0.0009066943647109745</v>
      </c>
      <c r="O71" s="7">
        <f>0</f>
        <v>0</v>
      </c>
      <c r="P71" s="7">
        <f>M71-N71-O71</f>
        <v>0.002126975328743646</v>
      </c>
      <c r="Q71" s="7">
        <f>0</f>
        <v>0</v>
      </c>
      <c r="R71" s="7">
        <f>P71-Q71</f>
        <v>0.002126975328743646</v>
      </c>
      <c r="S71" s="7">
        <f>IF(A71&lt;1+Parameters!$H$31,0,INDEX($M$45:$M$80,A71-Parameters!$H$31))</f>
        <v>0.003795416557311218</v>
      </c>
      <c r="T71" s="7">
        <f>T70+M71-S71</f>
        <v>0.0030336696934546207</v>
      </c>
      <c r="U71" s="7">
        <f>S71-N71-O71-Q71</f>
        <v>0.0028887221926002433</v>
      </c>
      <c r="V71" s="7">
        <f>V70+U71</f>
        <v>6.045301127598839</v>
      </c>
      <c r="W71" s="7">
        <f>(1-Parameters!$H$7)*(C71-E71)+(1-Parameters!$H$8)*(D71+E71)</f>
        <v>0.0006044629098073162</v>
      </c>
      <c r="X71" s="7">
        <f>Parameters!$H$7*(C71-E71)+Parameters!$H$8*Parameters!$H$9*(D71+E71)</f>
        <v>0.0012764261962169233</v>
      </c>
      <c r="Y71" s="7">
        <f>Parameters!$H$8*(1-Parameters!$H$9)*(D71+E71)</f>
        <v>0.0011414254430123423</v>
      </c>
      <c r="Z71" s="7">
        <f>POWER(1/(1+Parameters!$H$32),A71-1)*(M71-N71)</f>
        <v>0.0016421269706738848</v>
      </c>
    </row>
    <row r="72" spans="1:26">
      <c r="A72" s="7">
        <v>28</v>
      </c>
      <c r="B72" s="7">
        <f>0</f>
        <v>0</v>
      </c>
      <c r="C72" s="7">
        <f>X71+B72</f>
        <v>0.0012764261962169233</v>
      </c>
      <c r="D72" s="7">
        <f>Y71</f>
        <v>0.0011414254430123423</v>
      </c>
      <c r="E72" s="7">
        <f>Parameters!$H$6*C72</f>
        <v>0.00012764261962169233</v>
      </c>
      <c r="F72" s="7">
        <f>IF(Parameters!$H$5=1,E72,0)</f>
        <v>0.0</v>
      </c>
      <c r="G72" s="7">
        <f>Parameters!$H$27*G71+F72</f>
        <v>0.0</v>
      </c>
      <c r="H72" s="7">
        <f>IF(AND(Parameters!$H$5=1,Parameters!$H$26=1),SUMPRODUCT(--($A$45:A72&lt;A72),--(MOD(A72-$A$45:A72,Parameters!$H$28)=0),$F$45:F72,POWER(Parameters!$H$27,IF(A72-$A$45:A72=0,1,A72-$A$45:A72))),0)</f>
        <v>0.0</v>
      </c>
      <c r="I72" s="7">
        <f>Parameters!$H$23*I71+B72*Parameters!$H$22</f>
        <v>0.0</v>
      </c>
      <c r="J72" s="7">
        <f>E72*Parameters!$H$14*(1-Parameters!$H$15)</f>
        <v>0.0024252097728121543</v>
      </c>
      <c r="K72" s="7">
        <f>H72*Parameters!$H$29</f>
        <v>0.0</v>
      </c>
      <c r="L72" s="7">
        <f>I72*Parameters!$H$24</f>
        <v>0.0</v>
      </c>
      <c r="M72" s="7">
        <f>J72+K72+L72</f>
        <v>0.0024252097728121543</v>
      </c>
      <c r="N72" s="7">
        <f>C72*Parameters!$H$17+D72*Parameters!$H$18+E72*Parameters!$H$16+I72*Parameters!$H$25+G72*Parameters!$H$30</f>
        <v>0.0007253554917687797</v>
      </c>
      <c r="O72" s="7">
        <f>0</f>
        <v>0</v>
      </c>
      <c r="P72" s="7">
        <f>M72-N72-O72</f>
        <v>0.0016998542810433745</v>
      </c>
      <c r="Q72" s="7">
        <f>0</f>
        <v>0</v>
      </c>
      <c r="R72" s="7">
        <f>P72-Q72</f>
        <v>0.0016998542810433745</v>
      </c>
      <c r="S72" s="7">
        <f>IF(A72&lt;1+Parameters!$H$31,0,INDEX($M$45:$M$80,A72-Parameters!$H$31))</f>
        <v>0.0030336696934546207</v>
      </c>
      <c r="T72" s="7">
        <f>T71+M72-S72</f>
        <v>0.0024252097728121543</v>
      </c>
      <c r="U72" s="7">
        <f>S72-N72-O72-Q72</f>
        <v>0.002308314201685841</v>
      </c>
      <c r="V72" s="7">
        <f>V71+U72</f>
        <v>6.0476094418005255</v>
      </c>
      <c r="W72" s="7">
        <f>(1-Parameters!$H$7)*(C72-E72)+(1-Parameters!$H$8)*(D72+E72)</f>
        <v>0.000483570327845853</v>
      </c>
      <c r="X72" s="7">
        <f>Parameters!$H$7*(C72-E72)+Parameters!$H$8*Parameters!$H$9*(D72+E72)</f>
        <v>0.0010205523062869076</v>
      </c>
      <c r="Y72" s="7">
        <f>Parameters!$H$8*(1-Parameters!$H$9)*(D72+E72)</f>
        <v>0.000913729005096505</v>
      </c>
      <c r="Z72" s="7">
        <f>POWER(1/(1+Parameters!$H$32),A72-1)*(M72-N72)</f>
        <v>0.001299375282860023</v>
      </c>
    </row>
    <row r="73" spans="1:26">
      <c r="A73" s="7">
        <v>29</v>
      </c>
      <c r="B73" s="7">
        <f>0</f>
        <v>0</v>
      </c>
      <c r="C73" s="7">
        <f>X72+B73</f>
        <v>0.0010205523062869078</v>
      </c>
      <c r="D73" s="7">
        <f>Y72</f>
        <v>0.0009137290050965051</v>
      </c>
      <c r="E73" s="7">
        <f>Parameters!$H$6*C73</f>
        <v>0.00010205523062869078</v>
      </c>
      <c r="F73" s="7">
        <f>IF(Parameters!$H$5=1,E73,0)</f>
        <v>0.0</v>
      </c>
      <c r="G73" s="7">
        <f>Parameters!$H$27*G72+F73</f>
        <v>0.0</v>
      </c>
      <c r="H73" s="7">
        <f>IF(AND(Parameters!$H$5=1,Parameters!$H$26=1),SUMPRODUCT(--($A$45:A73&lt;A73),--(MOD(A73-$A$45:A73,Parameters!$H$28)=0),$F$45:F73,POWER(Parameters!$H$27,IF(A73-$A$45:A73=0,1,A73-$A$45:A73))),0)</f>
        <v>0.0</v>
      </c>
      <c r="I73" s="7">
        <f>Parameters!$H$23*I72+B73*Parameters!$H$22</f>
        <v>0.0</v>
      </c>
      <c r="J73" s="7">
        <f>E73*Parameters!$H$14*(1-Parameters!$H$15)</f>
        <v>0.0019390493819451248</v>
      </c>
      <c r="K73" s="7">
        <f>H73*Parameters!$H$29</f>
        <v>0.0</v>
      </c>
      <c r="L73" s="7">
        <f>I73*Parameters!$H$24</f>
        <v>0.0</v>
      </c>
      <c r="M73" s="7">
        <f>J73+K73+L73</f>
        <v>0.0019390493819451248</v>
      </c>
      <c r="N73" s="7">
        <f>C73*Parameters!$H$17+D73*Parameters!$H$18+E73*Parameters!$H$16+I73*Parameters!$H$25+G73*Parameters!$H$30</f>
        <v>0.0005802843934150239</v>
      </c>
      <c r="O73" s="7">
        <f>0</f>
        <v>0</v>
      </c>
      <c r="P73" s="7">
        <f>M73-N73-O73</f>
        <v>0.0013587649885301008</v>
      </c>
      <c r="Q73" s="7">
        <f>0</f>
        <v>0</v>
      </c>
      <c r="R73" s="7">
        <f>P73-Q73</f>
        <v>0.0013587649885301008</v>
      </c>
      <c r="S73" s="7">
        <f>IF(A73&lt;1+Parameters!$H$31,0,INDEX($M$45:$M$80,A73-Parameters!$H$31))</f>
        <v>0.0024252097728121543</v>
      </c>
      <c r="T73" s="7">
        <f>T72+M73-S73</f>
        <v>0.0019390493819451248</v>
      </c>
      <c r="U73" s="7">
        <f>S73-N73-O73-Q73</f>
        <v>0.0018449253793971303</v>
      </c>
      <c r="V73" s="7">
        <f>V72+U73</f>
        <v>6.049454367179923</v>
      </c>
      <c r="W73" s="7">
        <f>(1-Parameters!$H$7)*(C73-E73)+(1-Parameters!$H$8)*(D73+E73)</f>
        <v>0.0003868562622766825</v>
      </c>
      <c r="X73" s="7">
        <f>Parameters!$H$7*(C73-E73)+Parameters!$H$8*Parameters!$H$9*(D73+E73)</f>
        <v>0.0008160603993845894</v>
      </c>
      <c r="Y73" s="7">
        <f>Parameters!$H$8*(1-Parameters!$H$9)*(D73+E73)</f>
        <v>0.0007313646497221412</v>
      </c>
      <c r="Z73" s="7">
        <f>POWER(1/(1+Parameters!$H$32),A73-1)*(M73-N73)</f>
        <v>0.0010283616724632732</v>
      </c>
    </row>
    <row r="74" spans="1:26">
      <c r="A74" s="7">
        <v>30</v>
      </c>
      <c r="B74" s="7">
        <f>0</f>
        <v>0</v>
      </c>
      <c r="C74" s="7">
        <f>X73+B74</f>
        <v>0.0008160603993845894</v>
      </c>
      <c r="D74" s="7">
        <f>Y73</f>
        <v>0.0007313646497221412</v>
      </c>
      <c r="E74" s="7">
        <f>Parameters!$H$6*C74</f>
        <v>8.160603993845894e-05</v>
      </c>
      <c r="F74" s="7">
        <f>IF(Parameters!$H$5=1,E74,0)</f>
        <v>0.0</v>
      </c>
      <c r="G74" s="7">
        <f>Parameters!$H$27*G73+F74</f>
        <v>0.0</v>
      </c>
      <c r="H74" s="7">
        <f>IF(AND(Parameters!$H$5=1,Parameters!$H$26=1),SUMPRODUCT(--($A$45:A74&lt;A74),--(MOD(A74-$A$45:A74,Parameters!$H$28)=0),$F$45:F74,POWER(Parameters!$H$27,IF(A74-$A$45:A74=0,1,A74-$A$45:A74))),0)</f>
        <v>0.0</v>
      </c>
      <c r="I74" s="7">
        <f>Parameters!$H$23*I73+B74*Parameters!$H$22</f>
        <v>0.0</v>
      </c>
      <c r="J74" s="7">
        <f>E74*Parameters!$H$14*(1-Parameters!$H$15)</f>
        <v>0.0015505147588307198</v>
      </c>
      <c r="K74" s="7">
        <f>H74*Parameters!$H$29</f>
        <v>0.0</v>
      </c>
      <c r="L74" s="7">
        <f>I74*Parameters!$H$24</f>
        <v>0.0</v>
      </c>
      <c r="M74" s="7">
        <f>J74+K74+L74</f>
        <v>0.0015505147588307198</v>
      </c>
      <c r="N74" s="7">
        <f>C74*Parameters!$H$17+D74*Parameters!$H$18+E74*Parameters!$H$16+I74*Parameters!$H$25+G74*Parameters!$H$30</f>
        <v>0.00046422751473201916</v>
      </c>
      <c r="O74" s="7">
        <f>0</f>
        <v>0</v>
      </c>
      <c r="P74" s="7">
        <f>M74-N74-O74</f>
        <v>0.0010862872440987007</v>
      </c>
      <c r="Q74" s="7">
        <f>0</f>
        <v>0</v>
      </c>
      <c r="R74" s="7">
        <f>P74-Q74</f>
        <v>0.0010862872440987007</v>
      </c>
      <c r="S74" s="7">
        <f>IF(A74&lt;1+Parameters!$H$31,0,INDEX($M$45:$M$80,A74-Parameters!$H$31))</f>
        <v>0.0019390493819451248</v>
      </c>
      <c r="T74" s="7">
        <f>T73+M74-S74</f>
        <v>0.0015505147588307198</v>
      </c>
      <c r="U74" s="7">
        <f>S74-N74-O74-Q74</f>
        <v>0.0014748218672131057</v>
      </c>
      <c r="V74" s="7">
        <f>V73+U74</f>
        <v>6.050929189047136</v>
      </c>
      <c r="W74" s="7">
        <f>(1-Parameters!$H$7)*(C74-E74)+(1-Parameters!$H$8)*(D74+E74)</f>
        <v>0.00030948500982134607</v>
      </c>
      <c r="X74" s="7">
        <f>Parameters!$H$7*(C74-E74)+Parameters!$H$8*Parameters!$H$9*(D74+E74)</f>
        <v>0.0006526011427297524</v>
      </c>
      <c r="Y74" s="7">
        <f>Parameters!$H$8*(1-Parameters!$H$9)*(D74+E74)</f>
        <v>0.0005853388965556322</v>
      </c>
      <c r="Z74" s="7">
        <f>POWER(1/(1+Parameters!$H$32),A74-1)*(M74-N74)</f>
        <v>0.0008140008157136084</v>
      </c>
    </row>
    <row r="75" spans="1:26">
      <c r="A75" s="7">
        <v>31</v>
      </c>
      <c r="B75" s="7">
        <f>0</f>
        <v>0</v>
      </c>
      <c r="C75" s="7">
        <f>X74+B75</f>
        <v>0.0006526011427297524</v>
      </c>
      <c r="D75" s="7">
        <f>Y74</f>
        <v>0.0005853388965556322</v>
      </c>
      <c r="E75" s="7">
        <f>Parameters!$H$6*C75</f>
        <v>6.526011427297525e-05</v>
      </c>
      <c r="F75" s="7">
        <f>IF(Parameters!$H$5=1,E75,0)</f>
        <v>0.0</v>
      </c>
      <c r="G75" s="7">
        <f>Parameters!$H$27*G74+F75</f>
        <v>0.0</v>
      </c>
      <c r="H75" s="7">
        <f>IF(AND(Parameters!$H$5=1,Parameters!$H$26=1),SUMPRODUCT(--($A$45:A75&lt;A75),--(MOD(A75-$A$45:A75,Parameters!$H$28)=0),$F$45:F75,POWER(Parameters!$H$27,IF(A75-$A$45:A75=0,1,A75-$A$45:A75))),0)</f>
        <v>0.0</v>
      </c>
      <c r="I75" s="7">
        <f>Parameters!$H$23*I74+B75*Parameters!$H$22</f>
        <v>0.0</v>
      </c>
      <c r="J75" s="7">
        <f>E75*Parameters!$H$14*(1-Parameters!$H$15)</f>
        <v>0.0012399421711865295</v>
      </c>
      <c r="K75" s="7">
        <f>H75*Parameters!$H$29</f>
        <v>0.0</v>
      </c>
      <c r="L75" s="7">
        <f>I75*Parameters!$H$24</f>
        <v>0.0</v>
      </c>
      <c r="M75" s="7">
        <f>J75+K75+L75</f>
        <v>0.0012399421711865295</v>
      </c>
      <c r="N75" s="7">
        <f>C75*Parameters!$H$17+D75*Parameters!$H$18+E75*Parameters!$H$16+I75*Parameters!$H$25+G75*Parameters!$H$30</f>
        <v>0.00037138201178561536</v>
      </c>
      <c r="O75" s="7">
        <f>0</f>
        <v>0</v>
      </c>
      <c r="P75" s="7">
        <f>M75-N75-O75</f>
        <v>0.0008685601594009141</v>
      </c>
      <c r="Q75" s="7">
        <f>0</f>
        <v>0</v>
      </c>
      <c r="R75" s="7">
        <f>P75-Q75</f>
        <v>0.0008685601594009141</v>
      </c>
      <c r="S75" s="7">
        <f>IF(A75&lt;1+Parameters!$H$31,0,INDEX($M$45:$M$80,A75-Parameters!$H$31))</f>
        <v>0.0015505147588307198</v>
      </c>
      <c r="T75" s="7">
        <f>T74+M75-S75</f>
        <v>0.0012399421711865295</v>
      </c>
      <c r="U75" s="7">
        <f>S75-N75-O75-Q75</f>
        <v>0.0011791327470451044</v>
      </c>
      <c r="V75" s="7">
        <f>V74+U75</f>
        <v>6.052108321794181</v>
      </c>
      <c r="W75" s="7">
        <f>(1-Parameters!$H$7)*(C75-E75)+(1-Parameters!$H$8)*(D75+E75)</f>
        <v>0.00024758800785707683</v>
      </c>
      <c r="X75" s="7">
        <f>Parameters!$H$7*(C75-E75)+Parameters!$H$8*Parameters!$H$9*(D75+E75)</f>
        <v>0.0005219207436317104</v>
      </c>
      <c r="Y75" s="7">
        <f>Parameters!$H$8*(1-Parameters!$H$9)*(D75+E75)</f>
        <v>0.0004684312877965974</v>
      </c>
      <c r="Z75" s="7">
        <f>POWER(1/(1+Parameters!$H$32),A75-1)*(M75-N75)</f>
        <v>0.0006444046877363758</v>
      </c>
    </row>
    <row r="76" spans="1:26">
      <c r="A76" s="7">
        <v>32</v>
      </c>
      <c r="B76" s="7">
        <f>0</f>
        <v>0</v>
      </c>
      <c r="C76" s="7">
        <f>X75+B76</f>
        <v>0.0005219207436317104</v>
      </c>
      <c r="D76" s="7">
        <f>Y75</f>
        <v>0.0004684312877965974</v>
      </c>
      <c r="E76" s="7">
        <f>Parameters!$H$6*C76</f>
        <v>5.219207436317104e-05</v>
      </c>
      <c r="F76" s="7">
        <f>IF(Parameters!$H$5=1,E76,0)</f>
        <v>0.0</v>
      </c>
      <c r="G76" s="7">
        <f>Parameters!$H$27*G75+F76</f>
        <v>0.0</v>
      </c>
      <c r="H76" s="7">
        <f>IF(AND(Parameters!$H$5=1,Parameters!$H$26=1),SUMPRODUCT(--($A$45:A76&lt;A76),--(MOD(A76-$A$45:A76,Parameters!$H$28)=0),$F$45:F76,POWER(Parameters!$H$27,IF(A76-$A$45:A76=0,1,A76-$A$45:A76))),0)</f>
        <v>0.0</v>
      </c>
      <c r="I76" s="7">
        <f>Parameters!$H$23*I75+B76*Parameters!$H$22</f>
        <v>0.0</v>
      </c>
      <c r="J76" s="7">
        <f>E76*Parameters!$H$14*(1-Parameters!$H$15)</f>
        <v>0.0009916494129002496</v>
      </c>
      <c r="K76" s="7">
        <f>H76*Parameters!$H$29</f>
        <v>0.0</v>
      </c>
      <c r="L76" s="7">
        <f>I76*Parameters!$H$24</f>
        <v>0.0</v>
      </c>
      <c r="M76" s="7">
        <f>J76+K76+L76</f>
        <v>0.0009916494129002496</v>
      </c>
      <c r="N76" s="7">
        <f>C76*Parameters!$H$17+D76*Parameters!$H$18+E76*Parameters!$H$16+I76*Parameters!$H$25+G76*Parameters!$H$30</f>
        <v>0.00029710560942849235</v>
      </c>
      <c r="O76" s="7">
        <f>0</f>
        <v>0</v>
      </c>
      <c r="P76" s="7">
        <f>M76-N76-O76</f>
        <v>0.0006945438034717573</v>
      </c>
      <c r="Q76" s="7">
        <f>0</f>
        <v>0</v>
      </c>
      <c r="R76" s="7">
        <f>P76-Q76</f>
        <v>0.0006945438034717573</v>
      </c>
      <c r="S76" s="7">
        <f>IF(A76&lt;1+Parameters!$H$31,0,INDEX($M$45:$M$80,A76-Parameters!$H$31))</f>
        <v>0.0012399421711865295</v>
      </c>
      <c r="T76" s="7">
        <f>T75+M76-S76</f>
        <v>0.0009916494129002496</v>
      </c>
      <c r="U76" s="7">
        <f>S76-N76-O76-Q76</f>
        <v>0.0009428365617580372</v>
      </c>
      <c r="V76" s="7">
        <f>V75+U76</f>
        <v>6.053051158355939</v>
      </c>
      <c r="W76" s="7">
        <f>(1-Parameters!$H$7)*(C76-E76)+(1-Parameters!$H$8)*(D76+E76)</f>
        <v>0.0001980704062856615</v>
      </c>
      <c r="X76" s="7">
        <f>Parameters!$H$7*(C76-E76)+Parameters!$H$8*Parameters!$H$9*(D76+E76)</f>
        <v>0.00041743280438761297</v>
      </c>
      <c r="Y76" s="7">
        <f>Parameters!$H$8*(1-Parameters!$H$9)*(D76+E76)</f>
        <v>0.00037484882075503333</v>
      </c>
      <c r="Z76" s="7">
        <f>POWER(1/(1+Parameters!$H$32),A76-1)*(M76-N76)</f>
        <v>0.0005101960051512209</v>
      </c>
    </row>
    <row r="77" spans="1:26">
      <c r="A77" s="7">
        <v>33</v>
      </c>
      <c r="B77" s="7">
        <f>0</f>
        <v>0</v>
      </c>
      <c r="C77" s="7">
        <f>X76+B77</f>
        <v>0.00041743280438761297</v>
      </c>
      <c r="D77" s="7">
        <f>Y76</f>
        <v>0.0003748488207550333</v>
      </c>
      <c r="E77" s="7">
        <f>Parameters!$H$6*C77</f>
        <v>4.17432804387613e-05</v>
      </c>
      <c r="F77" s="7">
        <f>IF(Parameters!$H$5=1,E77,0)</f>
        <v>0.0</v>
      </c>
      <c r="G77" s="7">
        <f>Parameters!$H$27*G76+F77</f>
        <v>0.0</v>
      </c>
      <c r="H77" s="7">
        <f>IF(AND(Parameters!$H$5=1,Parameters!$H$26=1),SUMPRODUCT(--($A$45:A77&lt;A77),--(MOD(A77-$A$45:A77,Parameters!$H$28)=0),$F$45:F77,POWER(Parameters!$H$27,IF(A77-$A$45:A77=0,1,A77-$A$45:A77))),0)</f>
        <v>0.0</v>
      </c>
      <c r="I77" s="7">
        <f>Parameters!$H$23*I76+B77*Parameters!$H$22</f>
        <v>0.0</v>
      </c>
      <c r="J77" s="7">
        <f>E77*Parameters!$H$14*(1-Parameters!$H$15)</f>
        <v>0.0007931223283364647</v>
      </c>
      <c r="K77" s="7">
        <f>H77*Parameters!$H$29</f>
        <v>0.0</v>
      </c>
      <c r="L77" s="7">
        <f>I77*Parameters!$H$24</f>
        <v>0.0</v>
      </c>
      <c r="M77" s="7">
        <f>J77+K77+L77</f>
        <v>0.0007931223283364647</v>
      </c>
      <c r="N77" s="7">
        <f>C77*Parameters!$H$17+D77*Parameters!$H$18+E77*Parameters!$H$16+I77*Parameters!$H$25+G77*Parameters!$H$30</f>
        <v>0.0002376844875427939</v>
      </c>
      <c r="O77" s="7">
        <f>0</f>
        <v>0</v>
      </c>
      <c r="P77" s="7">
        <f>M77-N77-O77</f>
        <v>0.0005554378407936708</v>
      </c>
      <c r="Q77" s="7">
        <f>0</f>
        <v>0</v>
      </c>
      <c r="R77" s="7">
        <f>P77-Q77</f>
        <v>0.0005554378407936708</v>
      </c>
      <c r="S77" s="7">
        <f>IF(A77&lt;1+Parameters!$H$31,0,INDEX($M$45:$M$80,A77-Parameters!$H$31))</f>
        <v>0.0009916494129002496</v>
      </c>
      <c r="T77" s="7">
        <f>T76+M77-S77</f>
        <v>0.0007931223283364647</v>
      </c>
      <c r="U77" s="7">
        <f>S77-N77-O77-Q77</f>
        <v>0.0007539649253574558</v>
      </c>
      <c r="V77" s="7">
        <f>V76+U77</f>
        <v>6.053805123281297</v>
      </c>
      <c r="W77" s="7">
        <f>(1-Parameters!$H$7)*(C77-E77)+(1-Parameters!$H$8)*(D77+E77)</f>
        <v>0.00015845632502852923</v>
      </c>
      <c r="X77" s="7">
        <f>Parameters!$H$7*(C77-E77)+Parameters!$H$8*Parameters!$H$9*(D77+E77)</f>
        <v>0.0003338789872545849</v>
      </c>
      <c r="Y77" s="7">
        <f>Parameters!$H$8*(1-Parameters!$H$9)*(D77+E77)</f>
        <v>0.0002999463128595321</v>
      </c>
      <c r="Z77" s="7">
        <f>POWER(1/(1+Parameters!$H$32),A77-1)*(M77-N77)</f>
        <v>0.00040397222183219324</v>
      </c>
    </row>
    <row r="78" spans="1:26">
      <c r="A78" s="7">
        <v>34</v>
      </c>
      <c r="B78" s="7">
        <f>0</f>
        <v>0</v>
      </c>
      <c r="C78" s="7">
        <f>X77+B78</f>
        <v>0.00033387898725458496</v>
      </c>
      <c r="D78" s="7">
        <f>Y77</f>
        <v>0.0002999463128595321</v>
      </c>
      <c r="E78" s="7">
        <f>Parameters!$H$6*C78</f>
        <v>3.33878987254585e-05</v>
      </c>
      <c r="F78" s="7">
        <f>IF(Parameters!$H$5=1,E78,0)</f>
        <v>0.0</v>
      </c>
      <c r="G78" s="7">
        <f>Parameters!$H$27*G77+F78</f>
        <v>0.0</v>
      </c>
      <c r="H78" s="7">
        <f>IF(AND(Parameters!$H$5=1,Parameters!$H$26=1),SUMPRODUCT(--($A$45:A78&lt;A78),--(MOD(A78-$A$45:A78,Parameters!$H$28)=0),$F$45:F78,POWER(Parameters!$H$27,IF(A78-$A$45:A78=0,1,A78-$A$45:A78))),0)</f>
        <v>0.0</v>
      </c>
      <c r="I78" s="7">
        <f>Parameters!$H$23*I77+B78*Parameters!$H$22</f>
        <v>0.0</v>
      </c>
      <c r="J78" s="7">
        <f>E78*Parameters!$H$14*(1-Parameters!$H$15)</f>
        <v>0.0006343700757837114</v>
      </c>
      <c r="K78" s="7">
        <f>H78*Parameters!$H$29</f>
        <v>0.0</v>
      </c>
      <c r="L78" s="7">
        <f>I78*Parameters!$H$24</f>
        <v>0.0</v>
      </c>
      <c r="M78" s="7">
        <f>J78+K78+L78</f>
        <v>0.0006343700757837114</v>
      </c>
      <c r="N78" s="7">
        <f>C78*Parameters!$H$17+D78*Parameters!$H$18+E78*Parameters!$H$16+I78*Parameters!$H$25+G78*Parameters!$H$30</f>
        <v>0.00019014759003423511</v>
      </c>
      <c r="O78" s="7">
        <f>0</f>
        <v>0</v>
      </c>
      <c r="P78" s="7">
        <f>M78-N78-O78</f>
        <v>0.0004442224857494763</v>
      </c>
      <c r="Q78" s="7">
        <f>0</f>
        <v>0</v>
      </c>
      <c r="R78" s="7">
        <f>P78-Q78</f>
        <v>0.0004442224857494763</v>
      </c>
      <c r="S78" s="7">
        <f>IF(A78&lt;1+Parameters!$H$31,0,INDEX($M$45:$M$80,A78-Parameters!$H$31))</f>
        <v>0.0007931223283364647</v>
      </c>
      <c r="T78" s="7">
        <f>T77+M78-S78</f>
        <v>0.0006343700757837114</v>
      </c>
      <c r="U78" s="7">
        <f>S78-N78-O78-Q78</f>
        <v>0.0006029747383022296</v>
      </c>
      <c r="V78" s="7">
        <f>V77+U78</f>
        <v>6.054408098019599</v>
      </c>
      <c r="W78" s="7">
        <f>(1-Parameters!$H$7)*(C78-E78)+(1-Parameters!$H$8)*(D78+E78)</f>
        <v>0.0001267650600228234</v>
      </c>
      <c r="X78" s="7">
        <f>Parameters!$H$7*(C78-E78)+Parameters!$H$8*Parameters!$H$9*(D78+E78)</f>
        <v>0.00026705960775010045</v>
      </c>
      <c r="Y78" s="7">
        <f>Parameters!$H$8*(1-Parameters!$H$9)*(D78+E78)</f>
        <v>0.00024000063234119325</v>
      </c>
      <c r="Z78" s="7">
        <f>POWER(1/(1+Parameters!$H$32),A78-1)*(M78-N78)</f>
        <v>0.00031988597776174207</v>
      </c>
    </row>
    <row r="79" spans="1:26">
      <c r="A79" s="7">
        <v>35</v>
      </c>
      <c r="B79" s="7">
        <f>0</f>
        <v>0</v>
      </c>
      <c r="C79" s="7">
        <f>X78+B79</f>
        <v>0.00026705960775010045</v>
      </c>
      <c r="D79" s="7">
        <f>Y78</f>
        <v>0.00024000063234119325</v>
      </c>
      <c r="E79" s="7">
        <f>Parameters!$H$6*C79</f>
        <v>2.6705960775010046e-05</v>
      </c>
      <c r="F79" s="7">
        <f>IF(Parameters!$H$5=1,E79,0)</f>
        <v>0.0</v>
      </c>
      <c r="G79" s="7">
        <f>Parameters!$H$27*G78+F79</f>
        <v>0.0</v>
      </c>
      <c r="H79" s="7">
        <f>IF(AND(Parameters!$H$5=1,Parameters!$H$26=1),SUMPRODUCT(--($A$45:A79&lt;A79),--(MOD(A79-$A$45:A79,Parameters!$H$28)=0),$F$45:F79,POWER(Parameters!$H$27,IF(A79-$A$45:A79=0,1,A79-$A$45:A79))),0)</f>
        <v>0.0</v>
      </c>
      <c r="I79" s="7">
        <f>Parameters!$H$23*I78+B79*Parameters!$H$22</f>
        <v>0.0</v>
      </c>
      <c r="J79" s="7">
        <f>E79*Parameters!$H$14*(1-Parameters!$H$15)</f>
        <v>0.0005074132547251909</v>
      </c>
      <c r="K79" s="7">
        <f>H79*Parameters!$H$29</f>
        <v>0.0</v>
      </c>
      <c r="L79" s="7">
        <f>I79*Parameters!$H$24</f>
        <v>0.0</v>
      </c>
      <c r="M79" s="7">
        <f>J79+K79+L79</f>
        <v>0.0005074132547251909</v>
      </c>
      <c r="N79" s="7">
        <f>C79*Parameters!$H$17+D79*Parameters!$H$18+E79*Parameters!$H$16+I79*Parameters!$H$25+G79*Parameters!$H$30</f>
        <v>0.00015211807202738812</v>
      </c>
      <c r="O79" s="7">
        <f>0</f>
        <v>0</v>
      </c>
      <c r="P79" s="7">
        <f>M79-N79-O79</f>
        <v>0.0003552951826978028</v>
      </c>
      <c r="Q79" s="7">
        <f>0</f>
        <v>0</v>
      </c>
      <c r="R79" s="7">
        <f>P79-Q79</f>
        <v>0.0003552951826978028</v>
      </c>
      <c r="S79" s="7">
        <f>IF(A79&lt;1+Parameters!$H$31,0,INDEX($M$45:$M$80,A79-Parameters!$H$31))</f>
        <v>0.0006343700757837114</v>
      </c>
      <c r="T79" s="7">
        <f>T78+M79-S79</f>
        <v>0.0005074132547251909</v>
      </c>
      <c r="U79" s="7">
        <f>S79-N79-O79-Q79</f>
        <v>0.00048225200375632334</v>
      </c>
      <c r="V79" s="7">
        <f>V78+U79</f>
        <v>6.0548903500233555</v>
      </c>
      <c r="W79" s="7">
        <f>(1-Parameters!$H$7)*(C79-E79)+(1-Parameters!$H$8)*(D79+E79)</f>
        <v>0.00010141204801825872</v>
      </c>
      <c r="X79" s="7">
        <f>Parameters!$H$7*(C79-E79)+Parameters!$H$8*Parameters!$H$9*(D79+E79)</f>
        <v>0.0002136194450293686</v>
      </c>
      <c r="Y79" s="7">
        <f>Parameters!$H$8*(1-Parameters!$H$9)*(D79+E79)</f>
        <v>0.00019202874704366641</v>
      </c>
      <c r="Z79" s="7">
        <f>POWER(1/(1+Parameters!$H$32),A79-1)*(M79-N79)</f>
        <v>0.0002533159934900339</v>
      </c>
    </row>
    <row r="80" spans="1:26">
      <c r="A80" s="7">
        <v>36</v>
      </c>
      <c r="B80" s="7">
        <f>0</f>
        <v>0</v>
      </c>
      <c r="C80" s="7">
        <f>X79+B80</f>
        <v>0.0002136194450293686</v>
      </c>
      <c r="D80" s="7">
        <f>Y79</f>
        <v>0.0001920287470436664</v>
      </c>
      <c r="E80" s="7">
        <f>Parameters!$H$6*C80</f>
        <v>2.136194450293686e-05</v>
      </c>
      <c r="F80" s="7">
        <f>IF(Parameters!$H$5=1,E80,0)</f>
        <v>0.0</v>
      </c>
      <c r="G80" s="7">
        <f>Parameters!$H$27*G79+F80</f>
        <v>0.0</v>
      </c>
      <c r="H80" s="7">
        <f>IF(AND(Parameters!$H$5=1,Parameters!$H$26=1),SUMPRODUCT(--($A$45:A80&lt;A80),--(MOD(A80-$A$45:A80,Parameters!$H$28)=0),$F$45:F80,POWER(Parameters!$H$27,IF(A80-$A$45:A80=0,1,A80-$A$45:A80))),0)</f>
        <v>0.0</v>
      </c>
      <c r="I80" s="7">
        <f>Parameters!$H$23*I79+B80*Parameters!$H$22</f>
        <v>0.0</v>
      </c>
      <c r="J80" s="7">
        <f>E80*Parameters!$H$14*(1-Parameters!$H$15)</f>
        <v>0.0004058769455558004</v>
      </c>
      <c r="K80" s="7">
        <f>H80*Parameters!$H$29</f>
        <v>0.0</v>
      </c>
      <c r="L80" s="7">
        <f>I80*Parameters!$H$24</f>
        <v>0.0</v>
      </c>
      <c r="M80" s="7">
        <f>J80+K80+L80</f>
        <v>0.0004058769455558004</v>
      </c>
      <c r="N80" s="7">
        <f>C80*Parameters!$H$17+D80*Parameters!$H$18+E80*Parameters!$H$16+I80*Parameters!$H$25+G80*Parameters!$H$30</f>
        <v>0.00012169445762191049</v>
      </c>
      <c r="O80" s="7">
        <f>0</f>
        <v>0</v>
      </c>
      <c r="P80" s="7">
        <f>M80-N80-O80</f>
        <v>0.0002841824879338899</v>
      </c>
      <c r="Q80" s="7">
        <f>0</f>
        <v>0</v>
      </c>
      <c r="R80" s="7">
        <f>P80-Q80</f>
        <v>0.0002841824879338899</v>
      </c>
      <c r="S80" s="7">
        <f>IF(A80&lt;1+Parameters!$H$31,0,INDEX($M$45:$M$80,A80-Parameters!$H$31))</f>
        <v>0.0005074132547251909</v>
      </c>
      <c r="T80" s="7">
        <f>T79+M80-S80</f>
        <v>0.0004058769455558004</v>
      </c>
      <c r="U80" s="7">
        <f>S80-N80-O80-Q80</f>
        <v>0.00038571879710328036</v>
      </c>
      <c r="V80" s="7">
        <f>V79+U80</f>
        <v>6.055276068820459</v>
      </c>
      <c r="W80" s="7">
        <f>(1-Parameters!$H$7)*(C80-E80)+(1-Parameters!$H$8)*(D80+E80)</f>
        <v>8.112963841460698e-05</v>
      </c>
      <c r="X80" s="7">
        <f>Parameters!$H$7*(C80-E80)+Parameters!$H$8*Parameters!$H$9*(D80+E80)</f>
        <v>0.00017087725574487365</v>
      </c>
      <c r="Y80" s="7">
        <f>Parameters!$H$8*(1-Parameters!$H$9)*(D80+E80)</f>
        <v>0.00015364129791355436</v>
      </c>
      <c r="Z80" s="7">
        <f>POWER(1/(1+Parameters!$H$32),A80-1)*(M80-N80)</f>
        <v>0.0002006084533747845</v>
      </c>
    </row>
  </sheetData>
  <mergeCells count="3">
    <mergeCell ref="A1:Z1"/>
    <mergeCell ref="A2:Z2"/>
    <mergeCell ref="A43:Z4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Z80"/>
  <sheetViews>
    <sheetView showGridLines="0" zoomScale="85" zoomScaleNormal="85" workbookViewId="0">
      <pane xSplit="4" ySplit="4" topLeftCell="E5" activePane="bottomRight" state="frozen"/>
      <selection pane="topRight" activeCell="E1" sqref="E1"/>
      <selection pane="bottomLeft" activeCell="A5" sqref="A5"/>
      <selection pane="bottomRight"/>
    </sheetView>
  </sheetViews>
  <sheetFormatPr defaultRowHeight="15"/>
  <cols>
    <col min="1" max="1" width="10.7109375" customWidth="1"/>
    <col min="2" max="9" width="19.7109375" customWidth="1"/>
    <col min="10" max="26" width="22.7109375" customWidth="1"/>
  </cols>
  <sheetData>
    <row r="1" spans="1:26">
      <c r="A1" s="1" t="s">
        <v>199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3" t="s">
        <v>163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4" spans="1:26" ht="45" customHeight="1">
      <c r="A4" s="4" t="s">
        <v>164</v>
      </c>
      <c r="B4" s="4" t="s">
        <v>165</v>
      </c>
      <c r="C4" s="4" t="s">
        <v>166</v>
      </c>
      <c r="D4" s="4" t="s">
        <v>167</v>
      </c>
      <c r="E4" s="4" t="s">
        <v>168</v>
      </c>
      <c r="F4" s="4" t="s">
        <v>169</v>
      </c>
      <c r="G4" s="4" t="s">
        <v>170</v>
      </c>
      <c r="H4" s="4" t="s">
        <v>171</v>
      </c>
      <c r="I4" s="4" t="s">
        <v>172</v>
      </c>
      <c r="J4" s="4" t="s">
        <v>173</v>
      </c>
      <c r="K4" s="4" t="s">
        <v>174</v>
      </c>
      <c r="L4" s="4" t="s">
        <v>175</v>
      </c>
      <c r="M4" s="4" t="s">
        <v>176</v>
      </c>
      <c r="N4" s="4" t="s">
        <v>177</v>
      </c>
      <c r="O4" s="4" t="s">
        <v>99</v>
      </c>
      <c r="P4" s="4" t="s">
        <v>178</v>
      </c>
      <c r="Q4" s="4" t="s">
        <v>179</v>
      </c>
      <c r="R4" s="4" t="s">
        <v>180</v>
      </c>
      <c r="S4" s="4" t="s">
        <v>181</v>
      </c>
      <c r="T4" s="4" t="s">
        <v>182</v>
      </c>
      <c r="U4" s="4" t="s">
        <v>183</v>
      </c>
      <c r="V4" s="4" t="s">
        <v>184</v>
      </c>
      <c r="W4" s="4" t="s">
        <v>185</v>
      </c>
      <c r="X4" s="4" t="s">
        <v>186</v>
      </c>
      <c r="Y4" s="4" t="s">
        <v>187</v>
      </c>
      <c r="Z4" s="4" t="s">
        <v>188</v>
      </c>
    </row>
    <row r="5" spans="1:26">
      <c r="A5" s="7">
        <v>1</v>
      </c>
      <c r="B5" s="7">
        <f>Parameters!$I$20</f>
        <v>1000</v>
      </c>
      <c r="C5" s="7">
        <f>B5</f>
        <v>1000</v>
      </c>
      <c r="D5" s="7">
        <f>0</f>
        <v>0.0</v>
      </c>
      <c r="E5" s="7">
        <f>Parameters!$I$6*C5</f>
        <v>20.0</v>
      </c>
      <c r="F5" s="7">
        <f>IF(Parameters!$I$5=1,E5,0)</f>
        <v>0.0</v>
      </c>
      <c r="G5" s="7">
        <f>F5</f>
        <v>0.0</v>
      </c>
      <c r="H5" s="7">
        <f>IF(AND(Parameters!$I$5=1,Parameters!$I$26=1),SUMPRODUCT(--($A$5:A5&lt;A5),--(MOD(A5-$A$5:A5,Parameters!$I$28)=0),$F$5:F5,POWER(Parameters!$I$27,IF(A5-$A$5:A5=0,1,A5-$A$5:A5))),0)</f>
        <v>0.0</v>
      </c>
      <c r="I5" s="7">
        <f>B5*Parameters!$I$22</f>
        <v>0.0</v>
      </c>
      <c r="J5" s="7">
        <f>E5*Parameters!$I$14*(1-Parameters!$I$15)</f>
        <v>380.0</v>
      </c>
      <c r="K5" s="7">
        <f>H5*Parameters!$I$29</f>
        <v>0.0</v>
      </c>
      <c r="L5" s="7">
        <f>I5*Parameters!$I$24</f>
        <v>0.0</v>
      </c>
      <c r="M5" s="7">
        <f>J5+K5+L5</f>
        <v>380.0</v>
      </c>
      <c r="N5" s="7">
        <f>C5*Parameters!$I$17+D5*Parameters!$I$18+E5*Parameters!$I$16+I5*Parameters!$I$25+G5*Parameters!$I$30</f>
        <v>320.0</v>
      </c>
      <c r="O5" s="7">
        <f>B5*Parameters!$I$19</f>
        <v>4000</v>
      </c>
      <c r="P5" s="7">
        <f>M5-N5-O5</f>
        <v>-3940.0</v>
      </c>
      <c r="Q5" s="7">
        <f>Parameters!$I$21</f>
        <v>1000</v>
      </c>
      <c r="R5" s="7">
        <f>P5-Q5</f>
        <v>-4940.0</v>
      </c>
      <c r="S5" s="7">
        <f>IF(A5&lt;1+Parameters!$I$31,0,INDEX($M$5:$M$40,A5-Parameters!$I$31))</f>
        <v>0.0</v>
      </c>
      <c r="T5" s="7">
        <f>M5-S5</f>
        <v>380.0</v>
      </c>
      <c r="U5" s="7">
        <f>S5-N5-O5-Q5</f>
        <v>-5320.0</v>
      </c>
      <c r="V5" s="7">
        <f>U5</f>
        <v>-5320.0</v>
      </c>
      <c r="W5" s="7">
        <f>(1-Parameters!$I$7)*(C5-E5)+(1-Parameters!$I$8)*(D5+E5)</f>
        <v>98.99999999999997</v>
      </c>
      <c r="X5" s="7">
        <f>Parameters!$I$7*(C5-E5)+Parameters!$I$8*Parameters!$I$9*(D5+E5)</f>
        <v>882.0</v>
      </c>
      <c r="Y5" s="7">
        <f>Parameters!$I$8*(1-Parameters!$I$9)*(D5+E5)</f>
        <v>19.0</v>
      </c>
      <c r="Z5" s="7">
        <f>POWER(1/(1+Parameters!$I$32),A5-1)*(M5-N5)</f>
        <v>60.0</v>
      </c>
    </row>
    <row r="6" spans="1:26">
      <c r="A6" s="7">
        <v>2</v>
      </c>
      <c r="B6" s="7">
        <f>Parameters!$I$20</f>
        <v>1000</v>
      </c>
      <c r="C6" s="7">
        <f>X5+B6</f>
        <v>1882.0</v>
      </c>
      <c r="D6" s="7">
        <f>Y5</f>
        <v>19.0</v>
      </c>
      <c r="E6" s="7">
        <f>Parameters!$I$6*C6</f>
        <v>37.64</v>
      </c>
      <c r="F6" s="7">
        <f>IF(Parameters!$I$5=1,E6,0)</f>
        <v>0.0</v>
      </c>
      <c r="G6" s="7">
        <f>Parameters!$I$27*G5+F6</f>
        <v>0.0</v>
      </c>
      <c r="H6" s="7">
        <f>IF(AND(Parameters!$I$5=1,Parameters!$I$26=1),SUMPRODUCT(--($A$5:A6&lt;A6),--(MOD(A6-$A$5:A6,Parameters!$I$28)=0),$F$5:F6,POWER(Parameters!$I$27,IF(A6-$A$5:A6=0,1,A6-$A$5:A6))),0)</f>
        <v>0.0</v>
      </c>
      <c r="I6" s="7">
        <f>Parameters!$I$23*I5+B6*Parameters!$I$22</f>
        <v>0.0</v>
      </c>
      <c r="J6" s="7">
        <f>E6*Parameters!$I$14*(1-Parameters!$I$15)</f>
        <v>715.16</v>
      </c>
      <c r="K6" s="7">
        <f>H6*Parameters!$I$29</f>
        <v>0.0</v>
      </c>
      <c r="L6" s="7">
        <f>I6*Parameters!$I$24</f>
        <v>0.0</v>
      </c>
      <c r="M6" s="7">
        <f>J6+K6+L6</f>
        <v>715.16</v>
      </c>
      <c r="N6" s="7">
        <f>C6*Parameters!$I$17+D6*Parameters!$I$18+E6*Parameters!$I$16+I6*Parameters!$I$25+G6*Parameters!$I$30</f>
        <v>611.74</v>
      </c>
      <c r="O6" s="7">
        <f>B6*Parameters!$I$19</f>
        <v>4000</v>
      </c>
      <c r="P6" s="7">
        <f>M6-N6-O6</f>
        <v>-3896.58</v>
      </c>
      <c r="Q6" s="7">
        <f>Parameters!$I$21</f>
        <v>1000</v>
      </c>
      <c r="R6" s="7">
        <f>P6-Q6</f>
        <v>-4896.58</v>
      </c>
      <c r="S6" s="7">
        <f>IF(A6&lt;1+Parameters!$I$31,0,INDEX($M$5:$M$40,A6-Parameters!$I$31))</f>
        <v>380.0</v>
      </c>
      <c r="T6" s="7">
        <f>T5+M6-S6</f>
        <v>715.16</v>
      </c>
      <c r="U6" s="7">
        <f>S6-N6-O6-Q6</f>
        <v>-5231.74</v>
      </c>
      <c r="V6" s="7">
        <f>V5+U6</f>
        <v>-10551.74</v>
      </c>
      <c r="W6" s="7">
        <f>(1-Parameters!$I$7)*(C6-E6)+(1-Parameters!$I$8)*(D6+E6)</f>
        <v>187.26799999999997</v>
      </c>
      <c r="X6" s="7">
        <f>Parameters!$I$7*(C6-E6)+Parameters!$I$8*Parameters!$I$9*(D6+E6)</f>
        <v>1659.924</v>
      </c>
      <c r="Y6" s="7">
        <f>Parameters!$I$8*(1-Parameters!$I$9)*(D6+E6)</f>
        <v>53.808</v>
      </c>
      <c r="Z6" s="7">
        <f>POWER(1/(1+Parameters!$I$32),A6-1)*(M6-N6)</f>
        <v>102.39603960396036</v>
      </c>
    </row>
    <row r="7" spans="1:26">
      <c r="A7" s="7">
        <v>3</v>
      </c>
      <c r="B7" s="7">
        <f>Parameters!$I$20</f>
        <v>1000</v>
      </c>
      <c r="C7" s="7">
        <f>X6+B7</f>
        <v>2659.924</v>
      </c>
      <c r="D7" s="7">
        <f>Y6</f>
        <v>53.808</v>
      </c>
      <c r="E7" s="7">
        <f>Parameters!$I$6*C7</f>
        <v>53.19848</v>
      </c>
      <c r="F7" s="7">
        <f>IF(Parameters!$I$5=1,E7,0)</f>
        <v>0.0</v>
      </c>
      <c r="G7" s="7">
        <f>Parameters!$I$27*G6+F7</f>
        <v>0.0</v>
      </c>
      <c r="H7" s="7">
        <f>IF(AND(Parameters!$I$5=1,Parameters!$I$26=1),SUMPRODUCT(--($A$5:A7&lt;A7),--(MOD(A7-$A$5:A7,Parameters!$I$28)=0),$F$5:F7,POWER(Parameters!$I$27,IF(A7-$A$5:A7=0,1,A7-$A$5:A7))),0)</f>
        <v>0.0</v>
      </c>
      <c r="I7" s="7">
        <f>Parameters!$I$23*I6+B7*Parameters!$I$22</f>
        <v>0.0</v>
      </c>
      <c r="J7" s="7">
        <f>E7*Parameters!$I$14*(1-Parameters!$I$15)</f>
        <v>1010.7711200000001</v>
      </c>
      <c r="K7" s="7">
        <f>H7*Parameters!$I$29</f>
        <v>0.0</v>
      </c>
      <c r="L7" s="7">
        <f>I7*Parameters!$I$24</f>
        <v>0.0</v>
      </c>
      <c r="M7" s="7">
        <f>J7+K7+L7</f>
        <v>1010.7711200000001</v>
      </c>
      <c r="N7" s="7">
        <f>C7*Parameters!$I$17+D7*Parameters!$I$18+E7*Parameters!$I$16+I7*Parameters!$I$25+G7*Parameters!$I$30</f>
        <v>878.0796799999999</v>
      </c>
      <c r="O7" s="7">
        <f>B7*Parameters!$I$19</f>
        <v>4000</v>
      </c>
      <c r="P7" s="7">
        <f>M7-N7-O7</f>
        <v>-3867.30856</v>
      </c>
      <c r="Q7" s="7">
        <f>Parameters!$I$21</f>
        <v>1000</v>
      </c>
      <c r="R7" s="7">
        <f>P7-Q7</f>
        <v>-4867.3085599999995</v>
      </c>
      <c r="S7" s="7">
        <f>IF(A7&lt;1+Parameters!$I$31,0,INDEX($M$5:$M$40,A7-Parameters!$I$31))</f>
        <v>715.16</v>
      </c>
      <c r="T7" s="7">
        <f>T6+M7-S7</f>
        <v>1010.7711200000001</v>
      </c>
      <c r="U7" s="7">
        <f>S7-N7-O7-Q7</f>
        <v>-5162.91968</v>
      </c>
      <c r="V7" s="7">
        <f>V6+U7</f>
        <v>-15714.65968</v>
      </c>
      <c r="W7" s="7">
        <f>(1-Parameters!$I$7)*(C7-E7)+(1-Parameters!$I$8)*(D7+E7)</f>
        <v>266.02287599999994</v>
      </c>
      <c r="X7" s="7">
        <f>Parameters!$I$7*(C7-E7)+Parameters!$I$8*Parameters!$I$9*(D7+E7)</f>
        <v>2346.052968</v>
      </c>
      <c r="Y7" s="7">
        <f>Parameters!$I$8*(1-Parameters!$I$9)*(D7+E7)</f>
        <v>101.65615600000001</v>
      </c>
      <c r="Z7" s="7">
        <f>POWER(1/(1+Parameters!$I$32),A7-1)*(M7-N7)</f>
        <v>130.07689442211563</v>
      </c>
    </row>
    <row r="8" spans="1:26">
      <c r="A8" s="7">
        <v>4</v>
      </c>
      <c r="B8" s="7">
        <f>Parameters!$I$20</f>
        <v>1000</v>
      </c>
      <c r="C8" s="7">
        <f>X7+B8</f>
        <v>3346.052968</v>
      </c>
      <c r="D8" s="7">
        <f>Y7</f>
        <v>101.656156</v>
      </c>
      <c r="E8" s="7">
        <f>Parameters!$I$6*C8</f>
        <v>66.92105936</v>
      </c>
      <c r="F8" s="7">
        <f>IF(Parameters!$I$5=1,E8,0)</f>
        <v>0.0</v>
      </c>
      <c r="G8" s="7">
        <f>Parameters!$I$27*G7+F8</f>
        <v>0.0</v>
      </c>
      <c r="H8" s="7">
        <f>IF(AND(Parameters!$I$5=1,Parameters!$I$26=1),SUMPRODUCT(--($A$5:A8&lt;A8),--(MOD(A8-$A$5:A8,Parameters!$I$28)=0),$F$5:F8,POWER(Parameters!$I$27,IF(A8-$A$5:A8=0,1,A8-$A$5:A8))),0)</f>
        <v>0.0</v>
      </c>
      <c r="I8" s="7">
        <f>Parameters!$I$23*I7+B8*Parameters!$I$22</f>
        <v>0.0</v>
      </c>
      <c r="J8" s="7">
        <f>E8*Parameters!$I$14*(1-Parameters!$I$15)</f>
        <v>1271.50012784</v>
      </c>
      <c r="K8" s="7">
        <f>H8*Parameters!$I$29</f>
        <v>0.0</v>
      </c>
      <c r="L8" s="7">
        <f>I8*Parameters!$I$24</f>
        <v>0.0</v>
      </c>
      <c r="M8" s="7">
        <f>J8+K8+L8</f>
        <v>1271.50012784</v>
      </c>
      <c r="N8" s="7">
        <f>C8*Parameters!$I$17+D8*Parameters!$I$18+E8*Parameters!$I$16+I8*Parameters!$I$25+G8*Parameters!$I$30</f>
        <v>1121.56502776</v>
      </c>
      <c r="O8" s="7">
        <f>B8*Parameters!$I$19</f>
        <v>4000</v>
      </c>
      <c r="P8" s="7">
        <f>M8-N8-O8</f>
        <v>-3850.0648999200002</v>
      </c>
      <c r="Q8" s="7">
        <f>Parameters!$I$21</f>
        <v>1000</v>
      </c>
      <c r="R8" s="7">
        <f>P8-Q8</f>
        <v>-4850.06489992</v>
      </c>
      <c r="S8" s="7">
        <f>IF(A8&lt;1+Parameters!$I$31,0,INDEX($M$5:$M$40,A8-Parameters!$I$31))</f>
        <v>1010.7711200000001</v>
      </c>
      <c r="T8" s="7">
        <f>T7+M8-S8</f>
        <v>1271.50012784</v>
      </c>
      <c r="U8" s="7">
        <f>S8-N8-O8-Q8</f>
        <v>-5110.79390776</v>
      </c>
      <c r="V8" s="7">
        <f>V7+U8</f>
        <v>-20825.45358776</v>
      </c>
      <c r="W8" s="7">
        <f>(1-Parameters!$I$7)*(C8-E8)+(1-Parameters!$I$8)*(D8+E8)</f>
        <v>336.3420516319999</v>
      </c>
      <c r="X8" s="7">
        <f>Parameters!$I$7*(C8-E8)+Parameters!$I$8*Parameters!$I$9*(D8+E8)</f>
        <v>2951.218717776</v>
      </c>
      <c r="Y8" s="7">
        <f>Parameters!$I$8*(1-Parameters!$I$9)*(D8+E8)</f>
        <v>160.14835459199998</v>
      </c>
      <c r="Z8" s="7">
        <f>POWER(1/(1+Parameters!$I$32),A8-1)*(M8-N8)</f>
        <v>145.52553096619334</v>
      </c>
    </row>
    <row r="9" spans="1:26">
      <c r="A9" s="7">
        <v>5</v>
      </c>
      <c r="B9" s="7">
        <f>Parameters!$I$20</f>
        <v>1000</v>
      </c>
      <c r="C9" s="7">
        <f>X8+B9</f>
        <v>3951.2187177759997</v>
      </c>
      <c r="D9" s="7">
        <f>Y8</f>
        <v>160.14835459199998</v>
      </c>
      <c r="E9" s="7">
        <f>Parameters!$I$6*C9</f>
        <v>79.02437435552</v>
      </c>
      <c r="F9" s="7">
        <f>IF(Parameters!$I$5=1,E9,0)</f>
        <v>0.0</v>
      </c>
      <c r="G9" s="7">
        <f>Parameters!$I$27*G8+F9</f>
        <v>0.0</v>
      </c>
      <c r="H9" s="7">
        <f>IF(AND(Parameters!$I$5=1,Parameters!$I$26=1),SUMPRODUCT(--($A$5:A9&lt;A9),--(MOD(A9-$A$5:A9,Parameters!$I$28)=0),$F$5:F9,POWER(Parameters!$I$27,IF(A9-$A$5:A9=0,1,A9-$A$5:A9))),0)</f>
        <v>0.0</v>
      </c>
      <c r="I9" s="7">
        <f>Parameters!$I$23*I8+B9*Parameters!$I$22</f>
        <v>0.0</v>
      </c>
      <c r="J9" s="7">
        <f>E9*Parameters!$I$14*(1-Parameters!$I$15)</f>
        <v>1501.4631127548798</v>
      </c>
      <c r="K9" s="7">
        <f>H9*Parameters!$I$29</f>
        <v>0.0</v>
      </c>
      <c r="L9" s="7">
        <f>I9*Parameters!$I$24</f>
        <v>0.0</v>
      </c>
      <c r="M9" s="7">
        <f>J9+K9+L9</f>
        <v>1501.4631127548798</v>
      </c>
      <c r="N9" s="7">
        <f>C9*Parameters!$I$17+D9*Parameters!$I$18+E9*Parameters!$I$16+I9*Parameters!$I$25+G9*Parameters!$I$30</f>
        <v>1344.46416698432</v>
      </c>
      <c r="O9" s="7">
        <f>B9*Parameters!$I$19</f>
        <v>4000</v>
      </c>
      <c r="P9" s="7">
        <f>M9-N9-O9</f>
        <v>-3843.0010542294403</v>
      </c>
      <c r="Q9" s="7">
        <f>Parameters!$I$21</f>
        <v>1000</v>
      </c>
      <c r="R9" s="7">
        <f>P9-Q9</f>
        <v>-4843.00105422944</v>
      </c>
      <c r="S9" s="7">
        <f>IF(A9&lt;1+Parameters!$I$31,0,INDEX($M$5:$M$40,A9-Parameters!$I$31))</f>
        <v>1271.50012784</v>
      </c>
      <c r="T9" s="7">
        <f>T8+M9-S9</f>
        <v>1501.4631127548798</v>
      </c>
      <c r="U9" s="7">
        <f>S9-N9-O9-Q9</f>
        <v>-5072.96403914432</v>
      </c>
      <c r="V9" s="7">
        <f>V8+U9</f>
        <v>-25898.41762690432</v>
      </c>
      <c r="W9" s="7">
        <f>(1-Parameters!$I$7)*(C9-E9)+(1-Parameters!$I$8)*(D9+E9)</f>
        <v>399.17807078942394</v>
      </c>
      <c r="X9" s="7">
        <f>Parameters!$I$7*(C9-E9)+Parameters!$I$8*Parameters!$I$9*(D9+E9)</f>
        <v>3484.9749090784317</v>
      </c>
      <c r="Y9" s="7">
        <f>Parameters!$I$8*(1-Parameters!$I$9)*(D9+E9)</f>
        <v>227.21409250014395</v>
      </c>
      <c r="Z9" s="7">
        <f>POWER(1/(1+Parameters!$I$32),A9-1)*(M9-N9)</f>
        <v>150.8729009900316</v>
      </c>
    </row>
    <row r="10" spans="1:26">
      <c r="A10" s="7">
        <v>6</v>
      </c>
      <c r="B10" s="7">
        <f>Parameters!$I$20</f>
        <v>1000</v>
      </c>
      <c r="C10" s="7">
        <f>X9+B10</f>
        <v>4484.974909078432</v>
      </c>
      <c r="D10" s="7">
        <f>Y9</f>
        <v>227.21409250014398</v>
      </c>
      <c r="E10" s="7">
        <f>Parameters!$I$6*C10</f>
        <v>89.69949818156864</v>
      </c>
      <c r="F10" s="7">
        <f>IF(Parameters!$I$5=1,E10,0)</f>
        <v>0.0</v>
      </c>
      <c r="G10" s="7">
        <f>Parameters!$I$27*G9+F10</f>
        <v>0.0</v>
      </c>
      <c r="H10" s="7">
        <f>IF(AND(Parameters!$I$5=1,Parameters!$I$26=1),SUMPRODUCT(--($A$5:A10&lt;A10),--(MOD(A10-$A$5:A10,Parameters!$I$28)=0),$F$5:F10,POWER(Parameters!$I$27,IF(A10-$A$5:A10=0,1,A10-$A$5:A10))),0)</f>
        <v>0.0</v>
      </c>
      <c r="I10" s="7">
        <f>Parameters!$I$23*I9+B10*Parameters!$I$22</f>
        <v>0.0</v>
      </c>
      <c r="J10" s="7">
        <f>E10*Parameters!$I$14*(1-Parameters!$I$15)</f>
        <v>1704.290465449804</v>
      </c>
      <c r="K10" s="7">
        <f>H10*Parameters!$I$29</f>
        <v>0.0</v>
      </c>
      <c r="L10" s="7">
        <f>I10*Parameters!$I$24</f>
        <v>0.0</v>
      </c>
      <c r="M10" s="7">
        <f>J10+K10+L10</f>
        <v>1704.290465449804</v>
      </c>
      <c r="N10" s="7">
        <f>C10*Parameters!$I$17+D10*Parameters!$I$18+E10*Parameters!$I$16+I10*Parameters!$I$25+G10*Parameters!$I$30</f>
        <v>1548.7990171551703</v>
      </c>
      <c r="O10" s="7">
        <f>B10*Parameters!$I$19</f>
        <v>4000</v>
      </c>
      <c r="P10" s="7">
        <f>M10-N10-O10</f>
        <v>-3844.5085517053662</v>
      </c>
      <c r="Q10" s="7">
        <f>Parameters!$I$21</f>
        <v>1000</v>
      </c>
      <c r="R10" s="7">
        <f>P10-Q10</f>
        <v>-4844.508551705367</v>
      </c>
      <c r="S10" s="7">
        <f>IF(A10&lt;1+Parameters!$I$31,0,INDEX($M$5:$M$40,A10-Parameters!$I$31))</f>
        <v>1501.4631127548798</v>
      </c>
      <c r="T10" s="7">
        <f>T9+M10-S10</f>
        <v>1704.290465449804</v>
      </c>
      <c r="U10" s="7">
        <f>S10-N10-O10-Q10</f>
        <v>-5047.33590440029</v>
      </c>
      <c r="V10" s="7">
        <f>V9+U10</f>
        <v>-30945.75353130461</v>
      </c>
      <c r="W10" s="7">
        <f>(1-Parameters!$I$7)*(C10-E10)+(1-Parameters!$I$8)*(D10+E10)</f>
        <v>455.3732206237719</v>
      </c>
      <c r="X10" s="7">
        <f>Parameters!$I$7*(C10-E10)+Parameters!$I$8*Parameters!$I$9*(D10+E10)</f>
        <v>3955.747869807177</v>
      </c>
      <c r="Y10" s="7">
        <f>Parameters!$I$8*(1-Parameters!$I$9)*(D10+E10)</f>
        <v>301.06791114762694</v>
      </c>
      <c r="Z10" s="7">
        <f>POWER(1/(1+Parameters!$I$32),A10-1)*(M10-N10)</f>
        <v>147.94477776862294</v>
      </c>
    </row>
    <row r="11" spans="1:26">
      <c r="A11" s="7">
        <v>7</v>
      </c>
      <c r="B11" s="7">
        <f>Parameters!$I$20</f>
        <v>1000</v>
      </c>
      <c r="C11" s="7">
        <f>X10+B11</f>
        <v>4955.747869807177</v>
      </c>
      <c r="D11" s="7">
        <f>Y10</f>
        <v>301.067911147627</v>
      </c>
      <c r="E11" s="7">
        <f>Parameters!$I$6*C11</f>
        <v>99.11495739614354</v>
      </c>
      <c r="F11" s="7">
        <f>IF(Parameters!$I$5=1,E11,0)</f>
        <v>0.0</v>
      </c>
      <c r="G11" s="7">
        <f>Parameters!$I$27*G10+F11</f>
        <v>0.0</v>
      </c>
      <c r="H11" s="7">
        <f>IF(AND(Parameters!$I$5=1,Parameters!$I$26=1),SUMPRODUCT(--($A$5:A11&lt;A11),--(MOD(A11-$A$5:A11,Parameters!$I$28)=0),$F$5:F11,POWER(Parameters!$I$27,IF(A11-$A$5:A11=0,1,A11-$A$5:A11))),0)</f>
        <v>0.0</v>
      </c>
      <c r="I11" s="7">
        <f>Parameters!$I$23*I10+B11*Parameters!$I$22</f>
        <v>0.0</v>
      </c>
      <c r="J11" s="7">
        <f>E11*Parameters!$I$14*(1-Parameters!$I$15)</f>
        <v>1883.1841905267272</v>
      </c>
      <c r="K11" s="7">
        <f>H11*Parameters!$I$29</f>
        <v>0.0</v>
      </c>
      <c r="L11" s="7">
        <f>I11*Parameters!$I$24</f>
        <v>0.0</v>
      </c>
      <c r="M11" s="7">
        <f>J11+K11+L11</f>
        <v>1883.1841905267272</v>
      </c>
      <c r="N11" s="7">
        <f>C11*Parameters!$I$17+D11*Parameters!$I$18+E11*Parameters!$I$16+I11*Parameters!$I$25+G11*Parameters!$I$30</f>
        <v>1736.3732739121103</v>
      </c>
      <c r="O11" s="7">
        <f>B11*Parameters!$I$19</f>
        <v>4000</v>
      </c>
      <c r="P11" s="7">
        <f>M11-N11-O11</f>
        <v>-3853.189083385383</v>
      </c>
      <c r="Q11" s="7">
        <f>Parameters!$I$21</f>
        <v>1000</v>
      </c>
      <c r="R11" s="7">
        <f>P11-Q11</f>
        <v>-4853.189083385383</v>
      </c>
      <c r="S11" s="7">
        <f>IF(A11&lt;1+Parameters!$I$31,0,INDEX($M$5:$M$40,A11-Parameters!$I$31))</f>
        <v>1704.290465449804</v>
      </c>
      <c r="T11" s="7">
        <f>T10+M11-S11</f>
        <v>1883.1841905267272</v>
      </c>
      <c r="U11" s="7">
        <f>S11-N11-O11-Q11</f>
        <v>-5032.082808462306</v>
      </c>
      <c r="V11" s="7">
        <f>V10+U11</f>
        <v>-35977.836339766916</v>
      </c>
      <c r="W11" s="7">
        <f>(1-Parameters!$I$7)*(C11-E11)+(1-Parameters!$I$8)*(D11+E11)</f>
        <v>505.67243466829177</v>
      </c>
      <c r="X11" s="7">
        <f>Parameters!$I$7*(C11-E11)+Parameters!$I$8*Parameters!$I$9*(D11+E11)</f>
        <v>4370.96962116993</v>
      </c>
      <c r="Y11" s="7">
        <f>Parameters!$I$8*(1-Parameters!$I$9)*(D11+E11)</f>
        <v>380.17372511658203</v>
      </c>
      <c r="Z11" s="7">
        <f>POWER(1/(1+Parameters!$I$32),A11-1)*(M11-N11)</f>
        <v>138.30252448010248</v>
      </c>
    </row>
    <row r="12" spans="1:26">
      <c r="A12" s="7">
        <v>8</v>
      </c>
      <c r="B12" s="7">
        <f>Parameters!$I$20</f>
        <v>1000</v>
      </c>
      <c r="C12" s="7">
        <f>X11+B12</f>
        <v>5370.96962116993</v>
      </c>
      <c r="D12" s="7">
        <f>Y11</f>
        <v>380.173725116582</v>
      </c>
      <c r="E12" s="7">
        <f>Parameters!$I$6*C12</f>
        <v>107.4193924233986</v>
      </c>
      <c r="F12" s="7">
        <f>IF(Parameters!$I$5=1,E12,0)</f>
        <v>0.0</v>
      </c>
      <c r="G12" s="7">
        <f>Parameters!$I$27*G11+F12</f>
        <v>0.0</v>
      </c>
      <c r="H12" s="7">
        <f>IF(AND(Parameters!$I$5=1,Parameters!$I$26=1),SUMPRODUCT(--($A$5:A12&lt;A12),--(MOD(A12-$A$5:A12,Parameters!$I$28)=0),$F$5:F12,POWER(Parameters!$I$27,IF(A12-$A$5:A12=0,1,A12-$A$5:A12))),0)</f>
        <v>0.0</v>
      </c>
      <c r="I12" s="7">
        <f>Parameters!$I$23*I11+B12*Parameters!$I$22</f>
        <v>0.0</v>
      </c>
      <c r="J12" s="7">
        <f>E12*Parameters!$I$14*(1-Parameters!$I$15)</f>
        <v>2040.9684560445735</v>
      </c>
      <c r="K12" s="7">
        <f>H12*Parameters!$I$29</f>
        <v>0.0</v>
      </c>
      <c r="L12" s="7">
        <f>I12*Parameters!$I$24</f>
        <v>0.0</v>
      </c>
      <c r="M12" s="7">
        <f>J12+K12+L12</f>
        <v>2040.9684560445735</v>
      </c>
      <c r="N12" s="7">
        <f>C12*Parameters!$I$17+D12*Parameters!$I$18+E12*Parameters!$I$16+I12*Parameters!$I$25+G12*Parameters!$I$30</f>
        <v>1908.7971413326686</v>
      </c>
      <c r="O12" s="7">
        <f>B12*Parameters!$I$19</f>
        <v>4000</v>
      </c>
      <c r="P12" s="7">
        <f>M12-N12-O12</f>
        <v>-3867.828685288095</v>
      </c>
      <c r="Q12" s="7">
        <f>Parameters!$I$21</f>
        <v>1000</v>
      </c>
      <c r="R12" s="7">
        <f>P12-Q12</f>
        <v>-4867.828685288096</v>
      </c>
      <c r="S12" s="7">
        <f>IF(A12&lt;1+Parameters!$I$31,0,INDEX($M$5:$M$40,A12-Parameters!$I$31))</f>
        <v>1883.1841905267272</v>
      </c>
      <c r="T12" s="7">
        <f>T11+M12-S12</f>
        <v>2040.9684560445735</v>
      </c>
      <c r="U12" s="7">
        <f>S12-N12-O12-Q12</f>
        <v>-5025.612950805941</v>
      </c>
      <c r="V12" s="7">
        <f>V11+U12</f>
        <v>-41003.449290572855</v>
      </c>
      <c r="W12" s="7">
        <f>(1-Parameters!$I$7)*(C12-E12)+(1-Parameters!$I$8)*(D12+E12)</f>
        <v>550.734678751652</v>
      </c>
      <c r="X12" s="7">
        <f>Parameters!$I$7*(C12-E12)+Parameters!$I$8*Parameters!$I$9*(D12+E12)</f>
        <v>4737.195205871879</v>
      </c>
      <c r="Y12" s="7">
        <f>Parameters!$I$8*(1-Parameters!$I$9)*(D12+E12)</f>
        <v>463.21346166298156</v>
      </c>
      <c r="Z12" s="7">
        <f>POWER(1/(1+Parameters!$I$32),A12-1)*(M12-N12)</f>
        <v>123.27857154617249</v>
      </c>
    </row>
    <row r="13" spans="1:26">
      <c r="A13" s="7">
        <v>9</v>
      </c>
      <c r="B13" s="7">
        <f>Parameters!$I$20</f>
        <v>1000</v>
      </c>
      <c r="C13" s="7">
        <f>X12+B13</f>
        <v>5737.195205871878</v>
      </c>
      <c r="D13" s="7">
        <f>Y12</f>
        <v>463.21346166298156</v>
      </c>
      <c r="E13" s="7">
        <f>Parameters!$I$6*C13</f>
        <v>114.74390411743757</v>
      </c>
      <c r="F13" s="7">
        <f>IF(Parameters!$I$5=1,E13,0)</f>
        <v>0.0</v>
      </c>
      <c r="G13" s="7">
        <f>Parameters!$I$27*G12+F13</f>
        <v>0.0</v>
      </c>
      <c r="H13" s="7">
        <f>IF(AND(Parameters!$I$5=1,Parameters!$I$26=1),SUMPRODUCT(--($A$5:A13&lt;A13),--(MOD(A13-$A$5:A13,Parameters!$I$28)=0),$F$5:F13,POWER(Parameters!$I$27,IF(A13-$A$5:A13=0,1,A13-$A$5:A13))),0)</f>
        <v>0.0</v>
      </c>
      <c r="I13" s="7">
        <f>Parameters!$I$23*I12+B13*Parameters!$I$22</f>
        <v>0.0</v>
      </c>
      <c r="J13" s="7">
        <f>E13*Parameters!$I$14*(1-Parameters!$I$15)</f>
        <v>2180.134178231314</v>
      </c>
      <c r="K13" s="7">
        <f>H13*Parameters!$I$29</f>
        <v>0.0</v>
      </c>
      <c r="L13" s="7">
        <f>I13*Parameters!$I$24</f>
        <v>0.0</v>
      </c>
      <c r="M13" s="7">
        <f>J13+K13+L13</f>
        <v>2180.134178231314</v>
      </c>
      <c r="N13" s="7">
        <f>C13*Parameters!$I$17+D13*Parameters!$I$18+E13*Parameters!$I$16+I13*Parameters!$I$25+G13*Parameters!$I$30</f>
        <v>2067.509196710492</v>
      </c>
      <c r="O13" s="7">
        <f>B13*Parameters!$I$19</f>
        <v>4000</v>
      </c>
      <c r="P13" s="7">
        <f>M13-N13-O13</f>
        <v>-3887.375018479178</v>
      </c>
      <c r="Q13" s="7">
        <f>Parameters!$I$21</f>
        <v>1000</v>
      </c>
      <c r="R13" s="7">
        <f>P13-Q13</f>
        <v>-4887.375018479178</v>
      </c>
      <c r="S13" s="7">
        <f>IF(A13&lt;1+Parameters!$I$31,0,INDEX($M$5:$M$40,A13-Parameters!$I$31))</f>
        <v>2040.9684560445735</v>
      </c>
      <c r="T13" s="7">
        <f>T12+M13-S13</f>
        <v>2180.134178231314</v>
      </c>
      <c r="U13" s="7">
        <f>S13-N13-O13-Q13</f>
        <v>-5026.540740665918</v>
      </c>
      <c r="V13" s="7">
        <f>V12+U13</f>
        <v>-46029.990031238776</v>
      </c>
      <c r="W13" s="7">
        <f>(1-Parameters!$I$7)*(C13-E13)+(1-Parameters!$I$8)*(D13+E13)</f>
        <v>591.1429984644649</v>
      </c>
      <c r="X13" s="7">
        <f>Parameters!$I$7*(C13-E13)+Parameters!$I$8*Parameters!$I$9*(D13+E13)</f>
        <v>5060.206171578997</v>
      </c>
      <c r="Y13" s="7">
        <f>Parameters!$I$8*(1-Parameters!$I$9)*(D13+E13)</f>
        <v>549.0594974913981</v>
      </c>
      <c r="Z13" s="7">
        <f>POWER(1/(1+Parameters!$I$32),A13-1)*(M13-N13)</f>
        <v>104.00728086685963</v>
      </c>
    </row>
    <row r="14" spans="1:26">
      <c r="A14" s="7">
        <v>10</v>
      </c>
      <c r="B14" s="7">
        <f>Parameters!$I$20</f>
        <v>1000</v>
      </c>
      <c r="C14" s="7">
        <f>X13+B14</f>
        <v>6060.206171578997</v>
      </c>
      <c r="D14" s="7">
        <f>Y13</f>
        <v>549.0594974913981</v>
      </c>
      <c r="E14" s="7">
        <f>Parameters!$I$6*C14</f>
        <v>121.20412343157993</v>
      </c>
      <c r="F14" s="7">
        <f>IF(Parameters!$I$5=1,E14,0)</f>
        <v>0.0</v>
      </c>
      <c r="G14" s="7">
        <f>Parameters!$I$27*G13+F14</f>
        <v>0.0</v>
      </c>
      <c r="H14" s="7">
        <f>IF(AND(Parameters!$I$5=1,Parameters!$I$26=1),SUMPRODUCT(--($A$5:A14&lt;A14),--(MOD(A14-$A$5:A14,Parameters!$I$28)=0),$F$5:F14,POWER(Parameters!$I$27,IF(A14-$A$5:A14=0,1,A14-$A$5:A14))),0)</f>
        <v>0.0</v>
      </c>
      <c r="I14" s="7">
        <f>Parameters!$I$23*I13+B14*Parameters!$I$22</f>
        <v>0.0</v>
      </c>
      <c r="J14" s="7">
        <f>E14*Parameters!$I$14*(1-Parameters!$I$15)</f>
        <v>2302.8783452000184</v>
      </c>
      <c r="K14" s="7">
        <f>H14*Parameters!$I$29</f>
        <v>0.0</v>
      </c>
      <c r="L14" s="7">
        <f>I14*Parameters!$I$24</f>
        <v>0.0</v>
      </c>
      <c r="M14" s="7">
        <f>J14+K14+L14</f>
        <v>2302.8783452000184</v>
      </c>
      <c r="N14" s="7">
        <f>C14*Parameters!$I$17+D14*Parameters!$I$18+E14*Parameters!$I$16+I14*Parameters!$I$25+G14*Parameters!$I$30</f>
        <v>2213.795723650978</v>
      </c>
      <c r="O14" s="7">
        <f>B14*Parameters!$I$19</f>
        <v>4000</v>
      </c>
      <c r="P14" s="7">
        <f>M14-N14-O14</f>
        <v>-3910.9173784509594</v>
      </c>
      <c r="Q14" s="7">
        <f>Parameters!$I$21</f>
        <v>1000</v>
      </c>
      <c r="R14" s="7">
        <f>P14-Q14</f>
        <v>-4910.917378450959</v>
      </c>
      <c r="S14" s="7">
        <f>IF(A14&lt;1+Parameters!$I$31,0,INDEX($M$5:$M$40,A14-Parameters!$I$31))</f>
        <v>2180.134178231314</v>
      </c>
      <c r="T14" s="7">
        <f>T13+M14-S14</f>
        <v>2302.8783452000184</v>
      </c>
      <c r="U14" s="7">
        <f>S14-N14-O14-Q14</f>
        <v>-5033.6615454196635</v>
      </c>
      <c r="V14" s="7">
        <f>V13+U14</f>
        <v>-51063.65157665844</v>
      </c>
      <c r="W14" s="7">
        <f>(1-Parameters!$I$7)*(C14-E14)+(1-Parameters!$I$8)*(D14+E14)</f>
        <v>627.4133858608905</v>
      </c>
      <c r="X14" s="7">
        <f>Parameters!$I$7*(C14-E14)+Parameters!$I$8*Parameters!$I$9*(D14+E14)</f>
        <v>5345.101843332675</v>
      </c>
      <c r="Y14" s="7">
        <f>Parameters!$I$8*(1-Parameters!$I$9)*(D14+E14)</f>
        <v>636.7504398768291</v>
      </c>
      <c r="Z14" s="7">
        <f>POWER(1/(1+Parameters!$I$32),A14-1)*(M14-N14)</f>
        <v>81.45178852998046</v>
      </c>
    </row>
    <row r="15" spans="1:26">
      <c r="A15" s="7">
        <v>11</v>
      </c>
      <c r="B15" s="7">
        <f>Parameters!$I$20</f>
        <v>1000</v>
      </c>
      <c r="C15" s="7">
        <f>X14+B15</f>
        <v>6345.101843332674</v>
      </c>
      <c r="D15" s="7">
        <f>Y14</f>
        <v>636.7504398768291</v>
      </c>
      <c r="E15" s="7">
        <f>Parameters!$I$6*C15</f>
        <v>126.9020368666535</v>
      </c>
      <c r="F15" s="7">
        <f>IF(Parameters!$I$5=1,E15,0)</f>
        <v>0.0</v>
      </c>
      <c r="G15" s="7">
        <f>Parameters!$I$27*G14+F15</f>
        <v>0.0</v>
      </c>
      <c r="H15" s="7">
        <f>IF(AND(Parameters!$I$5=1,Parameters!$I$26=1),SUMPRODUCT(--($A$5:A15&lt;A15),--(MOD(A15-$A$5:A15,Parameters!$I$28)=0),$F$5:F15,POWER(Parameters!$I$27,IF(A15-$A$5:A15=0,1,A15-$A$5:A15))),0)</f>
        <v>0.0</v>
      </c>
      <c r="I15" s="7">
        <f>Parameters!$I$23*I14+B15*Parameters!$I$22</f>
        <v>0.0</v>
      </c>
      <c r="J15" s="7">
        <f>E15*Parameters!$I$14*(1-Parameters!$I$15)</f>
        <v>2411.138700466416</v>
      </c>
      <c r="K15" s="7">
        <f>H15*Parameters!$I$29</f>
        <v>0.0</v>
      </c>
      <c r="L15" s="7">
        <f>I15*Parameters!$I$24</f>
        <v>0.0</v>
      </c>
      <c r="M15" s="7">
        <f>J15+K15+L15</f>
        <v>2411.138700466416</v>
      </c>
      <c r="N15" s="7">
        <f>C15*Parameters!$I$17+D15*Parameters!$I$18+E15*Parameters!$I$16+I15*Parameters!$I$25+G15*Parameters!$I$30</f>
        <v>2348.80780980487</v>
      </c>
      <c r="O15" s="7">
        <f>B15*Parameters!$I$19</f>
        <v>4000</v>
      </c>
      <c r="P15" s="7">
        <f>M15-N15-O15</f>
        <v>-3937.669109338454</v>
      </c>
      <c r="Q15" s="7">
        <f>Parameters!$I$21</f>
        <v>1000</v>
      </c>
      <c r="R15" s="7">
        <f>P15-Q15</f>
        <v>-4937.669109338454</v>
      </c>
      <c r="S15" s="7">
        <f>IF(A15&lt;1+Parameters!$I$31,0,INDEX($M$5:$M$40,A15-Parameters!$I$31))</f>
        <v>2302.8783452000184</v>
      </c>
      <c r="T15" s="7">
        <f>T14+M15-S15</f>
        <v>2411.138700466416</v>
      </c>
      <c r="U15" s="7">
        <f>S15-N15-O15-Q15</f>
        <v>-5045.929464604851</v>
      </c>
      <c r="V15" s="7">
        <f>V14+U15</f>
        <v>-56109.58104126329</v>
      </c>
      <c r="W15" s="7">
        <f>(1-Parameters!$I$7)*(C15-E15)+(1-Parameters!$I$8)*(D15+E15)</f>
        <v>660.0026044837762</v>
      </c>
      <c r="X15" s="7">
        <f>Parameters!$I$7*(C15-E15)+Parameters!$I$8*Parameters!$I$9*(D15+E15)</f>
        <v>5596.379825819419</v>
      </c>
      <c r="Y15" s="7">
        <f>Parameters!$I$8*(1-Parameters!$I$9)*(D15+E15)</f>
        <v>725.4698529063085</v>
      </c>
      <c r="Z15" s="7">
        <f>POWER(1/(1+Parameters!$I$32),A15-1)*(M15-N15)</f>
        <v>56.427342190292435</v>
      </c>
    </row>
    <row r="16" spans="1:26">
      <c r="A16" s="7">
        <v>12</v>
      </c>
      <c r="B16" s="7">
        <f>Parameters!$I$20</f>
        <v>1000</v>
      </c>
      <c r="C16" s="7">
        <f>X15+B16</f>
        <v>6596.379825819419</v>
      </c>
      <c r="D16" s="7">
        <f>Y15</f>
        <v>725.4698529063085</v>
      </c>
      <c r="E16" s="7">
        <f>Parameters!$I$6*C16</f>
        <v>131.92759651638838</v>
      </c>
      <c r="F16" s="7">
        <f>IF(Parameters!$I$5=1,E16,0)</f>
        <v>0.0</v>
      </c>
      <c r="G16" s="7">
        <f>Parameters!$I$27*G15+F16</f>
        <v>0.0</v>
      </c>
      <c r="H16" s="7">
        <f>IF(AND(Parameters!$I$5=1,Parameters!$I$26=1),SUMPRODUCT(--($A$5:A16&lt;A16),--(MOD(A16-$A$5:A16,Parameters!$I$28)=0),$F$5:F16,POWER(Parameters!$I$27,IF(A16-$A$5:A16=0,1,A16-$A$5:A16))),0)</f>
        <v>0.0</v>
      </c>
      <c r="I16" s="7">
        <f>Parameters!$I$23*I15+B16*Parameters!$I$22</f>
        <v>0.0</v>
      </c>
      <c r="J16" s="7">
        <f>E16*Parameters!$I$14*(1-Parameters!$I$15)</f>
        <v>2506.624333811379</v>
      </c>
      <c r="K16" s="7">
        <f>H16*Parameters!$I$29</f>
        <v>0.0</v>
      </c>
      <c r="L16" s="7">
        <f>I16*Parameters!$I$24</f>
        <v>0.0</v>
      </c>
      <c r="M16" s="7">
        <f>J16+K16+L16</f>
        <v>2506.624333811379</v>
      </c>
      <c r="N16" s="7">
        <f>C16*Parameters!$I$17+D16*Parameters!$I$18+E16*Parameters!$I$16+I16*Parameters!$I$25+G16*Parameters!$I$30</f>
        <v>2473.576470715368</v>
      </c>
      <c r="O16" s="7">
        <f>B16*Parameters!$I$19</f>
        <v>4000</v>
      </c>
      <c r="P16" s="7">
        <f>M16-N16-O16</f>
        <v>-3966.952136903989</v>
      </c>
      <c r="Q16" s="7">
        <f>Parameters!$I$21</f>
        <v>1000</v>
      </c>
      <c r="R16" s="7">
        <f>P16-Q16</f>
        <v>-4966.9521369039885</v>
      </c>
      <c r="S16" s="7">
        <f>IF(A16&lt;1+Parameters!$I$31,0,INDEX($M$5:$M$40,A16-Parameters!$I$31))</f>
        <v>2411.138700466416</v>
      </c>
      <c r="T16" s="7">
        <f>T15+M16-S16</f>
        <v>2506.624333811379</v>
      </c>
      <c r="U16" s="7">
        <f>S16-N16-O16-Q16</f>
        <v>-5062.437770248952</v>
      </c>
      <c r="V16" s="7">
        <f>V15+U16</f>
        <v>-61172.018811512244</v>
      </c>
      <c r="W16" s="7">
        <f>(1-Parameters!$I$7)*(C16-E16)+(1-Parameters!$I$8)*(D16+E16)</f>
        <v>689.3150954014378</v>
      </c>
      <c r="X16" s="7">
        <f>Parameters!$I$7*(C16-E16)+Parameters!$I$8*Parameters!$I$9*(D16+E16)</f>
        <v>5818.007006372727</v>
      </c>
      <c r="Y16" s="7">
        <f>Parameters!$I$8*(1-Parameters!$I$9)*(D16+E16)</f>
        <v>814.527576951562</v>
      </c>
      <c r="Z16" s="7">
        <f>POWER(1/(1+Parameters!$I$32),A16-1)*(M16-N16)</f>
        <v>29.6215835062361</v>
      </c>
    </row>
    <row r="17" spans="1:26">
      <c r="A17" s="7">
        <v>13</v>
      </c>
      <c r="B17" s="7">
        <f>Parameters!$I$20</f>
        <v>1000</v>
      </c>
      <c r="C17" s="7">
        <f>X16+B17</f>
        <v>6818.007006372728</v>
      </c>
      <c r="D17" s="7">
        <f>Y16</f>
        <v>814.527576951562</v>
      </c>
      <c r="E17" s="7">
        <f>Parameters!$I$6*C17</f>
        <v>136.36014012745454</v>
      </c>
      <c r="F17" s="7">
        <f>IF(Parameters!$I$5=1,E17,0)</f>
        <v>0.0</v>
      </c>
      <c r="G17" s="7">
        <f>Parameters!$I$27*G16+F17</f>
        <v>0.0</v>
      </c>
      <c r="H17" s="7">
        <f>IF(AND(Parameters!$I$5=1,Parameters!$I$26=1),SUMPRODUCT(--($A$5:A17&lt;A17),--(MOD(A17-$A$5:A17,Parameters!$I$28)=0),$F$5:F17,POWER(Parameters!$I$27,IF(A17-$A$5:A17=0,1,A17-$A$5:A17))),0)</f>
        <v>0.0</v>
      </c>
      <c r="I17" s="7">
        <f>Parameters!$I$23*I16+B17*Parameters!$I$22</f>
        <v>0.0</v>
      </c>
      <c r="J17" s="7">
        <f>E17*Parameters!$I$14*(1-Parameters!$I$15)</f>
        <v>2590.8426624216363</v>
      </c>
      <c r="K17" s="7">
        <f>H17*Parameters!$I$29</f>
        <v>0.0</v>
      </c>
      <c r="L17" s="7">
        <f>I17*Parameters!$I$24</f>
        <v>0.0</v>
      </c>
      <c r="M17" s="7">
        <f>J17+K17+L17</f>
        <v>2590.8426624216363</v>
      </c>
      <c r="N17" s="7">
        <f>C17*Parameters!$I$17+D17*Parameters!$I$18+E17*Parameters!$I$16+I17*Parameters!$I$25+G17*Parameters!$I$30</f>
        <v>2589.026030515054</v>
      </c>
      <c r="O17" s="7">
        <f>B17*Parameters!$I$19</f>
        <v>4000</v>
      </c>
      <c r="P17" s="7">
        <f>M17-N17-O17</f>
        <v>-3998.183368093418</v>
      </c>
      <c r="Q17" s="7">
        <f>Parameters!$I$21</f>
        <v>1000</v>
      </c>
      <c r="R17" s="7">
        <f>P17-Q17</f>
        <v>-4998.183368093418</v>
      </c>
      <c r="S17" s="7">
        <f>IF(A17&lt;1+Parameters!$I$31,0,INDEX($M$5:$M$40,A17-Parameters!$I$31))</f>
        <v>2506.624333811379</v>
      </c>
      <c r="T17" s="7">
        <f>T16+M17-S17</f>
        <v>2590.8426624216363</v>
      </c>
      <c r="U17" s="7">
        <f>S17-N17-O17-Q17</f>
        <v>-5082.401696703675</v>
      </c>
      <c r="V17" s="7">
        <f>V16+U17</f>
        <v>-66254.42050821592</v>
      </c>
      <c r="W17" s="7">
        <f>(1-Parameters!$I$7)*(C17-E17)+(1-Parameters!$I$8)*(D17+E17)</f>
        <v>715.7090724784781</v>
      </c>
      <c r="X17" s="7">
        <f>Parameters!$I$7*(C17-E17)+Parameters!$I$8*Parameters!$I$9*(D17+E17)</f>
        <v>6013.482179620746</v>
      </c>
      <c r="Y17" s="7">
        <f>Parameters!$I$8*(1-Parameters!$I$9)*(D17+E17)</f>
        <v>903.3433312250656</v>
      </c>
      <c r="Z17" s="7">
        <f>POWER(1/(1+Parameters!$I$32),A17-1)*(M17-N17)</f>
        <v>1.6121685780883217</v>
      </c>
    </row>
    <row r="18" spans="1:26">
      <c r="A18" s="7">
        <v>14</v>
      </c>
      <c r="B18" s="7">
        <f>Parameters!$I$20</f>
        <v>1000</v>
      </c>
      <c r="C18" s="7">
        <f>X17+B18</f>
        <v>7013.482179620746</v>
      </c>
      <c r="D18" s="7">
        <f>Y17</f>
        <v>903.3433312250656</v>
      </c>
      <c r="E18" s="7">
        <f>Parameters!$I$6*C18</f>
        <v>140.26964359241492</v>
      </c>
      <c r="F18" s="7">
        <f>IF(Parameters!$I$5=1,E18,0)</f>
        <v>0.0</v>
      </c>
      <c r="G18" s="7">
        <f>Parameters!$I$27*G17+F18</f>
        <v>0.0</v>
      </c>
      <c r="H18" s="7">
        <f>IF(AND(Parameters!$I$5=1,Parameters!$I$26=1),SUMPRODUCT(--($A$5:A18&lt;A18),--(MOD(A18-$A$5:A18,Parameters!$I$28)=0),$F$5:F18,POWER(Parameters!$I$27,IF(A18-$A$5:A18=0,1,A18-$A$5:A18))),0)</f>
        <v>0.0</v>
      </c>
      <c r="I18" s="7">
        <f>Parameters!$I$23*I17+B18*Parameters!$I$22</f>
        <v>0.0</v>
      </c>
      <c r="J18" s="7">
        <f>E18*Parameters!$I$14*(1-Parameters!$I$15)</f>
        <v>2665.1232282558835</v>
      </c>
      <c r="K18" s="7">
        <f>H18*Parameters!$I$29</f>
        <v>0.0</v>
      </c>
      <c r="L18" s="7">
        <f>I18*Parameters!$I$24</f>
        <v>0.0</v>
      </c>
      <c r="M18" s="7">
        <f>J18+K18+L18</f>
        <v>2665.1232282558835</v>
      </c>
      <c r="N18" s="7">
        <f>C18*Parameters!$I$17+D18*Parameters!$I$18+E18*Parameters!$I$16+I18*Parameters!$I$25+G18*Parameters!$I$30</f>
        <v>2695.9859630911715</v>
      </c>
      <c r="O18" s="7">
        <f>B18*Parameters!$I$19</f>
        <v>4000</v>
      </c>
      <c r="P18" s="7">
        <f>M18-N18-O18</f>
        <v>-4030.862734835288</v>
      </c>
      <c r="Q18" s="7">
        <f>Parameters!$I$21</f>
        <v>1000</v>
      </c>
      <c r="R18" s="7">
        <f>P18-Q18</f>
        <v>-5030.8627348352875</v>
      </c>
      <c r="S18" s="7">
        <f>IF(A18&lt;1+Parameters!$I$31,0,INDEX($M$5:$M$40,A18-Parameters!$I$31))</f>
        <v>2590.8426624216363</v>
      </c>
      <c r="T18" s="7">
        <f>T17+M18-S18</f>
        <v>2665.1232282558835</v>
      </c>
      <c r="U18" s="7">
        <f>S18-N18-O18-Q18</f>
        <v>-5105.143300669535</v>
      </c>
      <c r="V18" s="7">
        <f>V17+U18</f>
        <v>-71359.56380888545</v>
      </c>
      <c r="W18" s="7">
        <f>(1-Parameters!$I$7)*(C18-E18)+(1-Parameters!$I$8)*(D18+E18)</f>
        <v>739.5019023437071</v>
      </c>
      <c r="X18" s="7">
        <f>Parameters!$I$7*(C18-E18)+Parameters!$I$8*Parameters!$I$9*(D18+E18)</f>
        <v>6185.8912824254985</v>
      </c>
      <c r="Y18" s="7">
        <f>Parameters!$I$8*(1-Parameters!$I$9)*(D18+E18)</f>
        <v>991.4323260766065</v>
      </c>
      <c r="Z18" s="7">
        <f>POWER(1/(1+Parameters!$I$32),A18-1)*(M18-N18)</f>
        <v>-27.11793081102985</v>
      </c>
    </row>
    <row r="19" spans="1:26">
      <c r="A19" s="7">
        <v>15</v>
      </c>
      <c r="B19" s="7">
        <f>Parameters!$I$20</f>
        <v>1000</v>
      </c>
      <c r="C19" s="7">
        <f>X18+B19</f>
        <v>7185.891282425498</v>
      </c>
      <c r="D19" s="7">
        <f>Y18</f>
        <v>991.4323260766065</v>
      </c>
      <c r="E19" s="7">
        <f>Parameters!$I$6*C19</f>
        <v>143.71782564850994</v>
      </c>
      <c r="F19" s="7">
        <f>IF(Parameters!$I$5=1,E19,0)</f>
        <v>0.0</v>
      </c>
      <c r="G19" s="7">
        <f>Parameters!$I$27*G18+F19</f>
        <v>0.0</v>
      </c>
      <c r="H19" s="7">
        <f>IF(AND(Parameters!$I$5=1,Parameters!$I$26=1),SUMPRODUCT(--($A$5:A19&lt;A19),--(MOD(A19-$A$5:A19,Parameters!$I$28)=0),$F$5:F19,POWER(Parameters!$I$27,IF(A19-$A$5:A19=0,1,A19-$A$5:A19))),0)</f>
        <v>0.0</v>
      </c>
      <c r="I19" s="7">
        <f>Parameters!$I$23*I18+B19*Parameters!$I$22</f>
        <v>0.0</v>
      </c>
      <c r="J19" s="7">
        <f>E19*Parameters!$I$14*(1-Parameters!$I$15)</f>
        <v>2730.638687321689</v>
      </c>
      <c r="K19" s="7">
        <f>H19*Parameters!$I$29</f>
        <v>0.0</v>
      </c>
      <c r="L19" s="7">
        <f>I19*Parameters!$I$24</f>
        <v>0.0</v>
      </c>
      <c r="M19" s="7">
        <f>J19+K19+L19</f>
        <v>2730.638687321689</v>
      </c>
      <c r="N19" s="7">
        <f>C19*Parameters!$I$17+D19*Parameters!$I$18+E19*Parameters!$I$16+I19*Parameters!$I$25+G19*Parameters!$I$30</f>
        <v>2795.2013734144625</v>
      </c>
      <c r="O19" s="7">
        <f>B19*Parameters!$I$19</f>
        <v>4000</v>
      </c>
      <c r="P19" s="7">
        <f>M19-N19-O19</f>
        <v>-4064.5626860927737</v>
      </c>
      <c r="Q19" s="7">
        <f>Parameters!$I$21</f>
        <v>1000</v>
      </c>
      <c r="R19" s="7">
        <f>P19-Q19</f>
        <v>-5064.562686092773</v>
      </c>
      <c r="S19" s="7">
        <f>IF(A19&lt;1+Parameters!$I$31,0,INDEX($M$5:$M$40,A19-Parameters!$I$31))</f>
        <v>2665.1232282558835</v>
      </c>
      <c r="T19" s="7">
        <f>T18+M19-S19</f>
        <v>2730.638687321689</v>
      </c>
      <c r="U19" s="7">
        <f>S19-N19-O19-Q19</f>
        <v>-5130.078145158579</v>
      </c>
      <c r="V19" s="7">
        <f>V18+U19</f>
        <v>-76489.64195404403</v>
      </c>
      <c r="W19" s="7">
        <f>(1-Parameters!$I$7)*(C19-E19)+(1-Parameters!$I$8)*(D19+E19)</f>
        <v>760.9748532639546</v>
      </c>
      <c r="X19" s="7">
        <f>Parameters!$I$7*(C19-E19)+Parameters!$I$8*Parameters!$I$9*(D19+E19)</f>
        <v>6337.956111099289</v>
      </c>
      <c r="Y19" s="7">
        <f>Parameters!$I$8*(1-Parameters!$I$9)*(D19+E19)</f>
        <v>1078.3926441388608</v>
      </c>
      <c r="Z19" s="7">
        <f>POWER(1/(1+Parameters!$I$32),A19-1)*(M19-N19)</f>
        <v>-56.16714611711529</v>
      </c>
    </row>
    <row r="20" spans="1:26">
      <c r="A20" s="7">
        <v>16</v>
      </c>
      <c r="B20" s="7">
        <f>Parameters!$I$20</f>
        <v>1000</v>
      </c>
      <c r="C20" s="7">
        <f>X19+B20</f>
        <v>7337.956111099289</v>
      </c>
      <c r="D20" s="7">
        <f>Y19</f>
        <v>1078.3926441388605</v>
      </c>
      <c r="E20" s="7">
        <f>Parameters!$I$6*C20</f>
        <v>146.7591222219858</v>
      </c>
      <c r="F20" s="7">
        <f>IF(Parameters!$I$5=1,E20,0)</f>
        <v>0.0</v>
      </c>
      <c r="G20" s="7">
        <f>Parameters!$I$27*G19+F20</f>
        <v>0.0</v>
      </c>
      <c r="H20" s="7">
        <f>IF(AND(Parameters!$I$5=1,Parameters!$I$26=1),SUMPRODUCT(--($A$5:A20&lt;A20),--(MOD(A20-$A$5:A20,Parameters!$I$28)=0),$F$5:F20,POWER(Parameters!$I$27,IF(A20-$A$5:A20=0,1,A20-$A$5:A20))),0)</f>
        <v>0.0</v>
      </c>
      <c r="I20" s="7">
        <f>Parameters!$I$23*I19+B20*Parameters!$I$22</f>
        <v>0.0</v>
      </c>
      <c r="J20" s="7">
        <f>E20*Parameters!$I$14*(1-Parameters!$I$15)</f>
        <v>2788.42332221773</v>
      </c>
      <c r="K20" s="7">
        <f>H20*Parameters!$I$29</f>
        <v>0.0</v>
      </c>
      <c r="L20" s="7">
        <f>I20*Parameters!$I$24</f>
        <v>0.0</v>
      </c>
      <c r="M20" s="7">
        <f>J20+K20+L20</f>
        <v>2788.42332221773</v>
      </c>
      <c r="N20" s="7">
        <f>C20*Parameters!$I$17+D20*Parameters!$I$18+E20*Parameters!$I$16+I20*Parameters!$I$25+G20*Parameters!$I$30</f>
        <v>2887.3422776212024</v>
      </c>
      <c r="O20" s="7">
        <f>B20*Parameters!$I$19</f>
        <v>4000</v>
      </c>
      <c r="P20" s="7">
        <f>M20-N20-O20</f>
        <v>-4098.918955403473</v>
      </c>
      <c r="Q20" s="7">
        <f>Parameters!$I$21</f>
        <v>1000</v>
      </c>
      <c r="R20" s="7">
        <f>P20-Q20</f>
        <v>-5098.918955403473</v>
      </c>
      <c r="S20" s="7">
        <f>IF(A20&lt;1+Parameters!$I$31,0,INDEX($M$5:$M$40,A20-Parameters!$I$31))</f>
        <v>2730.638687321689</v>
      </c>
      <c r="T20" s="7">
        <f>T19+M20-S20</f>
        <v>2788.42332221773</v>
      </c>
      <c r="U20" s="7">
        <f>S20-N20-O20-Q20</f>
        <v>-5156.703590299514</v>
      </c>
      <c r="V20" s="7">
        <f>V19+U20</f>
        <v>-81646.34554434354</v>
      </c>
      <c r="W20" s="7">
        <f>(1-Parameters!$I$7)*(C20-E20)+(1-Parameters!$I$8)*(D20+E20)</f>
        <v>780.3772872057725</v>
      </c>
      <c r="X20" s="7">
        <f>Parameters!$I$7*(C20-E20)+Parameters!$I$8*Parameters!$I$9*(D20+E20)</f>
        <v>6472.077289989573</v>
      </c>
      <c r="Y20" s="7">
        <f>Parameters!$I$8*(1-Parameters!$I$9)*(D20+E20)</f>
        <v>1163.894178042804</v>
      </c>
      <c r="Z20" s="7">
        <f>POWER(1/(1+Parameters!$I$32),A20-1)*(M20-N20)</f>
        <v>-85.20379028735279</v>
      </c>
    </row>
    <row r="21" spans="1:26">
      <c r="A21" s="7">
        <v>17</v>
      </c>
      <c r="B21" s="7">
        <f>Parameters!$I$20</f>
        <v>1000</v>
      </c>
      <c r="C21" s="7">
        <f>X20+B21</f>
        <v>7472.077289989573</v>
      </c>
      <c r="D21" s="7">
        <f>Y20</f>
        <v>1163.894178042804</v>
      </c>
      <c r="E21" s="7">
        <f>Parameters!$I$6*C21</f>
        <v>149.44154579979147</v>
      </c>
      <c r="F21" s="7">
        <f>IF(Parameters!$I$5=1,E21,0)</f>
        <v>0.0</v>
      </c>
      <c r="G21" s="7">
        <f>Parameters!$I$27*G20+F21</f>
        <v>0.0</v>
      </c>
      <c r="H21" s="7">
        <f>IF(AND(Parameters!$I$5=1,Parameters!$I$26=1),SUMPRODUCT(--($A$5:A21&lt;A21),--(MOD(A21-$A$5:A21,Parameters!$I$28)=0),$F$5:F21,POWER(Parameters!$I$27,IF(A21-$A$5:A21=0,1,A21-$A$5:A21))),0)</f>
        <v>0.0</v>
      </c>
      <c r="I21" s="7">
        <f>Parameters!$I$23*I20+B21*Parameters!$I$22</f>
        <v>0.0</v>
      </c>
      <c r="J21" s="7">
        <f>E21*Parameters!$I$14*(1-Parameters!$I$15)</f>
        <v>2839.389370196038</v>
      </c>
      <c r="K21" s="7">
        <f>H21*Parameters!$I$29</f>
        <v>0.0</v>
      </c>
      <c r="L21" s="7">
        <f>I21*Parameters!$I$24</f>
        <v>0.0</v>
      </c>
      <c r="M21" s="7">
        <f>J21+K21+L21</f>
        <v>2839.389370196038</v>
      </c>
      <c r="N21" s="7">
        <f>C21*Parameters!$I$17+D21*Parameters!$I$18+E21*Parameters!$I$16+I21*Parameters!$I$25+G21*Parameters!$I$30</f>
        <v>2973.0118218180655</v>
      </c>
      <c r="O21" s="7">
        <f>B21*Parameters!$I$19</f>
        <v>4000</v>
      </c>
      <c r="P21" s="7">
        <f>M21-N21-O21</f>
        <v>-4133.622451622028</v>
      </c>
      <c r="Q21" s="7">
        <f>Parameters!$I$21</f>
        <v>1000</v>
      </c>
      <c r="R21" s="7">
        <f>P21-Q21</f>
        <v>-5133.622451622028</v>
      </c>
      <c r="S21" s="7">
        <f>IF(A21&lt;1+Parameters!$I$31,0,INDEX($M$5:$M$40,A21-Parameters!$I$31))</f>
        <v>2788.42332221773</v>
      </c>
      <c r="T21" s="7">
        <f>T20+M21-S21</f>
        <v>2839.389370196038</v>
      </c>
      <c r="U21" s="7">
        <f>S21-N21-O21-Q21</f>
        <v>-5184.588499600335</v>
      </c>
      <c r="V21" s="7">
        <f>V20+U21</f>
        <v>-86830.93404394387</v>
      </c>
      <c r="W21" s="7">
        <f>(1-Parameters!$I$7)*(C21-E21)+(1-Parameters!$I$8)*(D21+E21)</f>
        <v>797.9303606111079</v>
      </c>
      <c r="X21" s="7">
        <f>Parameters!$I$7*(C21-E21)+Parameters!$I$8*Parameters!$I$9*(D21+E21)</f>
        <v>6590.372169770803</v>
      </c>
      <c r="Y21" s="7">
        <f>Parameters!$I$8*(1-Parameters!$I$9)*(D21+E21)</f>
        <v>1247.6689376504658</v>
      </c>
      <c r="Z21" s="7">
        <f>POWER(1/(1+Parameters!$I$32),A21-1)*(M21-N21)</f>
        <v>-113.95606785140004</v>
      </c>
    </row>
    <row r="22" spans="1:26">
      <c r="A22" s="7">
        <v>18</v>
      </c>
      <c r="B22" s="7">
        <f>Parameters!$I$20</f>
        <v>1000</v>
      </c>
      <c r="C22" s="7">
        <f>X21+B22</f>
        <v>7590.372169770803</v>
      </c>
      <c r="D22" s="7">
        <f>Y21</f>
        <v>1247.6689376504655</v>
      </c>
      <c r="E22" s="7">
        <f>Parameters!$I$6*C22</f>
        <v>151.80744339541607</v>
      </c>
      <c r="F22" s="7">
        <f>IF(Parameters!$I$5=1,E22,0)</f>
        <v>0.0</v>
      </c>
      <c r="G22" s="7">
        <f>Parameters!$I$27*G21+F22</f>
        <v>0.0</v>
      </c>
      <c r="H22" s="7">
        <f>IF(AND(Parameters!$I$5=1,Parameters!$I$26=1),SUMPRODUCT(--($A$5:A22&lt;A22),--(MOD(A22-$A$5:A22,Parameters!$I$28)=0),$F$5:F22,POWER(Parameters!$I$27,IF(A22-$A$5:A22=0,1,A22-$A$5:A22))),0)</f>
        <v>0.0</v>
      </c>
      <c r="I22" s="7">
        <f>Parameters!$I$23*I21+B22*Parameters!$I$22</f>
        <v>0.0</v>
      </c>
      <c r="J22" s="7">
        <f>E22*Parameters!$I$14*(1-Parameters!$I$15)</f>
        <v>2884.341424512905</v>
      </c>
      <c r="K22" s="7">
        <f>H22*Parameters!$I$29</f>
        <v>0.0</v>
      </c>
      <c r="L22" s="7">
        <f>I22*Parameters!$I$24</f>
        <v>0.0</v>
      </c>
      <c r="M22" s="7">
        <f>J22+K22+L22</f>
        <v>2884.341424512905</v>
      </c>
      <c r="N22" s="7">
        <f>C22*Parameters!$I$17+D22*Parameters!$I$18+E22*Parameters!$I$16+I22*Parameters!$I$25+G22*Parameters!$I$30</f>
        <v>3052.75356315189</v>
      </c>
      <c r="O22" s="7">
        <f>B22*Parameters!$I$19</f>
        <v>4000</v>
      </c>
      <c r="P22" s="7">
        <f>M22-N22-O22</f>
        <v>-4168.412138638985</v>
      </c>
      <c r="Q22" s="7">
        <f>Parameters!$I$21</f>
        <v>1000</v>
      </c>
      <c r="R22" s="7">
        <f>P22-Q22</f>
        <v>-5168.412138638985</v>
      </c>
      <c r="S22" s="7">
        <f>IF(A22&lt;1+Parameters!$I$31,0,INDEX($M$5:$M$40,A22-Parameters!$I$31))</f>
        <v>2839.389370196038</v>
      </c>
      <c r="T22" s="7">
        <f>T21+M22-S22</f>
        <v>2884.341424512905</v>
      </c>
      <c r="U22" s="7">
        <f>S22-N22-O22-Q22</f>
        <v>-5213.364192955853</v>
      </c>
      <c r="V22" s="7">
        <f>V21+U22</f>
        <v>-92044.29823689972</v>
      </c>
      <c r="W22" s="7">
        <f>(1-Parameters!$I$7)*(C22-E22)+(1-Parameters!$I$8)*(D22+E22)</f>
        <v>813.8302916898327</v>
      </c>
      <c r="X22" s="7">
        <f>Parameters!$I$7*(C22-E22)+Parameters!$I$8*Parameters!$I$9*(D22+E22)</f>
        <v>6694.708253737848</v>
      </c>
      <c r="Y22" s="7">
        <f>Parameters!$I$8*(1-Parameters!$I$9)*(D22+E22)</f>
        <v>1329.5025619935875</v>
      </c>
      <c r="Z22" s="7">
        <f>POWER(1/(1+Parameters!$I$32),A22-1)*(M22-N22)</f>
        <v>-142.20341846036038</v>
      </c>
    </row>
    <row r="23" spans="1:26">
      <c r="A23" s="7">
        <v>19</v>
      </c>
      <c r="B23" s="7">
        <f>Parameters!$I$20</f>
        <v>1000</v>
      </c>
      <c r="C23" s="7">
        <f>X22+B23</f>
        <v>7694.708253737848</v>
      </c>
      <c r="D23" s="7">
        <f>Y22</f>
        <v>1329.5025619935875</v>
      </c>
      <c r="E23" s="7">
        <f>Parameters!$I$6*C23</f>
        <v>153.89416507475696</v>
      </c>
      <c r="F23" s="7">
        <f>IF(Parameters!$I$5=1,E23,0)</f>
        <v>0.0</v>
      </c>
      <c r="G23" s="7">
        <f>Parameters!$I$27*G22+F23</f>
        <v>0.0</v>
      </c>
      <c r="H23" s="7">
        <f>IF(AND(Parameters!$I$5=1,Parameters!$I$26=1),SUMPRODUCT(--($A$5:A23&lt;A23),--(MOD(A23-$A$5:A23,Parameters!$I$28)=0),$F$5:F23,POWER(Parameters!$I$27,IF(A23-$A$5:A23=0,1,A23-$A$5:A23))),0)</f>
        <v>0.0</v>
      </c>
      <c r="I23" s="7">
        <f>Parameters!$I$23*I22+B23*Parameters!$I$22</f>
        <v>0.0</v>
      </c>
      <c r="J23" s="7">
        <f>E23*Parameters!$I$14*(1-Parameters!$I$15)</f>
        <v>2923.9891364203822</v>
      </c>
      <c r="K23" s="7">
        <f>H23*Parameters!$I$29</f>
        <v>0.0</v>
      </c>
      <c r="L23" s="7">
        <f>I23*Parameters!$I$24</f>
        <v>0.0</v>
      </c>
      <c r="M23" s="7">
        <f>J23+K23+L23</f>
        <v>2923.9891364203822</v>
      </c>
      <c r="N23" s="7">
        <f>C23*Parameters!$I$17+D23*Parameters!$I$18+E23*Parameters!$I$16+I23*Parameters!$I$25+G23*Parameters!$I$30</f>
        <v>3127.057922192905</v>
      </c>
      <c r="O23" s="7">
        <f>B23*Parameters!$I$19</f>
        <v>4000</v>
      </c>
      <c r="P23" s="7">
        <f>M23-N23-O23</f>
        <v>-4203.0687857725225</v>
      </c>
      <c r="Q23" s="7">
        <f>Parameters!$I$21</f>
        <v>1000</v>
      </c>
      <c r="R23" s="7">
        <f>P23-Q23</f>
        <v>-5203.0687857725225</v>
      </c>
      <c r="S23" s="7">
        <f>IF(A23&lt;1+Parameters!$I$31,0,INDEX($M$5:$M$40,A23-Parameters!$I$31))</f>
        <v>2884.341424512905</v>
      </c>
      <c r="T23" s="7">
        <f>T22+M23-S23</f>
        <v>2923.9891364203822</v>
      </c>
      <c r="U23" s="7">
        <f>S23-N23-O23-Q23</f>
        <v>-5242.7164976799995</v>
      </c>
      <c r="V23" s="7">
        <f>V22+U23</f>
        <v>-97287.01473457972</v>
      </c>
      <c r="W23" s="7">
        <f>(1-Parameters!$I$7)*(C23-E23)+(1-Parameters!$I$8)*(D23+E23)</f>
        <v>828.2512452197262</v>
      </c>
      <c r="X23" s="7">
        <f>Parameters!$I$7*(C23-E23)+Parameters!$I$8*Parameters!$I$9*(D23+E23)</f>
        <v>6786.732679796783</v>
      </c>
      <c r="Y23" s="7">
        <f>Parameters!$I$8*(1-Parameters!$I$9)*(D23+E23)</f>
        <v>1409.226890714927</v>
      </c>
      <c r="Z23" s="7">
        <f>POWER(1/(1+Parameters!$I$32),A23-1)*(M23-N23)</f>
        <v>-169.7690208775874</v>
      </c>
    </row>
    <row r="24" spans="1:26">
      <c r="A24" s="7">
        <v>20</v>
      </c>
      <c r="B24" s="7">
        <f>Parameters!$I$20</f>
        <v>1000</v>
      </c>
      <c r="C24" s="7">
        <f>X23+B24</f>
        <v>7786.732679796783</v>
      </c>
      <c r="D24" s="7">
        <f>Y23</f>
        <v>1409.2268907149273</v>
      </c>
      <c r="E24" s="7">
        <f>Parameters!$I$6*C24</f>
        <v>155.73465359593564</v>
      </c>
      <c r="F24" s="7">
        <f>IF(Parameters!$I$5=1,E24,0)</f>
        <v>0.0</v>
      </c>
      <c r="G24" s="7">
        <f>Parameters!$I$27*G23+F24</f>
        <v>0.0</v>
      </c>
      <c r="H24" s="7">
        <f>IF(AND(Parameters!$I$5=1,Parameters!$I$26=1),SUMPRODUCT(--($A$5:A24&lt;A24),--(MOD(A24-$A$5:A24,Parameters!$I$28)=0),$F$5:F24,POWER(Parameters!$I$27,IF(A24-$A$5:A24=0,1,A24-$A$5:A24))),0)</f>
        <v>0.0</v>
      </c>
      <c r="I24" s="7">
        <f>Parameters!$I$23*I23+B24*Parameters!$I$22</f>
        <v>0.0</v>
      </c>
      <c r="J24" s="7">
        <f>E24*Parameters!$I$14*(1-Parameters!$I$15)</f>
        <v>2958.958418322777</v>
      </c>
      <c r="K24" s="7">
        <f>H24*Parameters!$I$29</f>
        <v>0.0</v>
      </c>
      <c r="L24" s="7">
        <f>I24*Parameters!$I$24</f>
        <v>0.0</v>
      </c>
      <c r="M24" s="7">
        <f>J24+K24+L24</f>
        <v>2958.958418322777</v>
      </c>
      <c r="N24" s="7">
        <f>C24*Parameters!$I$17+D24*Parameters!$I$18+E24*Parameters!$I$16+I24*Parameters!$I$25+G24*Parameters!$I$30</f>
        <v>3196.367902892434</v>
      </c>
      <c r="O24" s="7">
        <f>B24*Parameters!$I$19</f>
        <v>4000</v>
      </c>
      <c r="P24" s="7">
        <f>M24-N24-O24</f>
        <v>-4237.409484569656</v>
      </c>
      <c r="Q24" s="7">
        <f>Parameters!$I$21</f>
        <v>1000</v>
      </c>
      <c r="R24" s="7">
        <f>P24-Q24</f>
        <v>-5237.409484569656</v>
      </c>
      <c r="S24" s="7">
        <f>IF(A24&lt;1+Parameters!$I$31,0,INDEX($M$5:$M$40,A24-Parameters!$I$31))</f>
        <v>2923.9891364203822</v>
      </c>
      <c r="T24" s="7">
        <f>T23+M24-S24</f>
        <v>2958.958418322777</v>
      </c>
      <c r="U24" s="7">
        <f>S24-N24-O24-Q24</f>
        <v>-5272.378766472051</v>
      </c>
      <c r="V24" s="7">
        <f>V23+U24</f>
        <v>-102559.39350105176</v>
      </c>
      <c r="W24" s="7">
        <f>(1-Parameters!$I$7)*(C24-E24)+(1-Parameters!$I$8)*(D24+E24)</f>
        <v>841.3478798356277</v>
      </c>
      <c r="X24" s="7">
        <f>Parameters!$I$7*(C24-E24)+Parameters!$I$8*Parameters!$I$9*(D24+E24)</f>
        <v>6867.8982235807625</v>
      </c>
      <c r="Y24" s="7">
        <f>Parameters!$I$8*(1-Parameters!$I$9)*(D24+E24)</f>
        <v>1486.7134670953199</v>
      </c>
      <c r="Z24" s="7">
        <f>POWER(1/(1+Parameters!$I$32),A24-1)*(M24-N24)</f>
        <v>-196.5133065875366</v>
      </c>
    </row>
    <row r="25" spans="1:26">
      <c r="A25" s="7">
        <v>21</v>
      </c>
      <c r="B25" s="7">
        <f>Parameters!$I$20</f>
        <v>1000</v>
      </c>
      <c r="C25" s="7">
        <f>X24+B25</f>
        <v>7867.898223580762</v>
      </c>
      <c r="D25" s="7">
        <f>Y24</f>
        <v>1486.7134670953196</v>
      </c>
      <c r="E25" s="7">
        <f>Parameters!$I$6*C25</f>
        <v>157.35796447161525</v>
      </c>
      <c r="F25" s="7">
        <f>IF(Parameters!$I$5=1,E25,0)</f>
        <v>0.0</v>
      </c>
      <c r="G25" s="7">
        <f>Parameters!$I$27*G24+F25</f>
        <v>0.0</v>
      </c>
      <c r="H25" s="7">
        <f>IF(AND(Parameters!$I$5=1,Parameters!$I$26=1),SUMPRODUCT(--($A$5:A25&lt;A25),--(MOD(A25-$A$5:A25,Parameters!$I$28)=0),$F$5:F25,POWER(Parameters!$I$27,IF(A25-$A$5:A25=0,1,A25-$A$5:A25))),0)</f>
        <v>0.0</v>
      </c>
      <c r="I25" s="7">
        <f>Parameters!$I$23*I24+B25*Parameters!$I$22</f>
        <v>0.0</v>
      </c>
      <c r="J25" s="7">
        <f>E25*Parameters!$I$14*(1-Parameters!$I$15)</f>
        <v>2989.8013249606893</v>
      </c>
      <c r="K25" s="7">
        <f>H25*Parameters!$I$29</f>
        <v>0.0</v>
      </c>
      <c r="L25" s="7">
        <f>I25*Parameters!$I$24</f>
        <v>0.0</v>
      </c>
      <c r="M25" s="7">
        <f>J25+K25+L25</f>
        <v>2989.8013249606893</v>
      </c>
      <c r="N25" s="7">
        <f>C25*Parameters!$I$17+D25*Parameters!$I$18+E25*Parameters!$I$16+I25*Parameters!$I$25+G25*Parameters!$I$30</f>
        <v>3261.084165093503</v>
      </c>
      <c r="O25" s="7">
        <f>B25*Parameters!$I$19</f>
        <v>4000</v>
      </c>
      <c r="P25" s="7">
        <f>M25-N25-O25</f>
        <v>-4271.282840132813</v>
      </c>
      <c r="Q25" s="7">
        <f>Parameters!$I$21</f>
        <v>1000</v>
      </c>
      <c r="R25" s="7">
        <f>P25-Q25</f>
        <v>-5271.282840132813</v>
      </c>
      <c r="S25" s="7">
        <f>IF(A25&lt;1+Parameters!$I$31,0,INDEX($M$5:$M$40,A25-Parameters!$I$31))</f>
        <v>2958.958418322777</v>
      </c>
      <c r="T25" s="7">
        <f>T24+M25-S25</f>
        <v>2989.8013249606893</v>
      </c>
      <c r="U25" s="7">
        <f>S25-N25-O25-Q25</f>
        <v>-5302.1257467707255</v>
      </c>
      <c r="V25" s="7">
        <f>V24+U25</f>
        <v>-107861.51924782249</v>
      </c>
      <c r="W25" s="7">
        <f>(1-Parameters!$I$7)*(C25-E25)+(1-Parameters!$I$8)*(D25+E25)</f>
        <v>853.2575974892613</v>
      </c>
      <c r="X25" s="7">
        <f>Parameters!$I$7*(C25-E25)+Parameters!$I$8*Parameters!$I$9*(D25+E25)</f>
        <v>6939.486233198231</v>
      </c>
      <c r="Y25" s="7">
        <f>Parameters!$I$8*(1-Parameters!$I$9)*(D25+E25)</f>
        <v>1561.8678599885882</v>
      </c>
      <c r="Z25" s="7">
        <f>POWER(1/(1+Parameters!$I$32),A25-1)*(M25-N25)</f>
        <v>-222.32835152824407</v>
      </c>
    </row>
    <row r="26" spans="1:26">
      <c r="A26" s="7">
        <v>22</v>
      </c>
      <c r="B26" s="7">
        <f>Parameters!$I$20</f>
        <v>1000</v>
      </c>
      <c r="C26" s="7">
        <f>X25+B26</f>
        <v>7939.486233198232</v>
      </c>
      <c r="D26" s="7">
        <f>Y25</f>
        <v>1561.8678599885882</v>
      </c>
      <c r="E26" s="7">
        <f>Parameters!$I$6*C26</f>
        <v>158.78972466396465</v>
      </c>
      <c r="F26" s="7">
        <f>IF(Parameters!$I$5=1,E26,0)</f>
        <v>0.0</v>
      </c>
      <c r="G26" s="7">
        <f>Parameters!$I$27*G25+F26</f>
        <v>0.0</v>
      </c>
      <c r="H26" s="7">
        <f>IF(AND(Parameters!$I$5=1,Parameters!$I$26=1),SUMPRODUCT(--($A$5:A26&lt;A26),--(MOD(A26-$A$5:A26,Parameters!$I$28)=0),$F$5:F26,POWER(Parameters!$I$27,IF(A26-$A$5:A26=0,1,A26-$A$5:A26))),0)</f>
        <v>0.0</v>
      </c>
      <c r="I26" s="7">
        <f>Parameters!$I$23*I25+B26*Parameters!$I$22</f>
        <v>0.0</v>
      </c>
      <c r="J26" s="7">
        <f>E26*Parameters!$I$14*(1-Parameters!$I$15)</f>
        <v>3017.004768615328</v>
      </c>
      <c r="K26" s="7">
        <f>H26*Parameters!$I$29</f>
        <v>0.0</v>
      </c>
      <c r="L26" s="7">
        <f>I26*Parameters!$I$24</f>
        <v>0.0</v>
      </c>
      <c r="M26" s="7">
        <f>J26+K26+L26</f>
        <v>3017.004768615328</v>
      </c>
      <c r="N26" s="7">
        <f>C26*Parameters!$I$17+D26*Parameters!$I$18+E26*Parameters!$I$16+I26*Parameters!$I$25+G26*Parameters!$I$30</f>
        <v>3321.569524617728</v>
      </c>
      <c r="O26" s="7">
        <f>B26*Parameters!$I$19</f>
        <v>4000</v>
      </c>
      <c r="P26" s="7">
        <f>M26-N26-O26</f>
        <v>-4304.5647560024</v>
      </c>
      <c r="Q26" s="7">
        <f>Parameters!$I$21</f>
        <v>1000</v>
      </c>
      <c r="R26" s="7">
        <f>P26-Q26</f>
        <v>-5304.5647560024</v>
      </c>
      <c r="S26" s="7">
        <f>IF(A26&lt;1+Parameters!$I$31,0,INDEX($M$5:$M$40,A26-Parameters!$I$31))</f>
        <v>2989.8013249606893</v>
      </c>
      <c r="T26" s="7">
        <f>T25+M26-S26</f>
        <v>3017.004768615328</v>
      </c>
      <c r="U26" s="7">
        <f>S26-N26-O26-Q26</f>
        <v>-5331.768199657039</v>
      </c>
      <c r="V26" s="7">
        <f>V25+U26</f>
        <v>-113193.28744747952</v>
      </c>
      <c r="W26" s="7">
        <f>(1-Parameters!$I$7)*(C26-E26)+(1-Parameters!$I$8)*(D26+E26)</f>
        <v>864.1025300860542</v>
      </c>
      <c r="X26" s="7">
        <f>Parameters!$I$7*(C26-E26)+Parameters!$I$8*Parameters!$I$9*(D26+E26)</f>
        <v>7002.626857680841</v>
      </c>
      <c r="Y26" s="7">
        <f>Parameters!$I$8*(1-Parameters!$I$9)*(D26+E26)</f>
        <v>1634.6247054199252</v>
      </c>
      <c r="Z26" s="7">
        <f>POWER(1/(1+Parameters!$I$32),A26-1)*(M26-N26)</f>
        <v>-247.13303132811333</v>
      </c>
    </row>
    <row r="27" spans="1:26">
      <c r="A27" s="7">
        <v>23</v>
      </c>
      <c r="B27" s="7">
        <f>Parameters!$I$20</f>
        <v>1000</v>
      </c>
      <c r="C27" s="7">
        <f>X26+B27</f>
        <v>8002.626857680841</v>
      </c>
      <c r="D27" s="7">
        <f>Y26</f>
        <v>1634.624705419925</v>
      </c>
      <c r="E27" s="7">
        <f>Parameters!$I$6*C27</f>
        <v>160.0525371536168</v>
      </c>
      <c r="F27" s="7">
        <f>IF(Parameters!$I$5=1,E27,0)</f>
        <v>0.0</v>
      </c>
      <c r="G27" s="7">
        <f>Parameters!$I$27*G26+F27</f>
        <v>0.0</v>
      </c>
      <c r="H27" s="7">
        <f>IF(AND(Parameters!$I$5=1,Parameters!$I$26=1),SUMPRODUCT(--($A$5:A27&lt;A27),--(MOD(A27-$A$5:A27,Parameters!$I$28)=0),$F$5:F27,POWER(Parameters!$I$27,IF(A27-$A$5:A27=0,1,A27-$A$5:A27))),0)</f>
        <v>0.0</v>
      </c>
      <c r="I27" s="7">
        <f>Parameters!$I$23*I26+B27*Parameters!$I$22</f>
        <v>0.0</v>
      </c>
      <c r="J27" s="7">
        <f>E27*Parameters!$I$14*(1-Parameters!$I$15)</f>
        <v>3040.9982059187196</v>
      </c>
      <c r="K27" s="7">
        <f>H27*Parameters!$I$29</f>
        <v>0.0</v>
      </c>
      <c r="L27" s="7">
        <f>I27*Parameters!$I$24</f>
        <v>0.0</v>
      </c>
      <c r="M27" s="7">
        <f>J27+K27+L27</f>
        <v>3040.9982059187196</v>
      </c>
      <c r="N27" s="7">
        <f>C27*Parameters!$I$17+D27*Parameters!$I$18+E27*Parameters!$I$16+I27*Parameters!$I$25+G27*Parameters!$I$30</f>
        <v>3378.1529471678314</v>
      </c>
      <c r="O27" s="7">
        <f>B27*Parameters!$I$19</f>
        <v>4000</v>
      </c>
      <c r="P27" s="7">
        <f>M27-N27-O27</f>
        <v>-4337.154741249112</v>
      </c>
      <c r="Q27" s="7">
        <f>Parameters!$I$21</f>
        <v>1000</v>
      </c>
      <c r="R27" s="7">
        <f>P27-Q27</f>
        <v>-5337.154741249112</v>
      </c>
      <c r="S27" s="7">
        <f>IF(A27&lt;1+Parameters!$I$31,0,INDEX($M$5:$M$40,A27-Parameters!$I$31))</f>
        <v>3017.004768615328</v>
      </c>
      <c r="T27" s="7">
        <f>T26+M27-S27</f>
        <v>3040.9982059187196</v>
      </c>
      <c r="U27" s="7">
        <f>S27-N27-O27-Q27</f>
        <v>-5361.148178552503</v>
      </c>
      <c r="V27" s="7">
        <f>V26+U27</f>
        <v>-118554.43562603203</v>
      </c>
      <c r="W27" s="7">
        <f>(1-Parameters!$I$7)*(C27-E27)+(1-Parameters!$I$8)*(D27+E27)</f>
        <v>873.9912941813993</v>
      </c>
      <c r="X27" s="7">
        <f>Parameters!$I$7*(C27-E27)+Parameters!$I$8*Parameters!$I$9*(D27+E27)</f>
        <v>7058.316888474502</v>
      </c>
      <c r="Y27" s="7">
        <f>Parameters!$I$8*(1-Parameters!$I$9)*(D27+E27)</f>
        <v>1704.9433804448647</v>
      </c>
      <c r="Z27" s="7">
        <f>POWER(1/(1+Parameters!$I$32),A27-1)*(M27-N27)</f>
        <v>-270.86884015166277</v>
      </c>
    </row>
    <row r="28" spans="1:26">
      <c r="A28" s="7">
        <v>24</v>
      </c>
      <c r="B28" s="7">
        <f>Parameters!$I$20</f>
        <v>1000</v>
      </c>
      <c r="C28" s="7">
        <f>X27+B28</f>
        <v>8058.316888474501</v>
      </c>
      <c r="D28" s="7">
        <f>Y27</f>
        <v>1704.9433804448647</v>
      </c>
      <c r="E28" s="7">
        <f>Parameters!$I$6*C28</f>
        <v>161.16633776949004</v>
      </c>
      <c r="F28" s="7">
        <f>IF(Parameters!$I$5=1,E28,0)</f>
        <v>0.0</v>
      </c>
      <c r="G28" s="7">
        <f>Parameters!$I$27*G27+F28</f>
        <v>0.0</v>
      </c>
      <c r="H28" s="7">
        <f>IF(AND(Parameters!$I$5=1,Parameters!$I$26=1),SUMPRODUCT(--($A$5:A28&lt;A28),--(MOD(A28-$A$5:A28,Parameters!$I$28)=0),$F$5:F28,POWER(Parameters!$I$27,IF(A28-$A$5:A28=0,1,A28-$A$5:A28))),0)</f>
        <v>0.0</v>
      </c>
      <c r="I28" s="7">
        <f>Parameters!$I$23*I27+B28*Parameters!$I$22</f>
        <v>0.0</v>
      </c>
      <c r="J28" s="7">
        <f>E28*Parameters!$I$14*(1-Parameters!$I$15)</f>
        <v>3062.1604176203105</v>
      </c>
      <c r="K28" s="7">
        <f>H28*Parameters!$I$29</f>
        <v>0.0</v>
      </c>
      <c r="L28" s="7">
        <f>I28*Parameters!$I$24</f>
        <v>0.0</v>
      </c>
      <c r="M28" s="7">
        <f>J28+K28+L28</f>
        <v>3062.1604176203105</v>
      </c>
      <c r="N28" s="7">
        <f>C28*Parameters!$I$17+D28*Parameters!$I$18+E28*Parameters!$I$16+I28*Parameters!$I$25+G28*Parameters!$I$30</f>
        <v>3431.1330945342725</v>
      </c>
      <c r="O28" s="7">
        <f>B28*Parameters!$I$19</f>
        <v>4000</v>
      </c>
      <c r="P28" s="7">
        <f>M28-N28-O28</f>
        <v>-4368.972676913962</v>
      </c>
      <c r="Q28" s="7">
        <f>Parameters!$I$21</f>
        <v>1000</v>
      </c>
      <c r="R28" s="7">
        <f>P28-Q28</f>
        <v>-5368.972676913962</v>
      </c>
      <c r="S28" s="7">
        <f>IF(A28&lt;1+Parameters!$I$31,0,INDEX($M$5:$M$40,A28-Parameters!$I$31))</f>
        <v>3040.9982059187196</v>
      </c>
      <c r="T28" s="7">
        <f>T27+M28-S28</f>
        <v>3062.1604176203105</v>
      </c>
      <c r="U28" s="7">
        <f>S28-N28-O28-Q28</f>
        <v>-5390.134888615553</v>
      </c>
      <c r="V28" s="7">
        <f>V27+U28</f>
        <v>-123944.57051464758</v>
      </c>
      <c r="W28" s="7">
        <f>(1-Parameters!$I$7)*(C28-E28)+(1-Parameters!$I$8)*(D28+E28)</f>
        <v>883.0205409812187</v>
      </c>
      <c r="X28" s="7">
        <f>Parameters!$I$7*(C28-E28)+Parameters!$I$8*Parameters!$I$9*(D28+E28)</f>
        <v>7107.43549563451</v>
      </c>
      <c r="Y28" s="7">
        <f>Parameters!$I$8*(1-Parameters!$I$9)*(D28+E28)</f>
        <v>1772.804232303637</v>
      </c>
      <c r="Z28" s="7">
        <f>POWER(1/(1+Parameters!$I$32),A28-1)*(M28-N28)</f>
        <v>-293.49628610511587</v>
      </c>
    </row>
    <row r="29" spans="1:26">
      <c r="A29" s="7">
        <v>25</v>
      </c>
      <c r="B29" s="7">
        <f>Parameters!$I$20</f>
        <v>1000</v>
      </c>
      <c r="C29" s="7">
        <f>X28+B29</f>
        <v>8107.4354956345105</v>
      </c>
      <c r="D29" s="7">
        <f>Y28</f>
        <v>1772.804232303637</v>
      </c>
      <c r="E29" s="7">
        <f>Parameters!$I$6*C29</f>
        <v>162.1487099126902</v>
      </c>
      <c r="F29" s="7">
        <f>IF(Parameters!$I$5=1,E29,0)</f>
        <v>0.0</v>
      </c>
      <c r="G29" s="7">
        <f>Parameters!$I$27*G28+F29</f>
        <v>0.0</v>
      </c>
      <c r="H29" s="7">
        <f>IF(AND(Parameters!$I$5=1,Parameters!$I$26=1),SUMPRODUCT(--($A$5:A29&lt;A29),--(MOD(A29-$A$5:A29,Parameters!$I$28)=0),$F$5:F29,POWER(Parameters!$I$27,IF(A29-$A$5:A29=0,1,A29-$A$5:A29))),0)</f>
        <v>0.0</v>
      </c>
      <c r="I29" s="7">
        <f>Parameters!$I$23*I28+B29*Parameters!$I$22</f>
        <v>0.0</v>
      </c>
      <c r="J29" s="7">
        <f>E29*Parameters!$I$14*(1-Parameters!$I$15)</f>
        <v>3080.825488341114</v>
      </c>
      <c r="K29" s="7">
        <f>H29*Parameters!$I$29</f>
        <v>0.0</v>
      </c>
      <c r="L29" s="7">
        <f>I29*Parameters!$I$24</f>
        <v>0.0</v>
      </c>
      <c r="M29" s="7">
        <f>J29+K29+L29</f>
        <v>3080.825488341114</v>
      </c>
      <c r="N29" s="7">
        <f>C29*Parameters!$I$17+D29*Parameters!$I$18+E29*Parameters!$I$16+I29*Parameters!$I$25+G29*Parameters!$I$30</f>
        <v>3480.781474754862</v>
      </c>
      <c r="O29" s="7">
        <f>B29*Parameters!$I$19</f>
        <v>4000</v>
      </c>
      <c r="P29" s="7">
        <f>M29-N29-O29</f>
        <v>-4399.955986413748</v>
      </c>
      <c r="Q29" s="7">
        <f>Parameters!$I$21</f>
        <v>1000</v>
      </c>
      <c r="R29" s="7">
        <f>P29-Q29</f>
        <v>-5399.955986413748</v>
      </c>
      <c r="S29" s="7">
        <f>IF(A29&lt;1+Parameters!$I$31,0,INDEX($M$5:$M$40,A29-Parameters!$I$31))</f>
        <v>3062.1604176203105</v>
      </c>
      <c r="T29" s="7">
        <f>T28+M29-S29</f>
        <v>3080.825488341114</v>
      </c>
      <c r="U29" s="7">
        <f>S29-N29-O29-Q29</f>
        <v>-5418.621057134551</v>
      </c>
      <c r="V29" s="7">
        <f>V28+U29</f>
        <v>-129363.19157178214</v>
      </c>
      <c r="W29" s="7">
        <f>(1-Parameters!$I$7)*(C29-E29)+(1-Parameters!$I$8)*(D29+E29)</f>
        <v>891.2763256829982</v>
      </c>
      <c r="X29" s="7">
        <f>Parameters!$I$7*(C29-E29)+Parameters!$I$8*Parameters!$I$9*(D29+E29)</f>
        <v>7150.758107149639</v>
      </c>
      <c r="Y29" s="7">
        <f>Parameters!$I$8*(1-Parameters!$I$9)*(D29+E29)</f>
        <v>1838.205295105511</v>
      </c>
      <c r="Z29" s="7">
        <f>POWER(1/(1+Parameters!$I$32),A29-1)*(M29-N29)</f>
        <v>-314.9917873598098</v>
      </c>
    </row>
    <row r="30" spans="1:26">
      <c r="A30" s="7">
        <v>26</v>
      </c>
      <c r="B30" s="7">
        <f>Parameters!$I$20</f>
        <v>1000</v>
      </c>
      <c r="C30" s="7">
        <f>X29+B30</f>
        <v>8150.758107149638</v>
      </c>
      <c r="D30" s="7">
        <f>Y29</f>
        <v>1838.2052951055107</v>
      </c>
      <c r="E30" s="7">
        <f>Parameters!$I$6*C30</f>
        <v>163.01516214299275</v>
      </c>
      <c r="F30" s="7">
        <f>IF(Parameters!$I$5=1,E30,0)</f>
        <v>0.0</v>
      </c>
      <c r="G30" s="7">
        <f>Parameters!$I$27*G29+F30</f>
        <v>0.0</v>
      </c>
      <c r="H30" s="7">
        <f>IF(AND(Parameters!$I$5=1,Parameters!$I$26=1),SUMPRODUCT(--($A$5:A30&lt;A30),--(MOD(A30-$A$5:A30,Parameters!$I$28)=0),$F$5:F30,POWER(Parameters!$I$27,IF(A30-$A$5:A30=0,1,A30-$A$5:A30))),0)</f>
        <v>0.0</v>
      </c>
      <c r="I30" s="7">
        <f>Parameters!$I$23*I29+B30*Parameters!$I$22</f>
        <v>0.0</v>
      </c>
      <c r="J30" s="7">
        <f>E30*Parameters!$I$14*(1-Parameters!$I$15)</f>
        <v>3097.288080716862</v>
      </c>
      <c r="K30" s="7">
        <f>H30*Parameters!$I$29</f>
        <v>0.0</v>
      </c>
      <c r="L30" s="7">
        <f>I30*Parameters!$I$24</f>
        <v>0.0</v>
      </c>
      <c r="M30" s="7">
        <f>J30+K30+L30</f>
        <v>3097.288080716862</v>
      </c>
      <c r="N30" s="7">
        <f>C30*Parameters!$I$17+D30*Parameters!$I$18+E30*Parameters!$I$16+I30*Parameters!$I$25+G30*Parameters!$I$30</f>
        <v>3527.345241840639</v>
      </c>
      <c r="O30" s="7">
        <f>B30*Parameters!$I$19</f>
        <v>4000</v>
      </c>
      <c r="P30" s="7">
        <f>M30-N30-O30</f>
        <v>-4430.057161123777</v>
      </c>
      <c r="Q30" s="7">
        <f>Parameters!$I$21</f>
        <v>1000</v>
      </c>
      <c r="R30" s="7">
        <f>P30-Q30</f>
        <v>-5430.057161123777</v>
      </c>
      <c r="S30" s="7">
        <f>IF(A30&lt;1+Parameters!$I$31,0,INDEX($M$5:$M$40,A30-Parameters!$I$31))</f>
        <v>3080.825488341114</v>
      </c>
      <c r="T30" s="7">
        <f>T29+M30-S30</f>
        <v>3097.288080716862</v>
      </c>
      <c r="U30" s="7">
        <f>S30-N30-O30-Q30</f>
        <v>-5446.519753499525</v>
      </c>
      <c r="V30" s="7">
        <f>V29+U30</f>
        <v>-134809.71132528168</v>
      </c>
      <c r="W30" s="7">
        <f>(1-Parameters!$I$7)*(C30-E30)+(1-Parameters!$I$8)*(D30+E30)</f>
        <v>898.8353173630895</v>
      </c>
      <c r="X30" s="7">
        <f>Parameters!$I$7*(C30-E30)+Parameters!$I$8*Parameters!$I$9*(D30+E30)</f>
        <v>7188.968650505981</v>
      </c>
      <c r="Y30" s="7">
        <f>Parameters!$I$8*(1-Parameters!$I$9)*(D30+E30)</f>
        <v>1901.1594343860781</v>
      </c>
      <c r="Z30" s="7">
        <f>POWER(1/(1+Parameters!$I$32),A30-1)*(M30-N30)</f>
        <v>-335.3450029278142</v>
      </c>
    </row>
    <row r="31" spans="1:26">
      <c r="A31" s="7">
        <v>27</v>
      </c>
      <c r="B31" s="7">
        <f>Parameters!$I$20</f>
        <v>1000</v>
      </c>
      <c r="C31" s="7">
        <f>X30+B31</f>
        <v>8188.968650505981</v>
      </c>
      <c r="D31" s="7">
        <f>Y30</f>
        <v>1901.1594343860781</v>
      </c>
      <c r="E31" s="7">
        <f>Parameters!$I$6*C31</f>
        <v>163.77937301011963</v>
      </c>
      <c r="F31" s="7">
        <f>IF(Parameters!$I$5=1,E31,0)</f>
        <v>0.0</v>
      </c>
      <c r="G31" s="7">
        <f>Parameters!$I$27*G30+F31</f>
        <v>0.0</v>
      </c>
      <c r="H31" s="7">
        <f>IF(AND(Parameters!$I$5=1,Parameters!$I$26=1),SUMPRODUCT(--($A$5:A31&lt;A31),--(MOD(A31-$A$5:A31,Parameters!$I$28)=0),$F$5:F31,POWER(Parameters!$I$27,IF(A31-$A$5:A31=0,1,A31-$A$5:A31))),0)</f>
        <v>0.0</v>
      </c>
      <c r="I31" s="7">
        <f>Parameters!$I$23*I30+B31*Parameters!$I$22</f>
        <v>0.0</v>
      </c>
      <c r="J31" s="7">
        <f>E31*Parameters!$I$14*(1-Parameters!$I$15)</f>
        <v>3111.8080871922725</v>
      </c>
      <c r="K31" s="7">
        <f>H31*Parameters!$I$29</f>
        <v>0.0</v>
      </c>
      <c r="L31" s="7">
        <f>I31*Parameters!$I$24</f>
        <v>0.0</v>
      </c>
      <c r="M31" s="7">
        <f>J31+K31+L31</f>
        <v>3111.8080871922725</v>
      </c>
      <c r="N31" s="7">
        <f>C31*Parameters!$I$17+D31*Parameters!$I$18+E31*Parameters!$I$16+I31*Parameters!$I$25+G31*Parameters!$I$30</f>
        <v>3571.049685354953</v>
      </c>
      <c r="O31" s="7">
        <f>B31*Parameters!$I$19</f>
        <v>4000</v>
      </c>
      <c r="P31" s="7">
        <f>M31-N31-O31</f>
        <v>-4459.24159816268</v>
      </c>
      <c r="Q31" s="7">
        <f>Parameters!$I$21</f>
        <v>1000</v>
      </c>
      <c r="R31" s="7">
        <f>P31-Q31</f>
        <v>-5459.24159816268</v>
      </c>
      <c r="S31" s="7">
        <f>IF(A31&lt;1+Parameters!$I$31,0,INDEX($M$5:$M$40,A31-Parameters!$I$31))</f>
        <v>3097.288080716862</v>
      </c>
      <c r="T31" s="7">
        <f>T30+M31-S31</f>
        <v>3111.8080871922725</v>
      </c>
      <c r="U31" s="7">
        <f>S31-N31-O31-Q31</f>
        <v>-5473.761604638091</v>
      </c>
      <c r="V31" s="7">
        <f>V30+U31</f>
        <v>-140283.47292991978</v>
      </c>
      <c r="W31" s="7">
        <f>(1-Parameters!$I$7)*(C31-E31)+(1-Parameters!$I$8)*(D31+E31)</f>
        <v>905.7658681193958</v>
      </c>
      <c r="X31" s="7">
        <f>Parameters!$I$7*(C31-E31)+Parameters!$I$8*Parameters!$I$9*(D31+E31)</f>
        <v>7222.670349746276</v>
      </c>
      <c r="Y31" s="7">
        <f>Parameters!$I$8*(1-Parameters!$I$9)*(D31+E31)</f>
        <v>1961.6918670263876</v>
      </c>
      <c r="Z31" s="7">
        <f>POWER(1/(1+Parameters!$I$32),A31-1)*(M31-N31)</f>
        <v>-354.5565405517724</v>
      </c>
    </row>
    <row r="32" spans="1:26">
      <c r="A32" s="7">
        <v>28</v>
      </c>
      <c r="B32" s="7">
        <f>Parameters!$I$20</f>
        <v>1000</v>
      </c>
      <c r="C32" s="7">
        <f>X31+B32</f>
        <v>8222.670349746275</v>
      </c>
      <c r="D32" s="7">
        <f>Y31</f>
        <v>1961.6918670263879</v>
      </c>
      <c r="E32" s="7">
        <f>Parameters!$I$6*C32</f>
        <v>164.4534069949255</v>
      </c>
      <c r="F32" s="7">
        <f>IF(Parameters!$I$5=1,E32,0)</f>
        <v>0.0</v>
      </c>
      <c r="G32" s="7">
        <f>Parameters!$I$27*G31+F32</f>
        <v>0.0</v>
      </c>
      <c r="H32" s="7">
        <f>IF(AND(Parameters!$I$5=1,Parameters!$I$26=1),SUMPRODUCT(--($A$5:A32&lt;A32),--(MOD(A32-$A$5:A32,Parameters!$I$28)=0),$F$5:F32,POWER(Parameters!$I$27,IF(A32-$A$5:A32=0,1,A32-$A$5:A32))),0)</f>
        <v>0.0</v>
      </c>
      <c r="I32" s="7">
        <f>Parameters!$I$23*I31+B32*Parameters!$I$22</f>
        <v>0.0</v>
      </c>
      <c r="J32" s="7">
        <f>E32*Parameters!$I$14*(1-Parameters!$I$15)</f>
        <v>3124.6147329035844</v>
      </c>
      <c r="K32" s="7">
        <f>H32*Parameters!$I$29</f>
        <v>0.0</v>
      </c>
      <c r="L32" s="7">
        <f>I32*Parameters!$I$24</f>
        <v>0.0</v>
      </c>
      <c r="M32" s="7">
        <f>J32+K32+L32</f>
        <v>3124.6147329035844</v>
      </c>
      <c r="N32" s="7">
        <f>C32*Parameters!$I$17+D32*Parameters!$I$18+E32*Parameters!$I$16+I32*Parameters!$I$25+G32*Parameters!$I$30</f>
        <v>3612.100445432002</v>
      </c>
      <c r="O32" s="7">
        <f>B32*Parameters!$I$19</f>
        <v>4000</v>
      </c>
      <c r="P32" s="7">
        <f>M32-N32-O32</f>
        <v>-4487.485712528418</v>
      </c>
      <c r="Q32" s="7">
        <f>Parameters!$I$21</f>
        <v>1000</v>
      </c>
      <c r="R32" s="7">
        <f>P32-Q32</f>
        <v>-5487.485712528418</v>
      </c>
      <c r="S32" s="7">
        <f>IF(A32&lt;1+Parameters!$I$31,0,INDEX($M$5:$M$40,A32-Parameters!$I$31))</f>
        <v>3111.8080871922725</v>
      </c>
      <c r="T32" s="7">
        <f>T31+M32-S32</f>
        <v>3124.6147329035844</v>
      </c>
      <c r="U32" s="7">
        <f>S32-N32-O32-Q32</f>
        <v>-5500.292358239729</v>
      </c>
      <c r="V32" s="7">
        <f>V31+U32</f>
        <v>-145783.7652881595</v>
      </c>
      <c r="W32" s="7">
        <f>(1-Parameters!$I$7)*(C32-E32)+(1-Parameters!$I$8)*(D32+E32)</f>
        <v>912.1289579762005</v>
      </c>
      <c r="X32" s="7">
        <f>Parameters!$I$7*(C32-E32)+Parameters!$I$8*Parameters!$I$9*(D32+E32)</f>
        <v>7252.395248476214</v>
      </c>
      <c r="Y32" s="7">
        <f>Parameters!$I$8*(1-Parameters!$I$9)*(D32+E32)</f>
        <v>2019.8380103202478</v>
      </c>
      <c r="Z32" s="7">
        <f>POWER(1/(1+Parameters!$I$32),A32-1)*(M32-N32)</f>
        <v>-372.63599160866505</v>
      </c>
    </row>
    <row r="33" spans="1:26">
      <c r="A33" s="7">
        <v>29</v>
      </c>
      <c r="B33" s="7">
        <f>Parameters!$I$20</f>
        <v>1000</v>
      </c>
      <c r="C33" s="7">
        <f>X32+B33</f>
        <v>8252.395248476216</v>
      </c>
      <c r="D33" s="7">
        <f>Y32</f>
        <v>2019.8380103202476</v>
      </c>
      <c r="E33" s="7">
        <f>Parameters!$I$6*C33</f>
        <v>165.0479049695243</v>
      </c>
      <c r="F33" s="7">
        <f>IF(Parameters!$I$5=1,E33,0)</f>
        <v>0.0</v>
      </c>
      <c r="G33" s="7">
        <f>Parameters!$I$27*G32+F33</f>
        <v>0.0</v>
      </c>
      <c r="H33" s="7">
        <f>IF(AND(Parameters!$I$5=1,Parameters!$I$26=1),SUMPRODUCT(--($A$5:A33&lt;A33),--(MOD(A33-$A$5:A33,Parameters!$I$28)=0),$F$5:F33,POWER(Parameters!$I$27,IF(A33-$A$5:A33=0,1,A33-$A$5:A33))),0)</f>
        <v>0.0</v>
      </c>
      <c r="I33" s="7">
        <f>Parameters!$I$23*I32+B33*Parameters!$I$22</f>
        <v>0.0</v>
      </c>
      <c r="J33" s="7">
        <f>E33*Parameters!$I$14*(1-Parameters!$I$15)</f>
        <v>3135.9101944209615</v>
      </c>
      <c r="K33" s="7">
        <f>H33*Parameters!$I$29</f>
        <v>0.0</v>
      </c>
      <c r="L33" s="7">
        <f>I33*Parameters!$I$24</f>
        <v>0.0</v>
      </c>
      <c r="M33" s="7">
        <f>J33+K33+L33</f>
        <v>3135.9101944209615</v>
      </c>
      <c r="N33" s="7">
        <f>C33*Parameters!$I$17+D33*Parameters!$I$18+E33*Parameters!$I$16+I33*Parameters!$I$25+G33*Parameters!$I$30</f>
        <v>3650.6854846725128</v>
      </c>
      <c r="O33" s="7">
        <f>B33*Parameters!$I$19</f>
        <v>4000</v>
      </c>
      <c r="P33" s="7">
        <f>M33-N33-O33</f>
        <v>-4514.775290251551</v>
      </c>
      <c r="Q33" s="7">
        <f>Parameters!$I$21</f>
        <v>1000</v>
      </c>
      <c r="R33" s="7">
        <f>P33-Q33</f>
        <v>-5514.775290251551</v>
      </c>
      <c r="S33" s="7">
        <f>IF(A33&lt;1+Parameters!$I$31,0,INDEX($M$5:$M$40,A33-Parameters!$I$31))</f>
        <v>3124.6147329035844</v>
      </c>
      <c r="T33" s="7">
        <f>T32+M33-S33</f>
        <v>3135.9101944209615</v>
      </c>
      <c r="U33" s="7">
        <f>S33-N33-O33-Q33</f>
        <v>-5526.070751768928</v>
      </c>
      <c r="V33" s="7">
        <f>V32+U33</f>
        <v>-151309.83603992843</v>
      </c>
      <c r="W33" s="7">
        <f>(1-Parameters!$I$7)*(C33-E33)+(1-Parameters!$I$8)*(D33+E33)</f>
        <v>917.9790301151575</v>
      </c>
      <c r="X33" s="7">
        <f>Parameters!$I$7*(C33-E33)+Parameters!$I$8*Parameters!$I$9*(D33+E33)</f>
        <v>7278.612609156023</v>
      </c>
      <c r="Y33" s="7">
        <f>Parameters!$I$8*(1-Parameters!$I$9)*(D33+E33)</f>
        <v>2075.641619525283</v>
      </c>
      <c r="Z33" s="7">
        <f>POWER(1/(1+Parameters!$I$32),A33-1)*(M33-N33)</f>
        <v>-389.6002494136423</v>
      </c>
    </row>
    <row r="34" spans="1:26">
      <c r="A34" s="7">
        <v>30</v>
      </c>
      <c r="B34" s="7">
        <f>Parameters!$I$20</f>
        <v>1000</v>
      </c>
      <c r="C34" s="7">
        <f>X33+B34</f>
        <v>8278.612609156022</v>
      </c>
      <c r="D34" s="7">
        <f>Y33</f>
        <v>2075.641619525283</v>
      </c>
      <c r="E34" s="7">
        <f>Parameters!$I$6*C34</f>
        <v>165.5722521831204</v>
      </c>
      <c r="F34" s="7">
        <f>IF(Parameters!$I$5=1,E34,0)</f>
        <v>0.0</v>
      </c>
      <c r="G34" s="7">
        <f>Parameters!$I$27*G33+F34</f>
        <v>0.0</v>
      </c>
      <c r="H34" s="7">
        <f>IF(AND(Parameters!$I$5=1,Parameters!$I$26=1),SUMPRODUCT(--($A$5:A34&lt;A34),--(MOD(A34-$A$5:A34,Parameters!$I$28)=0),$F$5:F34,POWER(Parameters!$I$27,IF(A34-$A$5:A34=0,1,A34-$A$5:A34))),0)</f>
        <v>0.0</v>
      </c>
      <c r="I34" s="7">
        <f>Parameters!$I$23*I33+B34*Parameters!$I$22</f>
        <v>0.0</v>
      </c>
      <c r="J34" s="7">
        <f>E34*Parameters!$I$14*(1-Parameters!$I$15)</f>
        <v>3145.8727914792876</v>
      </c>
      <c r="K34" s="7">
        <f>H34*Parameters!$I$29</f>
        <v>0.0</v>
      </c>
      <c r="L34" s="7">
        <f>I34*Parameters!$I$24</f>
        <v>0.0</v>
      </c>
      <c r="M34" s="7">
        <f>J34+K34+L34</f>
        <v>3145.8727914792876</v>
      </c>
      <c r="N34" s="7">
        <f>C34*Parameters!$I$17+D34*Parameters!$I$18+E34*Parameters!$I$16+I34*Parameters!$I$25+G34*Parameters!$I$30</f>
        <v>3686.976844692568</v>
      </c>
      <c r="O34" s="7">
        <f>B34*Parameters!$I$19</f>
        <v>4000</v>
      </c>
      <c r="P34" s="7">
        <f>M34-N34-O34</f>
        <v>-4541.104053213281</v>
      </c>
      <c r="Q34" s="7">
        <f>Parameters!$I$21</f>
        <v>1000</v>
      </c>
      <c r="R34" s="7">
        <f>P34-Q34</f>
        <v>-5541.104053213281</v>
      </c>
      <c r="S34" s="7">
        <f>IF(A34&lt;1+Parameters!$I$31,0,INDEX($M$5:$M$40,A34-Parameters!$I$31))</f>
        <v>3135.9101944209615</v>
      </c>
      <c r="T34" s="7">
        <f>T33+M34-S34</f>
        <v>3145.8727914792876</v>
      </c>
      <c r="U34" s="7">
        <f>S34-N34-O34-Q34</f>
        <v>-5551.066650271607</v>
      </c>
      <c r="V34" s="7">
        <f>V33+U34</f>
        <v>-156860.90269020005</v>
      </c>
      <c r="W34" s="7">
        <f>(1-Parameters!$I$7)*(C34-E34)+(1-Parameters!$I$8)*(D34+E34)</f>
        <v>923.3647292827101</v>
      </c>
      <c r="X34" s="7">
        <f>Parameters!$I$7*(C34-E34)+Parameters!$I$8*Parameters!$I$9*(D34+E34)</f>
        <v>7301.736321275612</v>
      </c>
      <c r="Y34" s="7">
        <f>Parameters!$I$8*(1-Parameters!$I$9)*(D34+E34)</f>
        <v>2129.1531781229833</v>
      </c>
      <c r="Z34" s="7">
        <f>POWER(1/(1+Parameters!$I$32),A34-1)*(M34-N34)</f>
        <v>-405.4720729663008</v>
      </c>
    </row>
    <row r="35" spans="1:26">
      <c r="A35" s="7">
        <v>31</v>
      </c>
      <c r="B35" s="7">
        <f>Parameters!$I$20</f>
        <v>1000</v>
      </c>
      <c r="C35" s="7">
        <f>X34+B35</f>
        <v>8301.73632127561</v>
      </c>
      <c r="D35" s="7">
        <f>Y34</f>
        <v>2129.1531781229833</v>
      </c>
      <c r="E35" s="7">
        <f>Parameters!$I$6*C35</f>
        <v>166.03472642551222</v>
      </c>
      <c r="F35" s="7">
        <f>IF(Parameters!$I$5=1,E35,0)</f>
        <v>0.0</v>
      </c>
      <c r="G35" s="7">
        <f>Parameters!$I$27*G34+F35</f>
        <v>0.0</v>
      </c>
      <c r="H35" s="7">
        <f>IF(AND(Parameters!$I$5=1,Parameters!$I$26=1),SUMPRODUCT(--($A$5:A35&lt;A35),--(MOD(A35-$A$5:A35,Parameters!$I$28)=0),$F$5:F35,POWER(Parameters!$I$27,IF(A35-$A$5:A35=0,1,A35-$A$5:A35))),0)</f>
        <v>0.0</v>
      </c>
      <c r="I35" s="7">
        <f>Parameters!$I$23*I34+B35*Parameters!$I$22</f>
        <v>0.0</v>
      </c>
      <c r="J35" s="7">
        <f>E35*Parameters!$I$14*(1-Parameters!$I$15)</f>
        <v>3154.659802084732</v>
      </c>
      <c r="K35" s="7">
        <f>H35*Parameters!$I$29</f>
        <v>0.0</v>
      </c>
      <c r="L35" s="7">
        <f>I35*Parameters!$I$24</f>
        <v>0.0</v>
      </c>
      <c r="M35" s="7">
        <f>J35+K35+L35</f>
        <v>3154.659802084732</v>
      </c>
      <c r="N35" s="7">
        <f>C35*Parameters!$I$17+D35*Parameters!$I$18+E35*Parameters!$I$16+I35*Parameters!$I$25+G35*Parameters!$I$30</f>
        <v>3721.132211869687</v>
      </c>
      <c r="O35" s="7">
        <f>B35*Parameters!$I$19</f>
        <v>4000</v>
      </c>
      <c r="P35" s="7">
        <f>M35-N35-O35</f>
        <v>-4566.472409784956</v>
      </c>
      <c r="Q35" s="7">
        <f>Parameters!$I$21</f>
        <v>1000</v>
      </c>
      <c r="R35" s="7">
        <f>P35-Q35</f>
        <v>-5566.472409784956</v>
      </c>
      <c r="S35" s="7">
        <f>IF(A35&lt;1+Parameters!$I$31,0,INDEX($M$5:$M$40,A35-Parameters!$I$31))</f>
        <v>3145.8727914792876</v>
      </c>
      <c r="T35" s="7">
        <f>T34+M35-S35</f>
        <v>3154.659802084732</v>
      </c>
      <c r="U35" s="7">
        <f>S35-N35-O35-Q35</f>
        <v>-5575.259420390399</v>
      </c>
      <c r="V35" s="7">
        <f>V34+U35</f>
        <v>-162436.16211059043</v>
      </c>
      <c r="W35" s="7">
        <f>(1-Parameters!$I$7)*(C35-E35)+(1-Parameters!$I$8)*(D35+E35)</f>
        <v>928.3295547124345</v>
      </c>
      <c r="X35" s="7">
        <f>Parameters!$I$7*(C35-E35)+Parameters!$I$8*Parameters!$I$9*(D35+E35)</f>
        <v>7322.131435365088</v>
      </c>
      <c r="Y35" s="7">
        <f>Parameters!$I$8*(1-Parameters!$I$9)*(D35+E35)</f>
        <v>2180.4285093210706</v>
      </c>
      <c r="Z35" s="7">
        <f>POWER(1/(1+Parameters!$I$32),A35-1)*(M35-N35)</f>
        <v>-420.2788631135574</v>
      </c>
    </row>
    <row r="36" spans="1:26">
      <c r="A36" s="7">
        <v>32</v>
      </c>
      <c r="B36" s="7">
        <f>Parameters!$I$20</f>
        <v>1000</v>
      </c>
      <c r="C36" s="7">
        <f>X35+B36</f>
        <v>8322.131435365089</v>
      </c>
      <c r="D36" s="7">
        <f>Y35</f>
        <v>2180.4285093210706</v>
      </c>
      <c r="E36" s="7">
        <f>Parameters!$I$6*C36</f>
        <v>166.44262870730176</v>
      </c>
      <c r="F36" s="7">
        <f>IF(Parameters!$I$5=1,E36,0)</f>
        <v>0.0</v>
      </c>
      <c r="G36" s="7">
        <f>Parameters!$I$27*G35+F36</f>
        <v>0.0</v>
      </c>
      <c r="H36" s="7">
        <f>IF(AND(Parameters!$I$5=1,Parameters!$I$26=1),SUMPRODUCT(--($A$5:A36&lt;A36),--(MOD(A36-$A$5:A36,Parameters!$I$28)=0),$F$5:F36,POWER(Parameters!$I$27,IF(A36-$A$5:A36=0,1,A36-$A$5:A36))),0)</f>
        <v>0.0</v>
      </c>
      <c r="I36" s="7">
        <f>Parameters!$I$23*I35+B36*Parameters!$I$22</f>
        <v>0.0</v>
      </c>
      <c r="J36" s="7">
        <f>E36*Parameters!$I$14*(1-Parameters!$I$15)</f>
        <v>3162.4099454387333</v>
      </c>
      <c r="K36" s="7">
        <f>H36*Parameters!$I$29</f>
        <v>0.0</v>
      </c>
      <c r="L36" s="7">
        <f>I36*Parameters!$I$24</f>
        <v>0.0</v>
      </c>
      <c r="M36" s="7">
        <f>J36+K36+L36</f>
        <v>3162.4099454387333</v>
      </c>
      <c r="N36" s="7">
        <f>C36*Parameters!$I$17+D36*Parameters!$I$18+E36*Parameters!$I$16+I36*Parameters!$I$25+G36*Parameters!$I$30</f>
        <v>3753.2963139773638</v>
      </c>
      <c r="O36" s="7">
        <f>B36*Parameters!$I$19</f>
        <v>4000</v>
      </c>
      <c r="P36" s="7">
        <f>M36-N36-O36</f>
        <v>-4590.88636853863</v>
      </c>
      <c r="Q36" s="7">
        <f>Parameters!$I$21</f>
        <v>1000</v>
      </c>
      <c r="R36" s="7">
        <f>P36-Q36</f>
        <v>-5590.88636853863</v>
      </c>
      <c r="S36" s="7">
        <f>IF(A36&lt;1+Parameters!$I$31,0,INDEX($M$5:$M$40,A36-Parameters!$I$31))</f>
        <v>3154.659802084732</v>
      </c>
      <c r="T36" s="7">
        <f>T35+M36-S36</f>
        <v>3162.4099454387333</v>
      </c>
      <c r="U36" s="7">
        <f>S36-N36-O36-Q36</f>
        <v>-5598.6365118926315</v>
      </c>
      <c r="V36" s="7">
        <f>V35+U36</f>
        <v>-168034.79862248307</v>
      </c>
      <c r="W36" s="7">
        <f>(1-Parameters!$I$7)*(C36-E36)+(1-Parameters!$I$8)*(D36+E36)</f>
        <v>932.9124375671972</v>
      </c>
      <c r="X36" s="7">
        <f>Parameters!$I$7*(C36-E36)+Parameters!$I$8*Parameters!$I$9*(D36+E36)</f>
        <v>7340.119925992009</v>
      </c>
      <c r="Y36" s="7">
        <f>Parameters!$I$8*(1-Parameters!$I$9)*(D36+E36)</f>
        <v>2229.5275811269535</v>
      </c>
      <c r="Z36" s="7">
        <f>POWER(1/(1+Parameters!$I$32),A36-1)*(M36-N36)</f>
        <v>-434.0516224027907</v>
      </c>
    </row>
    <row r="37" spans="1:26">
      <c r="A37" s="7">
        <v>33</v>
      </c>
      <c r="B37" s="7">
        <f>Parameters!$I$20</f>
        <v>1000</v>
      </c>
      <c r="C37" s="7">
        <f>X36+B37</f>
        <v>8340.119925992007</v>
      </c>
      <c r="D37" s="7">
        <f>Y36</f>
        <v>2229.527581126954</v>
      </c>
      <c r="E37" s="7">
        <f>Parameters!$I$6*C37</f>
        <v>166.80239851984015</v>
      </c>
      <c r="F37" s="7">
        <f>IF(Parameters!$I$5=1,E37,0)</f>
        <v>0.0</v>
      </c>
      <c r="G37" s="7">
        <f>Parameters!$I$27*G36+F37</f>
        <v>0.0</v>
      </c>
      <c r="H37" s="7">
        <f>IF(AND(Parameters!$I$5=1,Parameters!$I$26=1),SUMPRODUCT(--($A$5:A37&lt;A37),--(MOD(A37-$A$5:A37,Parameters!$I$28)=0),$F$5:F37,POWER(Parameters!$I$27,IF(A37-$A$5:A37=0,1,A37-$A$5:A37))),0)</f>
        <v>0.0</v>
      </c>
      <c r="I37" s="7">
        <f>Parameters!$I$23*I36+B37*Parameters!$I$22</f>
        <v>0.0</v>
      </c>
      <c r="J37" s="7">
        <f>E37*Parameters!$I$14*(1-Parameters!$I$15)</f>
        <v>3169.245571876963</v>
      </c>
      <c r="K37" s="7">
        <f>H37*Parameters!$I$29</f>
        <v>0.0</v>
      </c>
      <c r="L37" s="7">
        <f>I37*Parameters!$I$24</f>
        <v>0.0</v>
      </c>
      <c r="M37" s="7">
        <f>J37+K37+L37</f>
        <v>3169.245571876963</v>
      </c>
      <c r="N37" s="7">
        <f>C37*Parameters!$I$17+D37*Parameters!$I$18+E37*Parameters!$I$16+I37*Parameters!$I$25+G37*Parameters!$I$30</f>
        <v>3783.602166880919</v>
      </c>
      <c r="O37" s="7">
        <f>B37*Parameters!$I$19</f>
        <v>4000</v>
      </c>
      <c r="P37" s="7">
        <f>M37-N37-O37</f>
        <v>-4614.356595003956</v>
      </c>
      <c r="Q37" s="7">
        <f>Parameters!$I$21</f>
        <v>1000</v>
      </c>
      <c r="R37" s="7">
        <f>P37-Q37</f>
        <v>-5614.356595003956</v>
      </c>
      <c r="S37" s="7">
        <f>IF(A37&lt;1+Parameters!$I$31,0,INDEX($M$5:$M$40,A37-Parameters!$I$31))</f>
        <v>3162.4099454387333</v>
      </c>
      <c r="T37" s="7">
        <f>T36+M37-S37</f>
        <v>3169.245571876963</v>
      </c>
      <c r="U37" s="7">
        <f>S37-N37-O37-Q37</f>
        <v>-5621.192221442186</v>
      </c>
      <c r="V37" s="7">
        <f>V36+U37</f>
        <v>-173655.99084392525</v>
      </c>
      <c r="W37" s="7">
        <f>(1-Parameters!$I$7)*(C37-E37)+(1-Parameters!$I$8)*(D37+E37)</f>
        <v>937.1482517295564</v>
      </c>
      <c r="X37" s="7">
        <f>Parameters!$I$7*(C37-E37)+Parameters!$I$8*Parameters!$I$9*(D37+E37)</f>
        <v>7355.985774724951</v>
      </c>
      <c r="Y37" s="7">
        <f>Parameters!$I$8*(1-Parameters!$I$9)*(D37+E37)</f>
        <v>2276.513480664454</v>
      </c>
      <c r="Z37" s="7">
        <f>POWER(1/(1+Parameters!$I$32),A37-1)*(M37-N37)</f>
        <v>-446.82407364679693</v>
      </c>
    </row>
    <row r="38" spans="1:26">
      <c r="A38" s="7">
        <v>34</v>
      </c>
      <c r="B38" s="7">
        <f>Parameters!$I$20</f>
        <v>1000</v>
      </c>
      <c r="C38" s="7">
        <f>X37+B38</f>
        <v>8355.985774724952</v>
      </c>
      <c r="D38" s="7">
        <f>Y37</f>
        <v>2276.513480664454</v>
      </c>
      <c r="E38" s="7">
        <f>Parameters!$I$6*C38</f>
        <v>167.11971549449902</v>
      </c>
      <c r="F38" s="7">
        <f>IF(Parameters!$I$5=1,E38,0)</f>
        <v>0.0</v>
      </c>
      <c r="G38" s="7">
        <f>Parameters!$I$27*G37+F38</f>
        <v>0.0</v>
      </c>
      <c r="H38" s="7">
        <f>IF(AND(Parameters!$I$5=1,Parameters!$I$26=1),SUMPRODUCT(--($A$5:A38&lt;A38),--(MOD(A38-$A$5:A38,Parameters!$I$28)=0),$F$5:F38,POWER(Parameters!$I$27,IF(A38-$A$5:A38=0,1,A38-$A$5:A38))),0)</f>
        <v>0.0</v>
      </c>
      <c r="I38" s="7">
        <f>Parameters!$I$23*I37+B38*Parameters!$I$22</f>
        <v>0.0</v>
      </c>
      <c r="J38" s="7">
        <f>E38*Parameters!$I$14*(1-Parameters!$I$15)</f>
        <v>3175.274594395481</v>
      </c>
      <c r="K38" s="7">
        <f>H38*Parameters!$I$29</f>
        <v>0.0</v>
      </c>
      <c r="L38" s="7">
        <f>I38*Parameters!$I$24</f>
        <v>0.0</v>
      </c>
      <c r="M38" s="7">
        <f>J38+K38+L38</f>
        <v>3175.274594395481</v>
      </c>
      <c r="N38" s="7">
        <f>C38*Parameters!$I$17+D38*Parameters!$I$18+E38*Parameters!$I$16+I38*Parameters!$I$25+G38*Parameters!$I$30</f>
        <v>3812.172188244211</v>
      </c>
      <c r="O38" s="7">
        <f>B38*Parameters!$I$19</f>
        <v>4000</v>
      </c>
      <c r="P38" s="7">
        <f>M38-N38-O38</f>
        <v>-4636.89759384873</v>
      </c>
      <c r="Q38" s="7">
        <f>Parameters!$I$21</f>
        <v>1000</v>
      </c>
      <c r="R38" s="7">
        <f>P38-Q38</f>
        <v>-5636.89759384873</v>
      </c>
      <c r="S38" s="7">
        <f>IF(A38&lt;1+Parameters!$I$31,0,INDEX($M$5:$M$40,A38-Parameters!$I$31))</f>
        <v>3169.245571876963</v>
      </c>
      <c r="T38" s="7">
        <f>T37+M38-S38</f>
        <v>3175.274594395481</v>
      </c>
      <c r="U38" s="7">
        <f>S38-N38-O38-Q38</f>
        <v>-5642.926616367248</v>
      </c>
      <c r="V38" s="7">
        <f>V37+U38</f>
        <v>-179298.9174602925</v>
      </c>
      <c r="W38" s="7">
        <f>(1-Parameters!$I$7)*(C38-E38)+(1-Parameters!$I$8)*(D38+E38)</f>
        <v>941.0682657309927</v>
      </c>
      <c r="X38" s="7">
        <f>Parameters!$I$7*(C38-E38)+Parameters!$I$8*Parameters!$I$9*(D38+E38)</f>
        <v>7369.979453307407</v>
      </c>
      <c r="Y38" s="7">
        <f>Parameters!$I$8*(1-Parameters!$I$9)*(D38+E38)</f>
        <v>2321.4515363510054</v>
      </c>
      <c r="Z38" s="7">
        <f>POWER(1/(1+Parameters!$I$32),A38-1)*(M38-N38)</f>
        <v>-458.63191548862767</v>
      </c>
    </row>
    <row r="39" spans="1:26">
      <c r="A39" s="7">
        <v>35</v>
      </c>
      <c r="B39" s="7">
        <f>Parameters!$I$20</f>
        <v>1000</v>
      </c>
      <c r="C39" s="7">
        <f>X38+B39</f>
        <v>8369.979453307405</v>
      </c>
      <c r="D39" s="7">
        <f>Y38</f>
        <v>2321.4515363510054</v>
      </c>
      <c r="E39" s="7">
        <f>Parameters!$I$6*C39</f>
        <v>167.39958906614814</v>
      </c>
      <c r="F39" s="7">
        <f>IF(Parameters!$I$5=1,E39,0)</f>
        <v>0.0</v>
      </c>
      <c r="G39" s="7">
        <f>Parameters!$I$27*G38+F39</f>
        <v>0.0</v>
      </c>
      <c r="H39" s="7">
        <f>IF(AND(Parameters!$I$5=1,Parameters!$I$26=1),SUMPRODUCT(--($A$5:A39&lt;A39),--(MOD(A39-$A$5:A39,Parameters!$I$28)=0),$F$5:F39,POWER(Parameters!$I$27,IF(A39-$A$5:A39=0,1,A39-$A$5:A39))),0)</f>
        <v>0.0</v>
      </c>
      <c r="I39" s="7">
        <f>Parameters!$I$23*I38+B39*Parameters!$I$22</f>
        <v>0.0</v>
      </c>
      <c r="J39" s="7">
        <f>E39*Parameters!$I$14*(1-Parameters!$I$15)</f>
        <v>3180.5921922568145</v>
      </c>
      <c r="K39" s="7">
        <f>H39*Parameters!$I$29</f>
        <v>0.0</v>
      </c>
      <c r="L39" s="7">
        <f>I39*Parameters!$I$24</f>
        <v>0.0</v>
      </c>
      <c r="M39" s="7">
        <f>J39+K39+L39</f>
        <v>3180.5921922568145</v>
      </c>
      <c r="N39" s="7">
        <f>C39*Parameters!$I$17+D39*Parameters!$I$18+E39*Parameters!$I$16+I39*Parameters!$I$25+G39*Parameters!$I$30</f>
        <v>3839.1191932338725</v>
      </c>
      <c r="O39" s="7">
        <f>B39*Parameters!$I$19</f>
        <v>4000</v>
      </c>
      <c r="P39" s="7">
        <f>M39-N39-O39</f>
        <v>-4658.5270009770575</v>
      </c>
      <c r="Q39" s="7">
        <f>Parameters!$I$21</f>
        <v>1000</v>
      </c>
      <c r="R39" s="7">
        <f>P39-Q39</f>
        <v>-5658.5270009770575</v>
      </c>
      <c r="S39" s="7">
        <f>IF(A39&lt;1+Parameters!$I$31,0,INDEX($M$5:$M$40,A39-Parameters!$I$31))</f>
        <v>3175.274594395481</v>
      </c>
      <c r="T39" s="7">
        <f>T38+M39-S39</f>
        <v>3180.5921922568145</v>
      </c>
      <c r="U39" s="7">
        <f>S39-N39-O39-Q39</f>
        <v>-5663.844598838392</v>
      </c>
      <c r="V39" s="7">
        <f>V38+U39</f>
        <v>-184962.76205913088</v>
      </c>
      <c r="W39" s="7">
        <f>(1-Parameters!$I$7)*(C39-E39)+(1-Parameters!$I$8)*(D39+E39)</f>
        <v>944.7005426949834</v>
      </c>
      <c r="X39" s="7">
        <f>Parameters!$I$7*(C39-E39)+Parameters!$I$8*Parameters!$I$9*(D39+E39)</f>
        <v>7382.321877817132</v>
      </c>
      <c r="Y39" s="7">
        <f>Parameters!$I$8*(1-Parameters!$I$9)*(D39+E39)</f>
        <v>2364.4085691462956</v>
      </c>
      <c r="Z39" s="7">
        <f>POWER(1/(1+Parameters!$I$32),A39-1)*(M39-N39)</f>
        <v>-469.51219610090016</v>
      </c>
    </row>
    <row r="40" spans="1:26">
      <c r="A40" s="7">
        <v>36</v>
      </c>
      <c r="B40" s="7">
        <f>Parameters!$I$20</f>
        <v>1000</v>
      </c>
      <c r="C40" s="7">
        <f>X39+B40</f>
        <v>8382.321877817132</v>
      </c>
      <c r="D40" s="7">
        <f>Y39</f>
        <v>2364.4085691462956</v>
      </c>
      <c r="E40" s="7">
        <f>Parameters!$I$6*C40</f>
        <v>167.64643755634265</v>
      </c>
      <c r="F40" s="7">
        <f>IF(Parameters!$I$5=1,E40,0)</f>
        <v>0.0</v>
      </c>
      <c r="G40" s="7">
        <f>Parameters!$I$27*G39+F40</f>
        <v>0.0</v>
      </c>
      <c r="H40" s="7">
        <f>IF(AND(Parameters!$I$5=1,Parameters!$I$26=1),SUMPRODUCT(--($A$5:A40&lt;A40),--(MOD(A40-$A$5:A40,Parameters!$I$28)=0),$F$5:F40,POWER(Parameters!$I$27,IF(A40-$A$5:A40=0,1,A40-$A$5:A40))),0)</f>
        <v>0.0</v>
      </c>
      <c r="I40" s="7">
        <f>Parameters!$I$23*I39+B40*Parameters!$I$22</f>
        <v>0.0</v>
      </c>
      <c r="J40" s="7">
        <f>E40*Parameters!$I$14*(1-Parameters!$I$15)</f>
        <v>3185.2823135705103</v>
      </c>
      <c r="K40" s="7">
        <f>H40*Parameters!$I$29</f>
        <v>0.0</v>
      </c>
      <c r="L40" s="7">
        <f>I40*Parameters!$I$24</f>
        <v>0.0</v>
      </c>
      <c r="M40" s="7">
        <f>J40+K40+L40</f>
        <v>3185.2823135705103</v>
      </c>
      <c r="N40" s="7">
        <f>C40*Parameters!$I$17+D40*Parameters!$I$18+E40*Parameters!$I$16+I40*Parameters!$I$25+G40*Parameters!$I$30</f>
        <v>3864.5472854746304</v>
      </c>
      <c r="O40" s="7">
        <f>B40*Parameters!$I$19</f>
        <v>4000</v>
      </c>
      <c r="P40" s="7">
        <f>M40-N40-O40</f>
        <v>-4679.26497190412</v>
      </c>
      <c r="Q40" s="7">
        <f>Parameters!$I$21</f>
        <v>1000</v>
      </c>
      <c r="R40" s="7">
        <f>P40-Q40</f>
        <v>-5679.26497190412</v>
      </c>
      <c r="S40" s="7">
        <f>IF(A40&lt;1+Parameters!$I$31,0,INDEX($M$5:$M$40,A40-Parameters!$I$31))</f>
        <v>3180.5921922568145</v>
      </c>
      <c r="T40" s="7">
        <f>T39+M40-S40</f>
        <v>3185.2823135705103</v>
      </c>
      <c r="U40" s="7">
        <f>S40-N40-O40-Q40</f>
        <v>-5683.955093217815</v>
      </c>
      <c r="V40" s="7">
        <f>V39+U40</f>
        <v>-190646.7171523487</v>
      </c>
      <c r="W40" s="7">
        <f>(1-Parameters!$I$7)*(C40-E40)+(1-Parameters!$I$8)*(D40+E40)</f>
        <v>948.0702943612108</v>
      </c>
      <c r="X40" s="7">
        <f>Parameters!$I$7*(C40-E40)+Parameters!$I$8*Parameters!$I$9*(D40+E40)</f>
        <v>7393.2078962347105</v>
      </c>
      <c r="Y40" s="7">
        <f>Parameters!$I$8*(1-Parameters!$I$9)*(D40+E40)</f>
        <v>2405.4522563675064</v>
      </c>
      <c r="Z40" s="7">
        <f>POWER(1/(1+Parameters!$I$32),A40-1)*(M40-N40)</f>
        <v>-479.502788634365</v>
      </c>
    </row>
    <row r="43" spans="1:26">
      <c r="A43" s="1" t="s">
        <v>189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45" customHeight="1">
      <c r="A44" s="4" t="s">
        <v>164</v>
      </c>
      <c r="B44" s="4" t="s">
        <v>165</v>
      </c>
      <c r="C44" s="4" t="s">
        <v>166</v>
      </c>
      <c r="D44" s="4" t="s">
        <v>167</v>
      </c>
      <c r="E44" s="4" t="s">
        <v>168</v>
      </c>
      <c r="F44" s="4" t="s">
        <v>169</v>
      </c>
      <c r="G44" s="4" t="s">
        <v>170</v>
      </c>
      <c r="H44" s="4" t="s">
        <v>171</v>
      </c>
      <c r="I44" s="4" t="s">
        <v>172</v>
      </c>
      <c r="J44" s="4" t="s">
        <v>173</v>
      </c>
      <c r="K44" s="4" t="s">
        <v>174</v>
      </c>
      <c r="L44" s="4" t="s">
        <v>175</v>
      </c>
      <c r="M44" s="4" t="s">
        <v>176</v>
      </c>
      <c r="N44" s="4" t="s">
        <v>177</v>
      </c>
      <c r="O44" s="4" t="s">
        <v>99</v>
      </c>
      <c r="P44" s="4" t="s">
        <v>178</v>
      </c>
      <c r="Q44" s="4" t="s">
        <v>179</v>
      </c>
      <c r="R44" s="4" t="s">
        <v>180</v>
      </c>
      <c r="S44" s="4" t="s">
        <v>181</v>
      </c>
      <c r="T44" s="4" t="s">
        <v>182</v>
      </c>
      <c r="U44" s="4" t="s">
        <v>183</v>
      </c>
      <c r="V44" s="4" t="s">
        <v>184</v>
      </c>
      <c r="W44" s="4" t="s">
        <v>185</v>
      </c>
      <c r="X44" s="4" t="s">
        <v>186</v>
      </c>
      <c r="Y44" s="4" t="s">
        <v>187</v>
      </c>
      <c r="Z44" s="4" t="s">
        <v>188</v>
      </c>
    </row>
    <row r="45" spans="1:26">
      <c r="A45" s="7">
        <v>1</v>
      </c>
      <c r="B45" s="7">
        <f>1</f>
        <v>1</v>
      </c>
      <c r="C45" s="7">
        <f>B45</f>
        <v>1</v>
      </c>
      <c r="D45" s="7">
        <f>0</f>
        <v>0.0</v>
      </c>
      <c r="E45" s="7">
        <f>Parameters!$I$6*C45</f>
        <v>0.02</v>
      </c>
      <c r="F45" s="7">
        <f>IF(Parameters!$I$5=1,E45,0)</f>
        <v>0.0</v>
      </c>
      <c r="G45" s="7">
        <f>F45</f>
        <v>0.0</v>
      </c>
      <c r="H45" s="7">
        <f>IF(AND(Parameters!$I$5=1,Parameters!$I$26=1),SUMPRODUCT(--($A$45:A45&lt;A45),--(MOD(A45-$A$45:A45,Parameters!$I$28)=0),$F$45:F45,POWER(Parameters!$I$27,IF(A45-$A$45:A45=0,1,A45-$A$45:A45))),0)</f>
        <v>0.0</v>
      </c>
      <c r="I45" s="7">
        <f>B45*Parameters!$I$22</f>
        <v>0.0</v>
      </c>
      <c r="J45" s="7">
        <f>E45*Parameters!$I$14*(1-Parameters!$I$15)</f>
        <v>0.38</v>
      </c>
      <c r="K45" s="7">
        <f>H45*Parameters!$I$29</f>
        <v>0.0</v>
      </c>
      <c r="L45" s="7">
        <f>I45*Parameters!$I$24</f>
        <v>0.0</v>
      </c>
      <c r="M45" s="7">
        <f>J45+K45+L45</f>
        <v>0.38</v>
      </c>
      <c r="N45" s="7">
        <f>C45*Parameters!$I$17+D45*Parameters!$I$18+E45*Parameters!$I$16+I45*Parameters!$I$25+G45*Parameters!$I$30</f>
        <v>0.32</v>
      </c>
      <c r="O45" s="7">
        <f>0</f>
        <v>0</v>
      </c>
      <c r="P45" s="7">
        <f>M45-N45-O45</f>
        <v>0.06</v>
      </c>
      <c r="Q45" s="7">
        <f>0</f>
        <v>0</v>
      </c>
      <c r="R45" s="7">
        <f>P45-Q45</f>
        <v>0.06</v>
      </c>
      <c r="S45" s="7">
        <f>IF(A45&lt;1+Parameters!$I$31,0,INDEX($M$45:$M$80,A45-Parameters!$I$31))</f>
        <v>0.0</v>
      </c>
      <c r="T45" s="7">
        <f>M45-S45</f>
        <v>0.38</v>
      </c>
      <c r="U45" s="7">
        <f>S45-N45-O45-Q45</f>
        <v>-0.32</v>
      </c>
      <c r="V45" s="7">
        <f>U45</f>
        <v>-0.32</v>
      </c>
      <c r="W45" s="7">
        <f>(1-Parameters!$I$7)*(C45-E45)+(1-Parameters!$I$8)*(D45+E45)</f>
        <v>0.09899999999999998</v>
      </c>
      <c r="X45" s="7">
        <f>Parameters!$I$7*(C45-E45)+Parameters!$I$8*Parameters!$I$9*(D45+E45)</f>
        <v>0.882</v>
      </c>
      <c r="Y45" s="7">
        <f>Parameters!$I$8*(1-Parameters!$I$9)*(D45+E45)</f>
        <v>0.019</v>
      </c>
      <c r="Z45" s="7">
        <f>POWER(1/(1+Parameters!$I$32),A45-1)*(M45-N45)</f>
        <v>0.06</v>
      </c>
    </row>
    <row r="46" spans="1:26">
      <c r="A46" s="7">
        <v>2</v>
      </c>
      <c r="B46" s="7">
        <f>0</f>
        <v>0</v>
      </c>
      <c r="C46" s="7">
        <f>X45+B46</f>
        <v>0.882</v>
      </c>
      <c r="D46" s="7">
        <f>Y45</f>
        <v>0.019</v>
      </c>
      <c r="E46" s="7">
        <f>Parameters!$I$6*C46</f>
        <v>0.01764</v>
      </c>
      <c r="F46" s="7">
        <f>IF(Parameters!$I$5=1,E46,0)</f>
        <v>0.0</v>
      </c>
      <c r="G46" s="7">
        <f>Parameters!$I$27*G45+F46</f>
        <v>0.0</v>
      </c>
      <c r="H46" s="7">
        <f>IF(AND(Parameters!$I$5=1,Parameters!$I$26=1),SUMPRODUCT(--($A$45:A46&lt;A46),--(MOD(A46-$A$45:A46,Parameters!$I$28)=0),$F$45:F46,POWER(Parameters!$I$27,IF(A46-$A$45:A46=0,1,A46-$A$45:A46))),0)</f>
        <v>0.0</v>
      </c>
      <c r="I46" s="7">
        <f>Parameters!$I$23*I45+B46*Parameters!$I$22</f>
        <v>0.0</v>
      </c>
      <c r="J46" s="7">
        <f>E46*Parameters!$I$14*(1-Parameters!$I$15)</f>
        <v>0.33516</v>
      </c>
      <c r="K46" s="7">
        <f>H46*Parameters!$I$29</f>
        <v>0.0</v>
      </c>
      <c r="L46" s="7">
        <f>I46*Parameters!$I$24</f>
        <v>0.0</v>
      </c>
      <c r="M46" s="7">
        <f>J46+K46+L46</f>
        <v>0.33516</v>
      </c>
      <c r="N46" s="7">
        <f>C46*Parameters!$I$17+D46*Parameters!$I$18+E46*Parameters!$I$16+I46*Parameters!$I$25+G46*Parameters!$I$30</f>
        <v>0.29174</v>
      </c>
      <c r="O46" s="7">
        <f>0</f>
        <v>0</v>
      </c>
      <c r="P46" s="7">
        <f>M46-N46-O46</f>
        <v>0.043420000000000014</v>
      </c>
      <c r="Q46" s="7">
        <f>0</f>
        <v>0</v>
      </c>
      <c r="R46" s="7">
        <f>P46-Q46</f>
        <v>0.043420000000000014</v>
      </c>
      <c r="S46" s="7">
        <f>IF(A46&lt;1+Parameters!$I$31,0,INDEX($M$45:$M$80,A46-Parameters!$I$31))</f>
        <v>0.38</v>
      </c>
      <c r="T46" s="7">
        <f>T45+M46-S46</f>
        <v>0.33516</v>
      </c>
      <c r="U46" s="7">
        <f>S46-N46-O46-Q46</f>
        <v>0.08826</v>
      </c>
      <c r="V46" s="7">
        <f>V45+U46</f>
        <v>-0.23174</v>
      </c>
      <c r="W46" s="7">
        <f>(1-Parameters!$I$7)*(C46-E46)+(1-Parameters!$I$8)*(D46+E46)</f>
        <v>0.08826799999999999</v>
      </c>
      <c r="X46" s="7">
        <f>Parameters!$I$7*(C46-E46)+Parameters!$I$8*Parameters!$I$9*(D46+E46)</f>
        <v>0.7779240000000001</v>
      </c>
      <c r="Y46" s="7">
        <f>Parameters!$I$8*(1-Parameters!$I$9)*(D46+E46)</f>
        <v>0.034808</v>
      </c>
      <c r="Z46" s="7">
        <f>POWER(1/(1+Parameters!$I$32),A46-1)*(M46-N46)</f>
        <v>0.042990099009901</v>
      </c>
    </row>
    <row r="47" spans="1:26">
      <c r="A47" s="7">
        <v>3</v>
      </c>
      <c r="B47" s="7">
        <f>0</f>
        <v>0</v>
      </c>
      <c r="C47" s="7">
        <f>X46+B47</f>
        <v>0.7779240000000001</v>
      </c>
      <c r="D47" s="7">
        <f>Y46</f>
        <v>0.034808</v>
      </c>
      <c r="E47" s="7">
        <f>Parameters!$I$6*C47</f>
        <v>0.015558480000000001</v>
      </c>
      <c r="F47" s="7">
        <f>IF(Parameters!$I$5=1,E47,0)</f>
        <v>0.0</v>
      </c>
      <c r="G47" s="7">
        <f>Parameters!$I$27*G46+F47</f>
        <v>0.0</v>
      </c>
      <c r="H47" s="7">
        <f>IF(AND(Parameters!$I$5=1,Parameters!$I$26=1),SUMPRODUCT(--($A$45:A47&lt;A47),--(MOD(A47-$A$45:A47,Parameters!$I$28)=0),$F$45:F47,POWER(Parameters!$I$27,IF(A47-$A$45:A47=0,1,A47-$A$45:A47))),0)</f>
        <v>0.0</v>
      </c>
      <c r="I47" s="7">
        <f>Parameters!$I$23*I46+B47*Parameters!$I$22</f>
        <v>0.0</v>
      </c>
      <c r="J47" s="7">
        <f>E47*Parameters!$I$14*(1-Parameters!$I$15)</f>
        <v>0.29561112</v>
      </c>
      <c r="K47" s="7">
        <f>H47*Parameters!$I$29</f>
        <v>0.0</v>
      </c>
      <c r="L47" s="7">
        <f>I47*Parameters!$I$24</f>
        <v>0.0</v>
      </c>
      <c r="M47" s="7">
        <f>J47+K47+L47</f>
        <v>0.29561112</v>
      </c>
      <c r="N47" s="7">
        <f>C47*Parameters!$I$17+D47*Parameters!$I$18+E47*Parameters!$I$16+I47*Parameters!$I$25+G47*Parameters!$I$30</f>
        <v>0.26633967999999997</v>
      </c>
      <c r="O47" s="7">
        <f>0</f>
        <v>0</v>
      </c>
      <c r="P47" s="7">
        <f>M47-N47-O47</f>
        <v>0.029271440000000037</v>
      </c>
      <c r="Q47" s="7">
        <f>0</f>
        <v>0</v>
      </c>
      <c r="R47" s="7">
        <f>P47-Q47</f>
        <v>0.029271440000000037</v>
      </c>
      <c r="S47" s="7">
        <f>IF(A47&lt;1+Parameters!$I$31,0,INDEX($M$45:$M$80,A47-Parameters!$I$31))</f>
        <v>0.33516</v>
      </c>
      <c r="T47" s="7">
        <f>T46+M47-S47</f>
        <v>0.29561112</v>
      </c>
      <c r="U47" s="7">
        <f>S47-N47-O47-Q47</f>
        <v>0.06882032000000005</v>
      </c>
      <c r="V47" s="7">
        <f>V46+U47</f>
        <v>-0.16291967999999996</v>
      </c>
      <c r="W47" s="7">
        <f>(1-Parameters!$I$7)*(C47-E47)+(1-Parameters!$I$8)*(D47+E47)</f>
        <v>0.07875487599999999</v>
      </c>
      <c r="X47" s="7">
        <f>Parameters!$I$7*(C47-E47)+Parameters!$I$8*Parameters!$I$9*(D47+E47)</f>
        <v>0.686128968</v>
      </c>
      <c r="Y47" s="7">
        <f>Parameters!$I$8*(1-Parameters!$I$9)*(D47+E47)</f>
        <v>0.047848155999999996</v>
      </c>
      <c r="Z47" s="7">
        <f>POWER(1/(1+Parameters!$I$32),A47-1)*(M47-N47)</f>
        <v>0.028694676992451755</v>
      </c>
    </row>
    <row r="48" spans="1:26">
      <c r="A48" s="7">
        <v>4</v>
      </c>
      <c r="B48" s="7">
        <f>0</f>
        <v>0</v>
      </c>
      <c r="C48" s="7">
        <f>X47+B48</f>
        <v>0.686128968</v>
      </c>
      <c r="D48" s="7">
        <f>Y47</f>
        <v>0.047848155999999996</v>
      </c>
      <c r="E48" s="7">
        <f>Parameters!$I$6*C48</f>
        <v>0.01372257936</v>
      </c>
      <c r="F48" s="7">
        <f>IF(Parameters!$I$5=1,E48,0)</f>
        <v>0.0</v>
      </c>
      <c r="G48" s="7">
        <f>Parameters!$I$27*G47+F48</f>
        <v>0.0</v>
      </c>
      <c r="H48" s="7">
        <f>IF(AND(Parameters!$I$5=1,Parameters!$I$26=1),SUMPRODUCT(--($A$45:A48&lt;A48),--(MOD(A48-$A$45:A48,Parameters!$I$28)=0),$F$45:F48,POWER(Parameters!$I$27,IF(A48-$A$45:A48=0,1,A48-$A$45:A48))),0)</f>
        <v>0.0</v>
      </c>
      <c r="I48" s="7">
        <f>Parameters!$I$23*I47+B48*Parameters!$I$22</f>
        <v>0.0</v>
      </c>
      <c r="J48" s="7">
        <f>E48*Parameters!$I$14*(1-Parameters!$I$15)</f>
        <v>0.26072900784</v>
      </c>
      <c r="K48" s="7">
        <f>H48*Parameters!$I$29</f>
        <v>0.0</v>
      </c>
      <c r="L48" s="7">
        <f>I48*Parameters!$I$24</f>
        <v>0.0</v>
      </c>
      <c r="M48" s="7">
        <f>J48+K48+L48</f>
        <v>0.26072900784</v>
      </c>
      <c r="N48" s="7">
        <f>C48*Parameters!$I$17+D48*Parameters!$I$18+E48*Parameters!$I$16+I48*Parameters!$I$25+G48*Parameters!$I$30</f>
        <v>0.24348534775999997</v>
      </c>
      <c r="O48" s="7">
        <f>0</f>
        <v>0</v>
      </c>
      <c r="P48" s="7">
        <f>M48-N48-O48</f>
        <v>0.017243660080000056</v>
      </c>
      <c r="Q48" s="7">
        <f>0</f>
        <v>0</v>
      </c>
      <c r="R48" s="7">
        <f>P48-Q48</f>
        <v>0.017243660080000056</v>
      </c>
      <c r="S48" s="7">
        <f>IF(A48&lt;1+Parameters!$I$31,0,INDEX($M$45:$M$80,A48-Parameters!$I$31))</f>
        <v>0.29561112</v>
      </c>
      <c r="T48" s="7">
        <f>T47+M48-S48</f>
        <v>0.26072900784</v>
      </c>
      <c r="U48" s="7">
        <f>S48-N48-O48-Q48</f>
        <v>0.052125772240000035</v>
      </c>
      <c r="V48" s="7">
        <f>V47+U48</f>
        <v>-0.11079390775999992</v>
      </c>
      <c r="W48" s="7">
        <f>(1-Parameters!$I$7)*(C48-E48)+(1-Parameters!$I$8)*(D48+E48)</f>
        <v>0.07031917563199999</v>
      </c>
      <c r="X48" s="7">
        <f>Parameters!$I$7*(C48-E48)+Parameters!$I$8*Parameters!$I$9*(D48+E48)</f>
        <v>0.605165749776</v>
      </c>
      <c r="Y48" s="7">
        <f>Parameters!$I$8*(1-Parameters!$I$9)*(D48+E48)</f>
        <v>0.05849219859199999</v>
      </c>
      <c r="Z48" s="7">
        <f>POWER(1/(1+Parameters!$I$32),A48-1)*(M48-N48)</f>
        <v>0.01673652658786127</v>
      </c>
    </row>
    <row r="49" spans="1:26">
      <c r="A49" s="7">
        <v>5</v>
      </c>
      <c r="B49" s="7">
        <f>0</f>
        <v>0</v>
      </c>
      <c r="C49" s="7">
        <f>X48+B49</f>
        <v>0.605165749776</v>
      </c>
      <c r="D49" s="7">
        <f>Y48</f>
        <v>0.05849219859199999</v>
      </c>
      <c r="E49" s="7">
        <f>Parameters!$I$6*C49</f>
        <v>0.01210331499552</v>
      </c>
      <c r="F49" s="7">
        <f>IF(Parameters!$I$5=1,E49,0)</f>
        <v>0.0</v>
      </c>
      <c r="G49" s="7">
        <f>Parameters!$I$27*G48+F49</f>
        <v>0.0</v>
      </c>
      <c r="H49" s="7">
        <f>IF(AND(Parameters!$I$5=1,Parameters!$I$26=1),SUMPRODUCT(--($A$45:A49&lt;A49),--(MOD(A49-$A$45:A49,Parameters!$I$28)=0),$F$45:F49,POWER(Parameters!$I$27,IF(A49-$A$45:A49=0,1,A49-$A$45:A49))),0)</f>
        <v>0.0</v>
      </c>
      <c r="I49" s="7">
        <f>Parameters!$I$23*I48+B49*Parameters!$I$22</f>
        <v>0.0</v>
      </c>
      <c r="J49" s="7">
        <f>E49*Parameters!$I$14*(1-Parameters!$I$15)</f>
        <v>0.22996298491488001</v>
      </c>
      <c r="K49" s="7">
        <f>H49*Parameters!$I$29</f>
        <v>0.0</v>
      </c>
      <c r="L49" s="7">
        <f>I49*Parameters!$I$24</f>
        <v>0.0</v>
      </c>
      <c r="M49" s="7">
        <f>J49+K49+L49</f>
        <v>0.22996298491488001</v>
      </c>
      <c r="N49" s="7">
        <f>C49*Parameters!$I$17+D49*Parameters!$I$18+E49*Parameters!$I$16+I49*Parameters!$I$25+G49*Parameters!$I$30</f>
        <v>0.22289913922432</v>
      </c>
      <c r="O49" s="7">
        <f>0</f>
        <v>0</v>
      </c>
      <c r="P49" s="7">
        <f>M49-N49-O49</f>
        <v>0.007063845690560011</v>
      </c>
      <c r="Q49" s="7">
        <f>0</f>
        <v>0</v>
      </c>
      <c r="R49" s="7">
        <f>P49-Q49</f>
        <v>0.007063845690560011</v>
      </c>
      <c r="S49" s="7">
        <f>IF(A49&lt;1+Parameters!$I$31,0,INDEX($M$45:$M$80,A49-Parameters!$I$31))</f>
        <v>0.26072900784</v>
      </c>
      <c r="T49" s="7">
        <f>T48+M49-S49</f>
        <v>0.22996298491488001</v>
      </c>
      <c r="U49" s="7">
        <f>S49-N49-O49-Q49</f>
        <v>0.03782986861568002</v>
      </c>
      <c r="V49" s="7">
        <f>V48+U49</f>
        <v>-0.0729640391443199</v>
      </c>
      <c r="W49" s="7">
        <f>(1-Parameters!$I$7)*(C49-E49)+(1-Parameters!$I$8)*(D49+E49)</f>
        <v>0.062836019157424</v>
      </c>
      <c r="X49" s="7">
        <f>Parameters!$I$7*(C49-E49)+Parameters!$I$8*Parameters!$I$9*(D49+E49)</f>
        <v>0.533756191302432</v>
      </c>
      <c r="Y49" s="7">
        <f>Parameters!$I$8*(1-Parameters!$I$9)*(D49+E49)</f>
        <v>0.06706573790814399</v>
      </c>
      <c r="Z49" s="7">
        <f>POWER(1/(1+Parameters!$I$32),A49-1)*(M49-N49)</f>
        <v>0.006788216865087816</v>
      </c>
    </row>
    <row r="50" spans="1:26">
      <c r="A50" s="7">
        <v>6</v>
      </c>
      <c r="B50" s="7">
        <f>0</f>
        <v>0</v>
      </c>
      <c r="C50" s="7">
        <f>X49+B50</f>
        <v>0.533756191302432</v>
      </c>
      <c r="D50" s="7">
        <f>Y49</f>
        <v>0.06706573790814399</v>
      </c>
      <c r="E50" s="7">
        <f>Parameters!$I$6*C50</f>
        <v>0.01067512382604864</v>
      </c>
      <c r="F50" s="7">
        <f>IF(Parameters!$I$5=1,E50,0)</f>
        <v>0.0</v>
      </c>
      <c r="G50" s="7">
        <f>Parameters!$I$27*G49+F50</f>
        <v>0.0</v>
      </c>
      <c r="H50" s="7">
        <f>IF(AND(Parameters!$I$5=1,Parameters!$I$26=1),SUMPRODUCT(--($A$45:A50&lt;A50),--(MOD(A50-$A$45:A50,Parameters!$I$28)=0),$F$45:F50,POWER(Parameters!$I$27,IF(A50-$A$45:A50=0,1,A50-$A$45:A50))),0)</f>
        <v>0.0</v>
      </c>
      <c r="I50" s="7">
        <f>Parameters!$I$23*I49+B50*Parameters!$I$22</f>
        <v>0.0</v>
      </c>
      <c r="J50" s="7">
        <f>E50*Parameters!$I$14*(1-Parameters!$I$15)</f>
        <v>0.20282735269492416</v>
      </c>
      <c r="K50" s="7">
        <f>H50*Parameters!$I$29</f>
        <v>0.0</v>
      </c>
      <c r="L50" s="7">
        <f>I50*Parameters!$I$24</f>
        <v>0.0</v>
      </c>
      <c r="M50" s="7">
        <f>J50+K50+L50</f>
        <v>0.20282735269492416</v>
      </c>
      <c r="N50" s="7">
        <f>C50*Parameters!$I$17+D50*Parameters!$I$18+E50*Parameters!$I$16+I50*Parameters!$I$25+G50*Parameters!$I$30</f>
        <v>0.20433485017085024</v>
      </c>
      <c r="O50" s="7">
        <f>0</f>
        <v>0</v>
      </c>
      <c r="P50" s="7">
        <f>M50-N50-O50</f>
        <v>-0.0015074974759260729</v>
      </c>
      <c r="Q50" s="7">
        <f>0</f>
        <v>0</v>
      </c>
      <c r="R50" s="7">
        <f>P50-Q50</f>
        <v>-0.0015074974759260729</v>
      </c>
      <c r="S50" s="7">
        <f>IF(A50&lt;1+Parameters!$I$31,0,INDEX($M$45:$M$80,A50-Parameters!$I$31))</f>
        <v>0.22996298491488001</v>
      </c>
      <c r="T50" s="7">
        <f>T49+M50-S50</f>
        <v>0.20282735269492416</v>
      </c>
      <c r="U50" s="7">
        <f>S50-N50-O50-Q50</f>
        <v>0.02562813474402978</v>
      </c>
      <c r="V50" s="7">
        <f>V49+U50</f>
        <v>-0.04733590440029012</v>
      </c>
      <c r="W50" s="7">
        <f>(1-Parameters!$I$7)*(C50-E50)+(1-Parameters!$I$8)*(D50+E50)</f>
        <v>0.05619514983434796</v>
      </c>
      <c r="X50" s="7">
        <f>Parameters!$I$7*(C50-E50)+Parameters!$I$8*Parameters!$I$9*(D50+E50)</f>
        <v>0.4707729607287451</v>
      </c>
      <c r="Y50" s="7">
        <f>Parameters!$I$8*(1-Parameters!$I$9)*(D50+E50)</f>
        <v>0.073853818647483</v>
      </c>
      <c r="Z50" s="7">
        <f>POWER(1/(1+Parameters!$I$32),A50-1)*(M50-N50)</f>
        <v>-0.001434332122497439</v>
      </c>
    </row>
    <row r="51" spans="1:26">
      <c r="A51" s="7">
        <v>7</v>
      </c>
      <c r="B51" s="7">
        <f>0</f>
        <v>0</v>
      </c>
      <c r="C51" s="7">
        <f>X50+B51</f>
        <v>0.470772960728745</v>
      </c>
      <c r="D51" s="7">
        <f>Y50</f>
        <v>0.073853818647483</v>
      </c>
      <c r="E51" s="7">
        <f>Parameters!$I$6*C51</f>
        <v>0.0094154592145749</v>
      </c>
      <c r="F51" s="7">
        <f>IF(Parameters!$I$5=1,E51,0)</f>
        <v>0.0</v>
      </c>
      <c r="G51" s="7">
        <f>Parameters!$I$27*G50+F51</f>
        <v>0.0</v>
      </c>
      <c r="H51" s="7">
        <f>IF(AND(Parameters!$I$5=1,Parameters!$I$26=1),SUMPRODUCT(--($A$45:A51&lt;A51),--(MOD(A51-$A$45:A51,Parameters!$I$28)=0),$F$45:F51,POWER(Parameters!$I$27,IF(A51-$A$45:A51=0,1,A51-$A$45:A51))),0)</f>
        <v>0.0</v>
      </c>
      <c r="I51" s="7">
        <f>Parameters!$I$23*I50+B51*Parameters!$I$22</f>
        <v>0.0</v>
      </c>
      <c r="J51" s="7">
        <f>E51*Parameters!$I$14*(1-Parameters!$I$15)</f>
        <v>0.1788937250769231</v>
      </c>
      <c r="K51" s="7">
        <f>H51*Parameters!$I$29</f>
        <v>0.0</v>
      </c>
      <c r="L51" s="7">
        <f>I51*Parameters!$I$24</f>
        <v>0.0</v>
      </c>
      <c r="M51" s="7">
        <f>J51+K51+L51</f>
        <v>0.1788937250769231</v>
      </c>
      <c r="N51" s="7">
        <f>C51*Parameters!$I$17+D51*Parameters!$I$18+E51*Parameters!$I$16+I51*Parameters!$I$25+G51*Parameters!$I$30</f>
        <v>0.18757425675693992</v>
      </c>
      <c r="O51" s="7">
        <f>0</f>
        <v>0</v>
      </c>
      <c r="P51" s="7">
        <f>M51-N51-O51</f>
        <v>-0.008680531680016812</v>
      </c>
      <c r="Q51" s="7">
        <f>0</f>
        <v>0</v>
      </c>
      <c r="R51" s="7">
        <f>P51-Q51</f>
        <v>-0.008680531680016812</v>
      </c>
      <c r="S51" s="7">
        <f>IF(A51&lt;1+Parameters!$I$31,0,INDEX($M$45:$M$80,A51-Parameters!$I$31))</f>
        <v>0.20282735269492416</v>
      </c>
      <c r="T51" s="7">
        <f>T50+M51-S51</f>
        <v>0.1788937250769231</v>
      </c>
      <c r="U51" s="7">
        <f>S51-N51-O51-Q51</f>
        <v>0.01525309593798424</v>
      </c>
      <c r="V51" s="7">
        <f>V50+U51</f>
        <v>-0.03208280846230588</v>
      </c>
      <c r="W51" s="7">
        <f>(1-Parameters!$I$7)*(C51-E51)+(1-Parameters!$I$8)*(D51+E51)</f>
        <v>0.050299214044519897</v>
      </c>
      <c r="X51" s="7">
        <f>Parameters!$I$7*(C51-E51)+Parameters!$I$8*Parameters!$I$9*(D51+E51)</f>
        <v>0.4152217513627531</v>
      </c>
      <c r="Y51" s="7">
        <f>Parameters!$I$8*(1-Parameters!$I$9)*(D51+E51)</f>
        <v>0.079105813968955</v>
      </c>
      <c r="Z51" s="7">
        <f>POWER(1/(1+Parameters!$I$32),A51-1)*(M51-N51)</f>
        <v>-0.008177453508633031</v>
      </c>
    </row>
    <row r="52" spans="1:26">
      <c r="A52" s="7">
        <v>8</v>
      </c>
      <c r="B52" s="7">
        <f>0</f>
        <v>0</v>
      </c>
      <c r="C52" s="7">
        <f>X51+B52</f>
        <v>0.41522175136275313</v>
      </c>
      <c r="D52" s="7">
        <f>Y51</f>
        <v>0.07910581396895501</v>
      </c>
      <c r="E52" s="7">
        <f>Parameters!$I$6*C52</f>
        <v>0.008304435027255063</v>
      </c>
      <c r="F52" s="7">
        <f>IF(Parameters!$I$5=1,E52,0)</f>
        <v>0.0</v>
      </c>
      <c r="G52" s="7">
        <f>Parameters!$I$27*G51+F52</f>
        <v>0.0</v>
      </c>
      <c r="H52" s="7">
        <f>IF(AND(Parameters!$I$5=1,Parameters!$I$26=1),SUMPRODUCT(--($A$45:A52&lt;A52),--(MOD(A52-$A$45:A52,Parameters!$I$28)=0),$F$45:F52,POWER(Parameters!$I$27,IF(A52-$A$45:A52=0,1,A52-$A$45:A52))),0)</f>
        <v>0.0</v>
      </c>
      <c r="I52" s="7">
        <f>Parameters!$I$23*I51+B52*Parameters!$I$22</f>
        <v>0.0</v>
      </c>
      <c r="J52" s="7">
        <f>E52*Parameters!$I$14*(1-Parameters!$I$15)</f>
        <v>0.15778426551784622</v>
      </c>
      <c r="K52" s="7">
        <f>H52*Parameters!$I$29</f>
        <v>0.0</v>
      </c>
      <c r="L52" s="7">
        <f>I52*Parameters!$I$24</f>
        <v>0.0</v>
      </c>
      <c r="M52" s="7">
        <f>J52+K52+L52</f>
        <v>0.15778426551784622</v>
      </c>
      <c r="N52" s="7">
        <f>C52*Parameters!$I$17+D52*Parameters!$I$18+E52*Parameters!$I$16+I52*Parameters!$I$25+G52*Parameters!$I$30</f>
        <v>0.17242386742055849</v>
      </c>
      <c r="O52" s="7">
        <f>0</f>
        <v>0</v>
      </c>
      <c r="P52" s="7">
        <f>M52-N52-O52</f>
        <v>-0.014639601902712268</v>
      </c>
      <c r="Q52" s="7">
        <f>0</f>
        <v>0</v>
      </c>
      <c r="R52" s="7">
        <f>P52-Q52</f>
        <v>-0.014639601902712268</v>
      </c>
      <c r="S52" s="7">
        <f>IF(A52&lt;1+Parameters!$I$31,0,INDEX($M$45:$M$80,A52-Parameters!$I$31))</f>
        <v>0.1788937250769231</v>
      </c>
      <c r="T52" s="7">
        <f>T51+M52-S52</f>
        <v>0.15778426551784622</v>
      </c>
      <c r="U52" s="7">
        <f>S52-N52-O52-Q52</f>
        <v>0.006469857656364625</v>
      </c>
      <c r="V52" s="7">
        <f>V51+U52</f>
        <v>-0.025612950805941254</v>
      </c>
      <c r="W52" s="7">
        <f>(1-Parameters!$I$7)*(C52-E52)+(1-Parameters!$I$8)*(D52+E52)</f>
        <v>0.045062244083360306</v>
      </c>
      <c r="X52" s="7">
        <f>Parameters!$I$7*(C52-E52)+Parameters!$I$8*Parameters!$I$9*(D52+E52)</f>
        <v>0.36622558470194827</v>
      </c>
      <c r="Y52" s="7">
        <f>Parameters!$I$8*(1-Parameters!$I$9)*(D52+E52)</f>
        <v>0.08303973654639957</v>
      </c>
      <c r="Z52" s="7">
        <f>POWER(1/(1+Parameters!$I$32),A52-1)*(M52-N52)</f>
        <v>-0.013654621008384663</v>
      </c>
    </row>
    <row r="53" spans="1:26">
      <c r="A53" s="7">
        <v>9</v>
      </c>
      <c r="B53" s="7">
        <f>0</f>
        <v>0</v>
      </c>
      <c r="C53" s="7">
        <f>X52+B53</f>
        <v>0.36622558470194827</v>
      </c>
      <c r="D53" s="7">
        <f>Y52</f>
        <v>0.08303973654639957</v>
      </c>
      <c r="E53" s="7">
        <f>Parameters!$I$6*C53</f>
        <v>0.007324511694038966</v>
      </c>
      <c r="F53" s="7">
        <f>IF(Parameters!$I$5=1,E53,0)</f>
        <v>0.0</v>
      </c>
      <c r="G53" s="7">
        <f>Parameters!$I$27*G52+F53</f>
        <v>0.0</v>
      </c>
      <c r="H53" s="7">
        <f>IF(AND(Parameters!$I$5=1,Parameters!$I$26=1),SUMPRODUCT(--($A$45:A53&lt;A53),--(MOD(A53-$A$45:A53,Parameters!$I$28)=0),$F$45:F53,POWER(Parameters!$I$27,IF(A53-$A$45:A53=0,1,A53-$A$45:A53))),0)</f>
        <v>0.0</v>
      </c>
      <c r="I53" s="7">
        <f>Parameters!$I$23*I52+B53*Parameters!$I$22</f>
        <v>0.0</v>
      </c>
      <c r="J53" s="7">
        <f>E53*Parameters!$I$14*(1-Parameters!$I$15)</f>
        <v>0.13916572218674034</v>
      </c>
      <c r="K53" s="7">
        <f>H53*Parameters!$I$29</f>
        <v>0.0</v>
      </c>
      <c r="L53" s="7">
        <f>I53*Parameters!$I$24</f>
        <v>0.0</v>
      </c>
      <c r="M53" s="7">
        <f>J53+K53+L53</f>
        <v>0.13916572218674034</v>
      </c>
      <c r="N53" s="7">
        <f>C53*Parameters!$I$17+D53*Parameters!$I$18+E53*Parameters!$I$16+I53*Parameters!$I$25+G53*Parameters!$I$30</f>
        <v>0.15871205537782324</v>
      </c>
      <c r="O53" s="7">
        <f>0</f>
        <v>0</v>
      </c>
      <c r="P53" s="7">
        <f>M53-N53-O53</f>
        <v>-0.0195463331910829</v>
      </c>
      <c r="Q53" s="7">
        <f>0</f>
        <v>0</v>
      </c>
      <c r="R53" s="7">
        <f>P53-Q53</f>
        <v>-0.0195463331910829</v>
      </c>
      <c r="S53" s="7">
        <f>IF(A53&lt;1+Parameters!$I$31,0,INDEX($M$45:$M$80,A53-Parameters!$I$31))</f>
        <v>0.15778426551784622</v>
      </c>
      <c r="T53" s="7">
        <f>T52+M53-S53</f>
        <v>0.13916572218674034</v>
      </c>
      <c r="U53" s="7">
        <f>S53-N53-O53-Q53</f>
        <v>-0.0009277898599770185</v>
      </c>
      <c r="V53" s="7">
        <f>V52+U53</f>
        <v>-0.026540740665918272</v>
      </c>
      <c r="W53" s="7">
        <f>(1-Parameters!$I$7)*(C53-E53)+(1-Parameters!$I$8)*(D53+E53)</f>
        <v>0.040408319712812855</v>
      </c>
      <c r="X53" s="7">
        <f>Parameters!$I$7*(C53-E53)+Parameters!$I$8*Parameters!$I$9*(D53+E53)</f>
        <v>0.3230109657071184</v>
      </c>
      <c r="Y53" s="7">
        <f>Parameters!$I$8*(1-Parameters!$I$9)*(D53+E53)</f>
        <v>0.08584603582841661</v>
      </c>
      <c r="Z53" s="7">
        <f>POWER(1/(1+Parameters!$I$32),A53-1)*(M53-N53)</f>
        <v>-0.018050710763014212</v>
      </c>
    </row>
    <row r="54" spans="1:26">
      <c r="A54" s="7">
        <v>10</v>
      </c>
      <c r="B54" s="7">
        <f>0</f>
        <v>0</v>
      </c>
      <c r="C54" s="7">
        <f>X53+B54</f>
        <v>0.3230109657071184</v>
      </c>
      <c r="D54" s="7">
        <f>Y53</f>
        <v>0.0858460358284166</v>
      </c>
      <c r="E54" s="7">
        <f>Parameters!$I$6*C54</f>
        <v>0.006460219314142368</v>
      </c>
      <c r="F54" s="7">
        <f>IF(Parameters!$I$5=1,E54,0)</f>
        <v>0.0</v>
      </c>
      <c r="G54" s="7">
        <f>Parameters!$I$27*G53+F54</f>
        <v>0.0</v>
      </c>
      <c r="H54" s="7">
        <f>IF(AND(Parameters!$I$5=1,Parameters!$I$26=1),SUMPRODUCT(--($A$45:A54&lt;A54),--(MOD(A54-$A$45:A54,Parameters!$I$28)=0),$F$45:F54,POWER(Parameters!$I$27,IF(A54-$A$45:A54=0,1,A54-$A$45:A54))),0)</f>
        <v>0.0</v>
      </c>
      <c r="I54" s="7">
        <f>Parameters!$I$23*I53+B54*Parameters!$I$22</f>
        <v>0.0</v>
      </c>
      <c r="J54" s="7">
        <f>E54*Parameters!$I$14*(1-Parameters!$I$15)</f>
        <v>0.12274416696870499</v>
      </c>
      <c r="K54" s="7">
        <f>H54*Parameters!$I$29</f>
        <v>0.0</v>
      </c>
      <c r="L54" s="7">
        <f>I54*Parameters!$I$24</f>
        <v>0.0</v>
      </c>
      <c r="M54" s="7">
        <f>J54+K54+L54</f>
        <v>0.12274416696870499</v>
      </c>
      <c r="N54" s="7">
        <f>C54*Parameters!$I$17+D54*Parameters!$I$18+E54*Parameters!$I$16+I54*Parameters!$I$25+G54*Parameters!$I$30</f>
        <v>0.1462865269404862</v>
      </c>
      <c r="O54" s="7">
        <f>0</f>
        <v>0</v>
      </c>
      <c r="P54" s="7">
        <f>M54-N54-O54</f>
        <v>-0.023542359971781196</v>
      </c>
      <c r="Q54" s="7">
        <f>0</f>
        <v>0</v>
      </c>
      <c r="R54" s="7">
        <f>P54-Q54</f>
        <v>-0.023542359971781196</v>
      </c>
      <c r="S54" s="7">
        <f>IF(A54&lt;1+Parameters!$I$31,0,INDEX($M$45:$M$80,A54-Parameters!$I$31))</f>
        <v>0.13916572218674034</v>
      </c>
      <c r="T54" s="7">
        <f>T53+M54-S54</f>
        <v>0.12274416696870499</v>
      </c>
      <c r="U54" s="7">
        <f>S54-N54-O54-Q54</f>
        <v>-0.007120804753745852</v>
      </c>
      <c r="V54" s="7">
        <f>V53+U54</f>
        <v>-0.033661545419664124</v>
      </c>
      <c r="W54" s="7">
        <f>(1-Parameters!$I$7)*(C54-E54)+(1-Parameters!$I$8)*(D54+E54)</f>
        <v>0.03627038739642555</v>
      </c>
      <c r="X54" s="7">
        <f>Parameters!$I$7*(C54-E54)+Parameters!$I$8*Parameters!$I$9*(D54+E54)</f>
        <v>0.2848956717536784</v>
      </c>
      <c r="Y54" s="7">
        <f>Parameters!$I$8*(1-Parameters!$I$9)*(D54+E54)</f>
        <v>0.08769094238543101</v>
      </c>
      <c r="Z54" s="7">
        <f>POWER(1/(1+Parameters!$I$32),A54-1)*(M54-N54)</f>
        <v>-0.02152571727879118</v>
      </c>
    </row>
    <row r="55" spans="1:26">
      <c r="A55" s="7">
        <v>11</v>
      </c>
      <c r="B55" s="7">
        <f>0</f>
        <v>0</v>
      </c>
      <c r="C55" s="7">
        <f>X54+B55</f>
        <v>0.2848956717536784</v>
      </c>
      <c r="D55" s="7">
        <f>Y54</f>
        <v>0.08769094238543101</v>
      </c>
      <c r="E55" s="7">
        <f>Parameters!$I$6*C55</f>
        <v>0.005697913435073568</v>
      </c>
      <c r="F55" s="7">
        <f>IF(Parameters!$I$5=1,E55,0)</f>
        <v>0.0</v>
      </c>
      <c r="G55" s="7">
        <f>Parameters!$I$27*G54+F55</f>
        <v>0.0</v>
      </c>
      <c r="H55" s="7">
        <f>IF(AND(Parameters!$I$5=1,Parameters!$I$26=1),SUMPRODUCT(--($A$45:A55&lt;A55),--(MOD(A55-$A$45:A55,Parameters!$I$28)=0),$F$45:F55,POWER(Parameters!$I$27,IF(A55-$A$45:A55=0,1,A55-$A$45:A55))),0)</f>
        <v>0.0</v>
      </c>
      <c r="I55" s="7">
        <f>Parameters!$I$23*I54+B55*Parameters!$I$22</f>
        <v>0.0</v>
      </c>
      <c r="J55" s="7">
        <f>E55*Parameters!$I$14*(1-Parameters!$I$15)</f>
        <v>0.10826035526639778</v>
      </c>
      <c r="K55" s="7">
        <f>H55*Parameters!$I$29</f>
        <v>0.0</v>
      </c>
      <c r="L55" s="7">
        <f>I55*Parameters!$I$24</f>
        <v>0.0</v>
      </c>
      <c r="M55" s="7">
        <f>J55+K55+L55</f>
        <v>0.10826035526639778</v>
      </c>
      <c r="N55" s="7">
        <f>C55*Parameters!$I$17+D55*Parameters!$I$18+E55*Parameters!$I$16+I55*Parameters!$I$25+G55*Parameters!$I$30</f>
        <v>0.13501208615389257</v>
      </c>
      <c r="O55" s="7">
        <f>0</f>
        <v>0</v>
      </c>
      <c r="P55" s="7">
        <f>M55-N55-O55</f>
        <v>-0.026751730887494787</v>
      </c>
      <c r="Q55" s="7">
        <f>0</f>
        <v>0</v>
      </c>
      <c r="R55" s="7">
        <f>P55-Q55</f>
        <v>-0.026751730887494787</v>
      </c>
      <c r="S55" s="7">
        <f>IF(A55&lt;1+Parameters!$I$31,0,INDEX($M$45:$M$80,A55-Parameters!$I$31))</f>
        <v>0.12274416696870499</v>
      </c>
      <c r="T55" s="7">
        <f>T54+M55-S55</f>
        <v>0.10826035526639778</v>
      </c>
      <c r="U55" s="7">
        <f>S55-N55-O55-Q55</f>
        <v>-0.012267919185187576</v>
      </c>
      <c r="V55" s="7">
        <f>V54+U55</f>
        <v>-0.0459294646048517</v>
      </c>
      <c r="W55" s="7">
        <f>(1-Parameters!$I$7)*(C55-E55)+(1-Parameters!$I$8)*(D55+E55)</f>
        <v>0.03258921862288571</v>
      </c>
      <c r="X55" s="7">
        <f>Parameters!$I$7*(C55-E55)+Parameters!$I$8*Parameters!$I$9*(D55+E55)</f>
        <v>0.2512779824867444</v>
      </c>
      <c r="Y55" s="7">
        <f>Parameters!$I$8*(1-Parameters!$I$9)*(D55+E55)</f>
        <v>0.08871941302947936</v>
      </c>
      <c r="Z55" s="7">
        <f>POWER(1/(1+Parameters!$I$32),A55-1)*(M55-N55)</f>
        <v>-0.024217992987906375</v>
      </c>
    </row>
    <row r="56" spans="1:26">
      <c r="A56" s="7">
        <v>12</v>
      </c>
      <c r="B56" s="7">
        <f>0</f>
        <v>0</v>
      </c>
      <c r="C56" s="7">
        <f>X55+B56</f>
        <v>0.2512779824867444</v>
      </c>
      <c r="D56" s="7">
        <f>Y55</f>
        <v>0.08871941302947935</v>
      </c>
      <c r="E56" s="7">
        <f>Parameters!$I$6*C56</f>
        <v>0.005025559649734888</v>
      </c>
      <c r="F56" s="7">
        <f>IF(Parameters!$I$5=1,E56,0)</f>
        <v>0.0</v>
      </c>
      <c r="G56" s="7">
        <f>Parameters!$I$27*G55+F56</f>
        <v>0.0</v>
      </c>
      <c r="H56" s="7">
        <f>IF(AND(Parameters!$I$5=1,Parameters!$I$26=1),SUMPRODUCT(--($A$45:A56&lt;A56),--(MOD(A56-$A$45:A56,Parameters!$I$28)=0),$F$45:F56,POWER(Parameters!$I$27,IF(A56-$A$45:A56=0,1,A56-$A$45:A56))),0)</f>
        <v>0.0</v>
      </c>
      <c r="I56" s="7">
        <f>Parameters!$I$23*I55+B56*Parameters!$I$22</f>
        <v>0.0</v>
      </c>
      <c r="J56" s="7">
        <f>E56*Parameters!$I$14*(1-Parameters!$I$15)</f>
        <v>0.09548563334496288</v>
      </c>
      <c r="K56" s="7">
        <f>H56*Parameters!$I$29</f>
        <v>0.0</v>
      </c>
      <c r="L56" s="7">
        <f>I56*Parameters!$I$24</f>
        <v>0.0</v>
      </c>
      <c r="M56" s="7">
        <f>J56+K56+L56</f>
        <v>0.09548563334496288</v>
      </c>
      <c r="N56" s="7">
        <f>C56*Parameters!$I$17+D56*Parameters!$I$18+E56*Parameters!$I$16+I56*Parameters!$I$25+G56*Parameters!$I$30</f>
        <v>0.12476866091049787</v>
      </c>
      <c r="O56" s="7">
        <f>0</f>
        <v>0</v>
      </c>
      <c r="P56" s="7">
        <f>M56-N56-O56</f>
        <v>-0.029283027565534997</v>
      </c>
      <c r="Q56" s="7">
        <f>0</f>
        <v>0</v>
      </c>
      <c r="R56" s="7">
        <f>P56-Q56</f>
        <v>-0.029283027565534997</v>
      </c>
      <c r="S56" s="7">
        <f>IF(A56&lt;1+Parameters!$I$31,0,INDEX($M$45:$M$80,A56-Parameters!$I$31))</f>
        <v>0.10826035526639778</v>
      </c>
      <c r="T56" s="7">
        <f>T55+M56-S56</f>
        <v>0.09548563334496288</v>
      </c>
      <c r="U56" s="7">
        <f>S56-N56-O56-Q56</f>
        <v>-0.016508305644100094</v>
      </c>
      <c r="V56" s="7">
        <f>V55+U56</f>
        <v>-0.06243777024895179</v>
      </c>
      <c r="W56" s="7">
        <f>(1-Parameters!$I$7)*(C56-E56)+(1-Parameters!$I$8)*(D56+E56)</f>
        <v>0.02931249091766166</v>
      </c>
      <c r="X56" s="7">
        <f>Parameters!$I$7*(C56-E56)+Parameters!$I$8*Parameters!$I$9*(D56+E56)</f>
        <v>0.22162718055330854</v>
      </c>
      <c r="Y56" s="7">
        <f>Parameters!$I$8*(1-Parameters!$I$9)*(D56+E56)</f>
        <v>0.08905772404525351</v>
      </c>
      <c r="Z56" s="7">
        <f>POWER(1/(1+Parameters!$I$32),A56-1)*(M56-N56)</f>
        <v>-0.02624707212771669</v>
      </c>
    </row>
    <row r="57" spans="1:26">
      <c r="A57" s="7">
        <v>13</v>
      </c>
      <c r="B57" s="7">
        <f>0</f>
        <v>0</v>
      </c>
      <c r="C57" s="7">
        <f>X56+B57</f>
        <v>0.22162718055330854</v>
      </c>
      <c r="D57" s="7">
        <f>Y56</f>
        <v>0.08905772404525351</v>
      </c>
      <c r="E57" s="7">
        <f>Parameters!$I$6*C57</f>
        <v>0.004432543611066171</v>
      </c>
      <c r="F57" s="7">
        <f>IF(Parameters!$I$5=1,E57,0)</f>
        <v>0.0</v>
      </c>
      <c r="G57" s="7">
        <f>Parameters!$I$27*G56+F57</f>
        <v>0.0</v>
      </c>
      <c r="H57" s="7">
        <f>IF(AND(Parameters!$I$5=1,Parameters!$I$26=1),SUMPRODUCT(--($A$45:A57&lt;A57),--(MOD(A57-$A$45:A57,Parameters!$I$28)=0),$F$45:F57,POWER(Parameters!$I$27,IF(A57-$A$45:A57=0,1,A57-$A$45:A57))),0)</f>
        <v>0.0</v>
      </c>
      <c r="I57" s="7">
        <f>Parameters!$I$23*I56+B57*Parameters!$I$22</f>
        <v>0.0</v>
      </c>
      <c r="J57" s="7">
        <f>E57*Parameters!$I$14*(1-Parameters!$I$15)</f>
        <v>0.08421832861025724</v>
      </c>
      <c r="K57" s="7">
        <f>H57*Parameters!$I$29</f>
        <v>0.0</v>
      </c>
      <c r="L57" s="7">
        <f>I57*Parameters!$I$24</f>
        <v>0.0</v>
      </c>
      <c r="M57" s="7">
        <f>J57+K57+L57</f>
        <v>0.08421832861025724</v>
      </c>
      <c r="N57" s="7">
        <f>C57*Parameters!$I$17+D57*Parameters!$I$18+E57*Parameters!$I$16+I57*Parameters!$I$25+G57*Parameters!$I$30</f>
        <v>0.11544955979968548</v>
      </c>
      <c r="O57" s="7">
        <f>0</f>
        <v>0</v>
      </c>
      <c r="P57" s="7">
        <f>M57-N57-O57</f>
        <v>-0.031231231189428235</v>
      </c>
      <c r="Q57" s="7">
        <f>0</f>
        <v>0</v>
      </c>
      <c r="R57" s="7">
        <f>P57-Q57</f>
        <v>-0.031231231189428235</v>
      </c>
      <c r="S57" s="7">
        <f>IF(A57&lt;1+Parameters!$I$31,0,INDEX($M$45:$M$80,A57-Parameters!$I$31))</f>
        <v>0.09548563334496288</v>
      </c>
      <c r="T57" s="7">
        <f>T56+M57-S57</f>
        <v>0.08421832861025724</v>
      </c>
      <c r="U57" s="7">
        <f>S57-N57-O57-Q57</f>
        <v>-0.0199639264547226</v>
      </c>
      <c r="V57" s="7">
        <f>V56+U57</f>
        <v>-0.08240169670367439</v>
      </c>
      <c r="W57" s="7">
        <f>(1-Parameters!$I$7)*(C57-E57)+(1-Parameters!$I$8)*(D57+E57)</f>
        <v>0.02639397707704022</v>
      </c>
      <c r="X57" s="7">
        <f>Parameters!$I$7*(C57-E57)+Parameters!$I$8*Parameters!$I$9*(D57+E57)</f>
        <v>0.19547517324801814</v>
      </c>
      <c r="Y57" s="7">
        <f>Parameters!$I$8*(1-Parameters!$I$9)*(D57+E57)</f>
        <v>0.08881575427350369</v>
      </c>
      <c r="Z57" s="7">
        <f>POWER(1/(1+Parameters!$I$32),A57-1)*(M57-N57)</f>
        <v>-0.027716131923134987</v>
      </c>
    </row>
    <row r="58" spans="1:26">
      <c r="A58" s="7">
        <v>14</v>
      </c>
      <c r="B58" s="7">
        <f>0</f>
        <v>0</v>
      </c>
      <c r="C58" s="7">
        <f>X57+B58</f>
        <v>0.19547517324801814</v>
      </c>
      <c r="D58" s="7">
        <f>Y57</f>
        <v>0.08881575427350369</v>
      </c>
      <c r="E58" s="7">
        <f>Parameters!$I$6*C58</f>
        <v>0.003909503464960363</v>
      </c>
      <c r="F58" s="7">
        <f>IF(Parameters!$I$5=1,E58,0)</f>
        <v>0.0</v>
      </c>
      <c r="G58" s="7">
        <f>Parameters!$I$27*G57+F58</f>
        <v>0.0</v>
      </c>
      <c r="H58" s="7">
        <f>IF(AND(Parameters!$I$5=1,Parameters!$I$26=1),SUMPRODUCT(--($A$45:A58&lt;A58),--(MOD(A58-$A$45:A58,Parameters!$I$28)=0),$F$45:F58,POWER(Parameters!$I$27,IF(A58-$A$45:A58=0,1,A58-$A$45:A58))),0)</f>
        <v>0.0</v>
      </c>
      <c r="I58" s="7">
        <f>Parameters!$I$23*I57+B58*Parameters!$I$22</f>
        <v>0.0</v>
      </c>
      <c r="J58" s="7">
        <f>E58*Parameters!$I$14*(1-Parameters!$I$15)</f>
        <v>0.07428056583424689</v>
      </c>
      <c r="K58" s="7">
        <f>H58*Parameters!$I$29</f>
        <v>0.0</v>
      </c>
      <c r="L58" s="7">
        <f>I58*Parameters!$I$24</f>
        <v>0.0</v>
      </c>
      <c r="M58" s="7">
        <f>J58+K58+L58</f>
        <v>0.07428056583424689</v>
      </c>
      <c r="N58" s="7">
        <f>C58*Parameters!$I$17+D58*Parameters!$I$18+E58*Parameters!$I$16+I58*Parameters!$I$25+G58*Parameters!$I$30</f>
        <v>0.10695993257611763</v>
      </c>
      <c r="O58" s="7">
        <f>0</f>
        <v>0</v>
      </c>
      <c r="P58" s="7">
        <f>M58-N58-O58</f>
        <v>-0.03267936674187075</v>
      </c>
      <c r="Q58" s="7">
        <f>0</f>
        <v>0</v>
      </c>
      <c r="R58" s="7">
        <f>P58-Q58</f>
        <v>-0.03267936674187075</v>
      </c>
      <c r="S58" s="7">
        <f>IF(A58&lt;1+Parameters!$I$31,0,INDEX($M$45:$M$80,A58-Parameters!$I$31))</f>
        <v>0.08421832861025724</v>
      </c>
      <c r="T58" s="7">
        <f>T57+M58-S58</f>
        <v>0.07428056583424689</v>
      </c>
      <c r="U58" s="7">
        <f>S58-N58-O58-Q58</f>
        <v>-0.02274160396586039</v>
      </c>
      <c r="V58" s="7">
        <f>V57+U58</f>
        <v>-0.10514330066953478</v>
      </c>
      <c r="W58" s="7">
        <f>(1-Parameters!$I$7)*(C58-E58)+(1-Parameters!$I$8)*(D58+E58)</f>
        <v>0.02379282986522898</v>
      </c>
      <c r="X58" s="7">
        <f>Parameters!$I$7*(C58-E58)+Parameters!$I$8*Parameters!$I$9*(D58+E58)</f>
        <v>0.172409102804752</v>
      </c>
      <c r="Y58" s="7">
        <f>Parameters!$I$8*(1-Parameters!$I$9)*(D58+E58)</f>
        <v>0.08808899485154084</v>
      </c>
      <c r="Z58" s="7">
        <f>POWER(1/(1+Parameters!$I$32),A58-1)*(M58-N58)</f>
        <v>-0.028714137323989128</v>
      </c>
    </row>
    <row r="59" spans="1:26">
      <c r="A59" s="7">
        <v>15</v>
      </c>
      <c r="B59" s="7">
        <f>0</f>
        <v>0</v>
      </c>
      <c r="C59" s="7">
        <f>X58+B59</f>
        <v>0.172409102804752</v>
      </c>
      <c r="D59" s="7">
        <f>Y58</f>
        <v>0.08808899485154084</v>
      </c>
      <c r="E59" s="7">
        <f>Parameters!$I$6*C59</f>
        <v>0.00344818205609504</v>
      </c>
      <c r="F59" s="7">
        <f>IF(Parameters!$I$5=1,E59,0)</f>
        <v>0.0</v>
      </c>
      <c r="G59" s="7">
        <f>Parameters!$I$27*G58+F59</f>
        <v>0.0</v>
      </c>
      <c r="H59" s="7">
        <f>IF(AND(Parameters!$I$5=1,Parameters!$I$26=1),SUMPRODUCT(--($A$45:A59&lt;A59),--(MOD(A59-$A$45:A59,Parameters!$I$28)=0),$F$45:F59,POWER(Parameters!$I$27,IF(A59-$A$45:A59=0,1,A59-$A$45:A59))),0)</f>
        <v>0.0</v>
      </c>
      <c r="I59" s="7">
        <f>Parameters!$I$23*I58+B59*Parameters!$I$22</f>
        <v>0.0</v>
      </c>
      <c r="J59" s="7">
        <f>E59*Parameters!$I$14*(1-Parameters!$I$15)</f>
        <v>0.06551545906580576</v>
      </c>
      <c r="K59" s="7">
        <f>H59*Parameters!$I$29</f>
        <v>0.0</v>
      </c>
      <c r="L59" s="7">
        <f>I59*Parameters!$I$24</f>
        <v>0.0</v>
      </c>
      <c r="M59" s="7">
        <f>J59+K59+L59</f>
        <v>0.06551545906580576</v>
      </c>
      <c r="N59" s="7">
        <f>C59*Parameters!$I$17+D59*Parameters!$I$18+E59*Parameters!$I$16+I59*Parameters!$I$25+G59*Parameters!$I$30</f>
        <v>0.09921541032329106</v>
      </c>
      <c r="O59" s="7">
        <f>0</f>
        <v>0</v>
      </c>
      <c r="P59" s="7">
        <f>M59-N59-O59</f>
        <v>-0.0336999512574853</v>
      </c>
      <c r="Q59" s="7">
        <f>0</f>
        <v>0</v>
      </c>
      <c r="R59" s="7">
        <f>P59-Q59</f>
        <v>-0.0336999512574853</v>
      </c>
      <c r="S59" s="7">
        <f>IF(A59&lt;1+Parameters!$I$31,0,INDEX($M$45:$M$80,A59-Parameters!$I$31))</f>
        <v>0.07428056583424689</v>
      </c>
      <c r="T59" s="7">
        <f>T58+M59-S59</f>
        <v>0.06551545906580576</v>
      </c>
      <c r="U59" s="7">
        <f>S59-N59-O59-Q59</f>
        <v>-0.024934844489044178</v>
      </c>
      <c r="V59" s="7">
        <f>V58+U59</f>
        <v>-0.13007814515857896</v>
      </c>
      <c r="W59" s="7">
        <f>(1-Parameters!$I$7)*(C59-E59)+(1-Parameters!$I$8)*(D59+E59)</f>
        <v>0.02147295092024749</v>
      </c>
      <c r="X59" s="7">
        <f>Parameters!$I$7*(C59-E59)+Parameters!$I$8*Parameters!$I$9*(D59+E59)</f>
        <v>0.15206482867379126</v>
      </c>
      <c r="Y59" s="7">
        <f>Parameters!$I$8*(1-Parameters!$I$9)*(D59+E59)</f>
        <v>0.08696031806225409</v>
      </c>
      <c r="Z59" s="7">
        <f>POWER(1/(1+Parameters!$I$32),A59-1)*(M59-N59)</f>
        <v>-0.0293177096705507</v>
      </c>
    </row>
    <row r="60" spans="1:26">
      <c r="A60" s="7">
        <v>16</v>
      </c>
      <c r="B60" s="7">
        <f>0</f>
        <v>0</v>
      </c>
      <c r="C60" s="7">
        <f>X59+B60</f>
        <v>0.15206482867379126</v>
      </c>
      <c r="D60" s="7">
        <f>Y59</f>
        <v>0.08696031806225409</v>
      </c>
      <c r="E60" s="7">
        <f>Parameters!$I$6*C60</f>
        <v>0.003041296573475825</v>
      </c>
      <c r="F60" s="7">
        <f>IF(Parameters!$I$5=1,E60,0)</f>
        <v>0.0</v>
      </c>
      <c r="G60" s="7">
        <f>Parameters!$I$27*G59+F60</f>
        <v>0.0</v>
      </c>
      <c r="H60" s="7">
        <f>IF(AND(Parameters!$I$5=1,Parameters!$I$26=1),SUMPRODUCT(--($A$45:A60&lt;A60),--(MOD(A60-$A$45:A60,Parameters!$I$28)=0),$F$45:F60,POWER(Parameters!$I$27,IF(A60-$A$45:A60=0,1,A60-$A$45:A60))),0)</f>
        <v>0.0</v>
      </c>
      <c r="I60" s="7">
        <f>Parameters!$I$23*I59+B60*Parameters!$I$22</f>
        <v>0.0</v>
      </c>
      <c r="J60" s="7">
        <f>E60*Parameters!$I$14*(1-Parameters!$I$15)</f>
        <v>0.057784634896040674</v>
      </c>
      <c r="K60" s="7">
        <f>H60*Parameters!$I$29</f>
        <v>0.0</v>
      </c>
      <c r="L60" s="7">
        <f>I60*Parameters!$I$24</f>
        <v>0.0</v>
      </c>
      <c r="M60" s="7">
        <f>J60+K60+L60</f>
        <v>0.057784634896040674</v>
      </c>
      <c r="N60" s="7">
        <f>C60*Parameters!$I$17+D60*Parameters!$I$18+E60*Parameters!$I$16+I60*Parameters!$I$25+G60*Parameters!$I$30</f>
        <v>0.09214090420674023</v>
      </c>
      <c r="O60" s="7">
        <f>0</f>
        <v>0</v>
      </c>
      <c r="P60" s="7">
        <f>M60-N60-O60</f>
        <v>-0.03435626931069956</v>
      </c>
      <c r="Q60" s="7">
        <f>0</f>
        <v>0</v>
      </c>
      <c r="R60" s="7">
        <f>P60-Q60</f>
        <v>-0.03435626931069956</v>
      </c>
      <c r="S60" s="7">
        <f>IF(A60&lt;1+Parameters!$I$31,0,INDEX($M$45:$M$80,A60-Parameters!$I$31))</f>
        <v>0.06551545906580576</v>
      </c>
      <c r="T60" s="7">
        <f>T59+M60-S60</f>
        <v>0.057784634896040674</v>
      </c>
      <c r="U60" s="7">
        <f>S60-N60-O60-Q60</f>
        <v>-0.02662544514093447</v>
      </c>
      <c r="V60" s="7">
        <f>V59+U60</f>
        <v>-0.15670359029951342</v>
      </c>
      <c r="W60" s="7">
        <f>(1-Parameters!$I$7)*(C60-E60)+(1-Parameters!$I$8)*(D60+E60)</f>
        <v>0.01940243394181804</v>
      </c>
      <c r="X60" s="7">
        <f>Parameters!$I$7*(C60-E60)+Parameters!$I$8*Parameters!$I$9*(D60+E60)</f>
        <v>0.1341211788902839</v>
      </c>
      <c r="Y60" s="7">
        <f>Parameters!$I$8*(1-Parameters!$I$9)*(D60+E60)</f>
        <v>0.08550153390394341</v>
      </c>
      <c r="Z60" s="7">
        <f>POWER(1/(1+Parameters!$I$32),A60-1)*(M60-N60)</f>
        <v>-0.029592754527833415</v>
      </c>
    </row>
    <row r="61" spans="1:26">
      <c r="A61" s="7">
        <v>17</v>
      </c>
      <c r="B61" s="7">
        <f>0</f>
        <v>0</v>
      </c>
      <c r="C61" s="7">
        <f>X60+B61</f>
        <v>0.13412117889028388</v>
      </c>
      <c r="D61" s="7">
        <f>Y60</f>
        <v>0.08550153390394341</v>
      </c>
      <c r="E61" s="7">
        <f>Parameters!$I$6*C61</f>
        <v>0.0026824235778056776</v>
      </c>
      <c r="F61" s="7">
        <f>IF(Parameters!$I$5=1,E61,0)</f>
        <v>0.0</v>
      </c>
      <c r="G61" s="7">
        <f>Parameters!$I$27*G60+F61</f>
        <v>0.0</v>
      </c>
      <c r="H61" s="7">
        <f>IF(AND(Parameters!$I$5=1,Parameters!$I$26=1),SUMPRODUCT(--($A$45:A61&lt;A61),--(MOD(A61-$A$45:A61,Parameters!$I$28)=0),$F$45:F61,POWER(Parameters!$I$27,IF(A61-$A$45:A61=0,1,A61-$A$45:A61))),0)</f>
        <v>0.0</v>
      </c>
      <c r="I61" s="7">
        <f>Parameters!$I$23*I60+B61*Parameters!$I$22</f>
        <v>0.0</v>
      </c>
      <c r="J61" s="7">
        <f>E61*Parameters!$I$14*(1-Parameters!$I$15)</f>
        <v>0.05096604797830787</v>
      </c>
      <c r="K61" s="7">
        <f>H61*Parameters!$I$29</f>
        <v>0.0</v>
      </c>
      <c r="L61" s="7">
        <f>I61*Parameters!$I$24</f>
        <v>0.0</v>
      </c>
      <c r="M61" s="7">
        <f>J61+K61+L61</f>
        <v>0.05096604797830787</v>
      </c>
      <c r="N61" s="7">
        <f>C61*Parameters!$I$17+D61*Parameters!$I$18+E61*Parameters!$I$16+I61*Parameters!$I$25+G61*Parameters!$I$30</f>
        <v>0.08566954419686254</v>
      </c>
      <c r="O61" s="7">
        <f>0</f>
        <v>0</v>
      </c>
      <c r="P61" s="7">
        <f>M61-N61-O61</f>
        <v>-0.03470349621855467</v>
      </c>
      <c r="Q61" s="7">
        <f>0</f>
        <v>0</v>
      </c>
      <c r="R61" s="7">
        <f>P61-Q61</f>
        <v>-0.03470349621855467</v>
      </c>
      <c r="S61" s="7">
        <f>IF(A61&lt;1+Parameters!$I$31,0,INDEX($M$45:$M$80,A61-Parameters!$I$31))</f>
        <v>0.057784634896040674</v>
      </c>
      <c r="T61" s="7">
        <f>T60+M61-S61</f>
        <v>0.05096604797830787</v>
      </c>
      <c r="U61" s="7">
        <f>S61-N61-O61-Q61</f>
        <v>-0.027884909300821867</v>
      </c>
      <c r="V61" s="7">
        <f>V60+U61</f>
        <v>-0.1845884996003353</v>
      </c>
      <c r="W61" s="7">
        <f>(1-Parameters!$I$7)*(C61-E61)+(1-Parameters!$I$8)*(D61+E61)</f>
        <v>0.017553073405335275</v>
      </c>
      <c r="X61" s="7">
        <f>Parameters!$I$7*(C61-E61)+Parameters!$I$8*Parameters!$I$9*(D61+E61)</f>
        <v>0.11829487978123038</v>
      </c>
      <c r="Y61" s="7">
        <f>Parameters!$I$8*(1-Parameters!$I$9)*(D61+E61)</f>
        <v>0.08377475960766163</v>
      </c>
      <c r="Z61" s="7">
        <f>POWER(1/(1+Parameters!$I$32),A61-1)*(M61-N61)</f>
        <v>-0.029595879448079895</v>
      </c>
    </row>
    <row r="62" spans="1:26">
      <c r="A62" s="7">
        <v>18</v>
      </c>
      <c r="B62" s="7">
        <f>0</f>
        <v>0</v>
      </c>
      <c r="C62" s="7">
        <f>X61+B62</f>
        <v>0.11829487978123039</v>
      </c>
      <c r="D62" s="7">
        <f>Y61</f>
        <v>0.08377475960766162</v>
      </c>
      <c r="E62" s="7">
        <f>Parameters!$I$6*C62</f>
        <v>0.002365897595624608</v>
      </c>
      <c r="F62" s="7">
        <f>IF(Parameters!$I$5=1,E62,0)</f>
        <v>0.0</v>
      </c>
      <c r="G62" s="7">
        <f>Parameters!$I$27*G61+F62</f>
        <v>0.0</v>
      </c>
      <c r="H62" s="7">
        <f>IF(AND(Parameters!$I$5=1,Parameters!$I$26=1),SUMPRODUCT(--($A$45:A62&lt;A62),--(MOD(A62-$A$45:A62,Parameters!$I$28)=0),$F$45:F62,POWER(Parameters!$I$27,IF(A62-$A$45:A62=0,1,A62-$A$45:A62))),0)</f>
        <v>0.0</v>
      </c>
      <c r="I62" s="7">
        <f>Parameters!$I$23*I61+B62*Parameters!$I$22</f>
        <v>0.0</v>
      </c>
      <c r="J62" s="7">
        <f>E62*Parameters!$I$14*(1-Parameters!$I$15)</f>
        <v>0.044952054316867544</v>
      </c>
      <c r="K62" s="7">
        <f>H62*Parameters!$I$29</f>
        <v>0.0</v>
      </c>
      <c r="L62" s="7">
        <f>I62*Parameters!$I$24</f>
        <v>0.0</v>
      </c>
      <c r="M62" s="7">
        <f>J62+K62+L62</f>
        <v>0.044952054316867544</v>
      </c>
      <c r="N62" s="7">
        <f>C62*Parameters!$I$17+D62*Parameters!$I$18+E62*Parameters!$I$16+I62*Parameters!$I$25+G62*Parameters!$I$30</f>
        <v>0.07974174133382453</v>
      </c>
      <c r="O62" s="7">
        <f>0</f>
        <v>0</v>
      </c>
      <c r="P62" s="7">
        <f>M62-N62-O62</f>
        <v>-0.034789687016956984</v>
      </c>
      <c r="Q62" s="7">
        <f>0</f>
        <v>0</v>
      </c>
      <c r="R62" s="7">
        <f>P62-Q62</f>
        <v>-0.034789687016956984</v>
      </c>
      <c r="S62" s="7">
        <f>IF(A62&lt;1+Parameters!$I$31,0,INDEX($M$45:$M$80,A62-Parameters!$I$31))</f>
        <v>0.05096604797830787</v>
      </c>
      <c r="T62" s="7">
        <f>T61+M62-S62</f>
        <v>0.044952054316867544</v>
      </c>
      <c r="U62" s="7">
        <f>S62-N62-O62-Q62</f>
        <v>-0.028775693355516656</v>
      </c>
      <c r="V62" s="7">
        <f>V61+U62</f>
        <v>-0.21336419295585196</v>
      </c>
      <c r="W62" s="7">
        <f>(1-Parameters!$I$7)*(C62-E62)+(1-Parameters!$I$8)*(D62+E62)</f>
        <v>0.01589993107872489</v>
      </c>
      <c r="X62" s="7">
        <f>Parameters!$I$7*(C62-E62)+Parameters!$I$8*Parameters!$I$9*(D62+E62)</f>
        <v>0.1043360839670452</v>
      </c>
      <c r="Y62" s="7">
        <f>Parameters!$I$8*(1-Parameters!$I$9)*(D62+E62)</f>
        <v>0.08183362434312191</v>
      </c>
      <c r="Z62" s="7">
        <f>POWER(1/(1+Parameters!$I$32),A62-1)*(M62-N62)</f>
        <v>-0.029375628508479135</v>
      </c>
    </row>
    <row r="63" spans="1:26">
      <c r="A63" s="7">
        <v>19</v>
      </c>
      <c r="B63" s="7">
        <f>0</f>
        <v>0</v>
      </c>
      <c r="C63" s="7">
        <f>X62+B63</f>
        <v>0.1043360839670452</v>
      </c>
      <c r="D63" s="7">
        <f>Y62</f>
        <v>0.08183362434312191</v>
      </c>
      <c r="E63" s="7">
        <f>Parameters!$I$6*C63</f>
        <v>0.002086721679340904</v>
      </c>
      <c r="F63" s="7">
        <f>IF(Parameters!$I$5=1,E63,0)</f>
        <v>0.0</v>
      </c>
      <c r="G63" s="7">
        <f>Parameters!$I$27*G62+F63</f>
        <v>0.0</v>
      </c>
      <c r="H63" s="7">
        <f>IF(AND(Parameters!$I$5=1,Parameters!$I$26=1),SUMPRODUCT(--($A$45:A63&lt;A63),--(MOD(A63-$A$45:A63,Parameters!$I$28)=0),$F$45:F63,POWER(Parameters!$I$27,IF(A63-$A$45:A63=0,1,A63-$A$45:A63))),0)</f>
        <v>0.0</v>
      </c>
      <c r="I63" s="7">
        <f>Parameters!$I$23*I62+B63*Parameters!$I$22</f>
        <v>0.0</v>
      </c>
      <c r="J63" s="7">
        <f>E63*Parameters!$I$14*(1-Parameters!$I$15)</f>
        <v>0.03964771190747718</v>
      </c>
      <c r="K63" s="7">
        <f>H63*Parameters!$I$29</f>
        <v>0.0</v>
      </c>
      <c r="L63" s="7">
        <f>I63*Parameters!$I$24</f>
        <v>0.0</v>
      </c>
      <c r="M63" s="7">
        <f>J63+K63+L63</f>
        <v>0.03964771190747718</v>
      </c>
      <c r="N63" s="7">
        <f>C63*Parameters!$I$17+D63*Parameters!$I$18+E63*Parameters!$I$16+I63*Parameters!$I$25+G63*Parameters!$I$30</f>
        <v>0.07430435904101543</v>
      </c>
      <c r="O63" s="7">
        <f>0</f>
        <v>0</v>
      </c>
      <c r="P63" s="7">
        <f>M63-N63-O63</f>
        <v>-0.03465664713353825</v>
      </c>
      <c r="Q63" s="7">
        <f>0</f>
        <v>0</v>
      </c>
      <c r="R63" s="7">
        <f>P63-Q63</f>
        <v>-0.03465664713353825</v>
      </c>
      <c r="S63" s="7">
        <f>IF(A63&lt;1+Parameters!$I$31,0,INDEX($M$45:$M$80,A63-Parameters!$I$31))</f>
        <v>0.044952054316867544</v>
      </c>
      <c r="T63" s="7">
        <f>T62+M63-S63</f>
        <v>0.03964771190747718</v>
      </c>
      <c r="U63" s="7">
        <f>S63-N63-O63-Q63</f>
        <v>-0.029352304724147883</v>
      </c>
      <c r="V63" s="7">
        <f>V62+U63</f>
        <v>-0.24271649767999984</v>
      </c>
      <c r="W63" s="7">
        <f>(1-Parameters!$I$7)*(C63-E63)+(1-Parameters!$I$8)*(D63+E63)</f>
        <v>0.014420953529893574</v>
      </c>
      <c r="X63" s="7">
        <f>Parameters!$I$7*(C63-E63)+Parameters!$I$8*Parameters!$I$9*(D63+E63)</f>
        <v>0.09202442605893388</v>
      </c>
      <c r="Y63" s="7">
        <f>Parameters!$I$8*(1-Parameters!$I$9)*(D63+E63)</f>
        <v>0.07972432872133967</v>
      </c>
      <c r="Z63" s="7">
        <f>POWER(1/(1+Parameters!$I$32),A63-1)*(M63-N63)</f>
        <v>-0.028973557055448466</v>
      </c>
    </row>
    <row r="64" spans="1:26">
      <c r="A64" s="7">
        <v>20</v>
      </c>
      <c r="B64" s="7">
        <f>0</f>
        <v>0</v>
      </c>
      <c r="C64" s="7">
        <f>X63+B64</f>
        <v>0.09202442605893386</v>
      </c>
      <c r="D64" s="7">
        <f>Y63</f>
        <v>0.07972432872133968</v>
      </c>
      <c r="E64" s="7">
        <f>Parameters!$I$6*C64</f>
        <v>0.0018404885211786774</v>
      </c>
      <c r="F64" s="7">
        <f>IF(Parameters!$I$5=1,E64,0)</f>
        <v>0.0</v>
      </c>
      <c r="G64" s="7">
        <f>Parameters!$I$27*G63+F64</f>
        <v>0.0</v>
      </c>
      <c r="H64" s="7">
        <f>IF(AND(Parameters!$I$5=1,Parameters!$I$26=1),SUMPRODUCT(--($A$45:A64&lt;A64),--(MOD(A64-$A$45:A64,Parameters!$I$28)=0),$F$45:F64,POWER(Parameters!$I$27,IF(A64-$A$45:A64=0,1,A64-$A$45:A64))),0)</f>
        <v>0.0</v>
      </c>
      <c r="I64" s="7">
        <f>Parameters!$I$23*I63+B64*Parameters!$I$22</f>
        <v>0.0</v>
      </c>
      <c r="J64" s="7">
        <f>E64*Parameters!$I$14*(1-Parameters!$I$15)</f>
        <v>0.03496928190239487</v>
      </c>
      <c r="K64" s="7">
        <f>H64*Parameters!$I$29</f>
        <v>0.0</v>
      </c>
      <c r="L64" s="7">
        <f>I64*Parameters!$I$24</f>
        <v>0.0</v>
      </c>
      <c r="M64" s="7">
        <f>J64+K64+L64</f>
        <v>0.03496928190239487</v>
      </c>
      <c r="N64" s="7">
        <f>C64*Parameters!$I$17+D64*Parameters!$I$18+E64*Parameters!$I$16+I64*Parameters!$I$25+G64*Parameters!$I$30</f>
        <v>0.06930998069952866</v>
      </c>
      <c r="O64" s="7">
        <f>0</f>
        <v>0</v>
      </c>
      <c r="P64" s="7">
        <f>M64-N64-O64</f>
        <v>-0.03434069879713379</v>
      </c>
      <c r="Q64" s="7">
        <f>0</f>
        <v>0</v>
      </c>
      <c r="R64" s="7">
        <f>P64-Q64</f>
        <v>-0.03434069879713379</v>
      </c>
      <c r="S64" s="7">
        <f>IF(A64&lt;1+Parameters!$I$31,0,INDEX($M$45:$M$80,A64-Parameters!$I$31))</f>
        <v>0.03964771190747718</v>
      </c>
      <c r="T64" s="7">
        <f>T63+M64-S64</f>
        <v>0.03496928190239487</v>
      </c>
      <c r="U64" s="7">
        <f>S64-N64-O64-Q64</f>
        <v>-0.029662268792051485</v>
      </c>
      <c r="V64" s="7">
        <f>V63+U64</f>
        <v>-0.27237876647205134</v>
      </c>
      <c r="W64" s="7">
        <f>(1-Parameters!$I$7)*(C64-E64)+(1-Parameters!$I$8)*(D64+E64)</f>
        <v>0.013096634615901439</v>
      </c>
      <c r="X64" s="7">
        <f>Parameters!$I$7*(C64-E64)+Parameters!$I$8*Parameters!$I$9*(D64+E64)</f>
        <v>0.08116554378397968</v>
      </c>
      <c r="Y64" s="7">
        <f>Parameters!$I$8*(1-Parameters!$I$9)*(D64+E64)</f>
        <v>0.07748657638039243</v>
      </c>
      <c r="Z64" s="7">
        <f>POWER(1/(1+Parameters!$I$32),A64-1)*(M64-N64)</f>
        <v>-0.028425167104776706</v>
      </c>
    </row>
    <row r="65" spans="1:26">
      <c r="A65" s="7">
        <v>21</v>
      </c>
      <c r="B65" s="7">
        <f>0</f>
        <v>0</v>
      </c>
      <c r="C65" s="7">
        <f>X64+B65</f>
        <v>0.08116554378397967</v>
      </c>
      <c r="D65" s="7">
        <f>Y64</f>
        <v>0.07748657638039243</v>
      </c>
      <c r="E65" s="7">
        <f>Parameters!$I$6*C65</f>
        <v>0.0016233108756795933</v>
      </c>
      <c r="F65" s="7">
        <f>IF(Parameters!$I$5=1,E65,0)</f>
        <v>0.0</v>
      </c>
      <c r="G65" s="7">
        <f>Parameters!$I$27*G64+F65</f>
        <v>0.0</v>
      </c>
      <c r="H65" s="7">
        <f>IF(AND(Parameters!$I$5=1,Parameters!$I$26=1),SUMPRODUCT(--($A$45:A65&lt;A65),--(MOD(A65-$A$45:A65,Parameters!$I$28)=0),$F$45:F65,POWER(Parameters!$I$27,IF(A65-$A$45:A65=0,1,A65-$A$45:A65))),0)</f>
        <v>0.0</v>
      </c>
      <c r="I65" s="7">
        <f>Parameters!$I$23*I64+B65*Parameters!$I$22</f>
        <v>0.0</v>
      </c>
      <c r="J65" s="7">
        <f>E65*Parameters!$I$14*(1-Parameters!$I$15)</f>
        <v>0.030842906637912275</v>
      </c>
      <c r="K65" s="7">
        <f>H65*Parameters!$I$29</f>
        <v>0.0</v>
      </c>
      <c r="L65" s="7">
        <f>I65*Parameters!$I$24</f>
        <v>0.0</v>
      </c>
      <c r="M65" s="7">
        <f>J65+K65+L65</f>
        <v>0.030842906637912275</v>
      </c>
      <c r="N65" s="7">
        <f>C65*Parameters!$I$17+D65*Parameters!$I$18+E65*Parameters!$I$16+I65*Parameters!$I$25+G65*Parameters!$I$30</f>
        <v>0.0647162622010697</v>
      </c>
      <c r="O65" s="7">
        <f>0</f>
        <v>0</v>
      </c>
      <c r="P65" s="7">
        <f>M65-N65-O65</f>
        <v>-0.033873355563157424</v>
      </c>
      <c r="Q65" s="7">
        <f>0</f>
        <v>0</v>
      </c>
      <c r="R65" s="7">
        <f>P65-Q65</f>
        <v>-0.033873355563157424</v>
      </c>
      <c r="S65" s="7">
        <f>IF(A65&lt;1+Parameters!$I$31,0,INDEX($M$45:$M$80,A65-Parameters!$I$31))</f>
        <v>0.03496928190239487</v>
      </c>
      <c r="T65" s="7">
        <f>T64+M65-S65</f>
        <v>0.030842906637912275</v>
      </c>
      <c r="U65" s="7">
        <f>S65-N65-O65-Q65</f>
        <v>-0.029746980298674827</v>
      </c>
      <c r="V65" s="7">
        <f>V64+U65</f>
        <v>-0.3021257467707262</v>
      </c>
      <c r="W65" s="7">
        <f>(1-Parameters!$I$7)*(C65-E65)+(1-Parameters!$I$8)*(D65+E65)</f>
        <v>0.01190971765363361</v>
      </c>
      <c r="X65" s="7">
        <f>Parameters!$I$7*(C65-E65)+Parameters!$I$8*Parameters!$I$9*(D65+E65)</f>
        <v>0.07158800961747007</v>
      </c>
      <c r="Y65" s="7">
        <f>Parameters!$I$8*(1-Parameters!$I$9)*(D65+E65)</f>
        <v>0.0751543928932684</v>
      </c>
      <c r="Z65" s="7">
        <f>POWER(1/(1+Parameters!$I$32),A65-1)*(M65-N65)</f>
        <v>-0.02776072124355473</v>
      </c>
    </row>
    <row r="66" spans="1:26">
      <c r="A66" s="7">
        <v>22</v>
      </c>
      <c r="B66" s="7">
        <f>0</f>
        <v>0</v>
      </c>
      <c r="C66" s="7">
        <f>X65+B66</f>
        <v>0.07158800961747007</v>
      </c>
      <c r="D66" s="7">
        <f>Y65</f>
        <v>0.07515439289326842</v>
      </c>
      <c r="E66" s="7">
        <f>Parameters!$I$6*C66</f>
        <v>0.0014317601923494014</v>
      </c>
      <c r="F66" s="7">
        <f>IF(Parameters!$I$5=1,E66,0)</f>
        <v>0.0</v>
      </c>
      <c r="G66" s="7">
        <f>Parameters!$I$27*G65+F66</f>
        <v>0.0</v>
      </c>
      <c r="H66" s="7">
        <f>IF(AND(Parameters!$I$5=1,Parameters!$I$26=1),SUMPRODUCT(--($A$45:A66&lt;A66),--(MOD(A66-$A$45:A66,Parameters!$I$28)=0),$F$45:F66,POWER(Parameters!$I$27,IF(A66-$A$45:A66=0,1,A66-$A$45:A66))),0)</f>
        <v>0.0</v>
      </c>
      <c r="I66" s="7">
        <f>Parameters!$I$23*I65+B66*Parameters!$I$22</f>
        <v>0.0</v>
      </c>
      <c r="J66" s="7">
        <f>E66*Parameters!$I$14*(1-Parameters!$I$15)</f>
        <v>0.027203443654638625</v>
      </c>
      <c r="K66" s="7">
        <f>H66*Parameters!$I$29</f>
        <v>0.0</v>
      </c>
      <c r="L66" s="7">
        <f>I66*Parameters!$I$24</f>
        <v>0.0</v>
      </c>
      <c r="M66" s="7">
        <f>J66+K66+L66</f>
        <v>0.027203443654638625</v>
      </c>
      <c r="N66" s="7">
        <f>C66*Parameters!$I$17+D66*Parameters!$I$18+E66*Parameters!$I$16+I66*Parameters!$I$25+G66*Parameters!$I$30</f>
        <v>0.06048535952422464</v>
      </c>
      <c r="O66" s="7">
        <f>0</f>
        <v>0</v>
      </c>
      <c r="P66" s="7">
        <f>M66-N66-O66</f>
        <v>-0.03328191586958601</v>
      </c>
      <c r="Q66" s="7">
        <f>0</f>
        <v>0</v>
      </c>
      <c r="R66" s="7">
        <f>P66-Q66</f>
        <v>-0.03328191586958601</v>
      </c>
      <c r="S66" s="7">
        <f>IF(A66&lt;1+Parameters!$I$31,0,INDEX($M$45:$M$80,A66-Parameters!$I$31))</f>
        <v>0.030842906637912275</v>
      </c>
      <c r="T66" s="7">
        <f>T65+M66-S66</f>
        <v>0.027203443654638625</v>
      </c>
      <c r="U66" s="7">
        <f>S66-N66-O66-Q66</f>
        <v>-0.029642452886312363</v>
      </c>
      <c r="V66" s="7">
        <f>V65+U66</f>
        <v>-0.3317681996570385</v>
      </c>
      <c r="W66" s="7">
        <f>(1-Parameters!$I$7)*(C66-E66)+(1-Parameters!$I$8)*(D66+E66)</f>
        <v>0.010844932596792959</v>
      </c>
      <c r="X66" s="7">
        <f>Parameters!$I$7*(C66-E66)+Parameters!$I$8*Parameters!$I$9*(D66+E66)</f>
        <v>0.0631406244826086</v>
      </c>
      <c r="Y66" s="7">
        <f>Parameters!$I$8*(1-Parameters!$I$9)*(D66+E66)</f>
        <v>0.07275684543133693</v>
      </c>
      <c r="Z66" s="7">
        <f>POWER(1/(1+Parameters!$I$32),A66-1)*(M66-N66)</f>
        <v>-0.0270059506070795</v>
      </c>
    </row>
    <row r="67" spans="1:26">
      <c r="A67" s="7">
        <v>23</v>
      </c>
      <c r="B67" s="7">
        <f>0</f>
        <v>0</v>
      </c>
      <c r="C67" s="7">
        <f>X66+B67</f>
        <v>0.0631406244826086</v>
      </c>
      <c r="D67" s="7">
        <f>Y66</f>
        <v>0.07275684543133693</v>
      </c>
      <c r="E67" s="7">
        <f>Parameters!$I$6*C67</f>
        <v>0.001262812489652172</v>
      </c>
      <c r="F67" s="7">
        <f>IF(Parameters!$I$5=1,E67,0)</f>
        <v>0.0</v>
      </c>
      <c r="G67" s="7">
        <f>Parameters!$I$27*G66+F67</f>
        <v>0.0</v>
      </c>
      <c r="H67" s="7">
        <f>IF(AND(Parameters!$I$5=1,Parameters!$I$26=1),SUMPRODUCT(--($A$45:A67&lt;A67),--(MOD(A67-$A$45:A67,Parameters!$I$28)=0),$F$45:F67,POWER(Parameters!$I$27,IF(A67-$A$45:A67=0,1,A67-$A$45:A67))),0)</f>
        <v>0.0</v>
      </c>
      <c r="I67" s="7">
        <f>Parameters!$I$23*I66+B67*Parameters!$I$22</f>
        <v>0.0</v>
      </c>
      <c r="J67" s="7">
        <f>E67*Parameters!$I$14*(1-Parameters!$I$15)</f>
        <v>0.023993437303391266</v>
      </c>
      <c r="K67" s="7">
        <f>H67*Parameters!$I$29</f>
        <v>0.0</v>
      </c>
      <c r="L67" s="7">
        <f>I67*Parameters!$I$24</f>
        <v>0.0</v>
      </c>
      <c r="M67" s="7">
        <f>J67+K67+L67</f>
        <v>0.023993437303391266</v>
      </c>
      <c r="N67" s="7">
        <f>C67*Parameters!$I$17+D67*Parameters!$I$18+E67*Parameters!$I$16+I67*Parameters!$I$25+G67*Parameters!$I$30</f>
        <v>0.056583422550103214</v>
      </c>
      <c r="O67" s="7">
        <f>0</f>
        <v>0</v>
      </c>
      <c r="P67" s="7">
        <f>M67-N67-O67</f>
        <v>-0.032589985246711944</v>
      </c>
      <c r="Q67" s="7">
        <f>0</f>
        <v>0</v>
      </c>
      <c r="R67" s="7">
        <f>P67-Q67</f>
        <v>-0.032589985246711944</v>
      </c>
      <c r="S67" s="7">
        <f>IF(A67&lt;1+Parameters!$I$31,0,INDEX($M$45:$M$80,A67-Parameters!$I$31))</f>
        <v>0.027203443654638625</v>
      </c>
      <c r="T67" s="7">
        <f>T66+M67-S67</f>
        <v>0.023993437303391266</v>
      </c>
      <c r="U67" s="7">
        <f>S67-N67-O67-Q67</f>
        <v>-0.02937997889546459</v>
      </c>
      <c r="V67" s="7">
        <f>V66+U67</f>
        <v>-0.3611481785525031</v>
      </c>
      <c r="W67" s="7">
        <f>(1-Parameters!$I$7)*(C67-E67)+(1-Parameters!$I$8)*(D67+E67)</f>
        <v>0.009888764095345098</v>
      </c>
      <c r="X67" s="7">
        <f>Parameters!$I$7*(C67-E67)+Parameters!$I$8*Parameters!$I$9*(D67+E67)</f>
        <v>0.055690030793660784</v>
      </c>
      <c r="Y67" s="7">
        <f>Parameters!$I$8*(1-Parameters!$I$9)*(D67+E67)</f>
        <v>0.07031867502493963</v>
      </c>
      <c r="Z67" s="7">
        <f>POWER(1/(1+Parameters!$I$32),A67-1)*(M67-N67)</f>
        <v>-0.026182670519867477</v>
      </c>
    </row>
    <row r="68" spans="1:26">
      <c r="A68" s="7">
        <v>24</v>
      </c>
      <c r="B68" s="7">
        <f>0</f>
        <v>0</v>
      </c>
      <c r="C68" s="7">
        <f>X67+B68</f>
        <v>0.055690030793660784</v>
      </c>
      <c r="D68" s="7">
        <f>Y67</f>
        <v>0.07031867502493963</v>
      </c>
      <c r="E68" s="7">
        <f>Parameters!$I$6*C68</f>
        <v>0.0011138006158732158</v>
      </c>
      <c r="F68" s="7">
        <f>IF(Parameters!$I$5=1,E68,0)</f>
        <v>0.0</v>
      </c>
      <c r="G68" s="7">
        <f>Parameters!$I$27*G67+F68</f>
        <v>0.0</v>
      </c>
      <c r="H68" s="7">
        <f>IF(AND(Parameters!$I$5=1,Parameters!$I$26=1),SUMPRODUCT(--($A$45:A68&lt;A68),--(MOD(A68-$A$45:A68,Parameters!$I$28)=0),$F$45:F68,POWER(Parameters!$I$27,IF(A68-$A$45:A68=0,1,A68-$A$45:A68))),0)</f>
        <v>0.0</v>
      </c>
      <c r="I68" s="7">
        <f>Parameters!$I$23*I67+B68*Parameters!$I$22</f>
        <v>0.0</v>
      </c>
      <c r="J68" s="7">
        <f>E68*Parameters!$I$14*(1-Parameters!$I$15)</f>
        <v>0.0211622117015911</v>
      </c>
      <c r="K68" s="7">
        <f>H68*Parameters!$I$29</f>
        <v>0.0</v>
      </c>
      <c r="L68" s="7">
        <f>I68*Parameters!$I$24</f>
        <v>0.0</v>
      </c>
      <c r="M68" s="7">
        <f>J68+K68+L68</f>
        <v>0.0211622117015911</v>
      </c>
      <c r="N68" s="7">
        <f>C68*Parameters!$I$17+D68*Parameters!$I$18+E68*Parameters!$I$16+I68*Parameters!$I$25+G68*Parameters!$I$30</f>
        <v>0.052980147366441264</v>
      </c>
      <c r="O68" s="7">
        <f>0</f>
        <v>0</v>
      </c>
      <c r="P68" s="7">
        <f>M68-N68-O68</f>
        <v>-0.03181793566485017</v>
      </c>
      <c r="Q68" s="7">
        <f>0</f>
        <v>0</v>
      </c>
      <c r="R68" s="7">
        <f>P68-Q68</f>
        <v>-0.03181793566485017</v>
      </c>
      <c r="S68" s="7">
        <f>IF(A68&lt;1+Parameters!$I$31,0,INDEX($M$45:$M$80,A68-Parameters!$I$31))</f>
        <v>0.023993437303391266</v>
      </c>
      <c r="T68" s="7">
        <f>T67+M68-S68</f>
        <v>0.0211622117015911</v>
      </c>
      <c r="U68" s="7">
        <f>S68-N68-O68-Q68</f>
        <v>-0.028986710063049998</v>
      </c>
      <c r="V68" s="7">
        <f>V67+U68</f>
        <v>-0.39013488861555307</v>
      </c>
      <c r="W68" s="7">
        <f>(1-Parameters!$I$7)*(C68-E68)+(1-Parameters!$I$8)*(D68+E68)</f>
        <v>0.0090292467998194</v>
      </c>
      <c r="X68" s="7">
        <f>Parameters!$I$7*(C68-E68)+Parameters!$I$8*Parameters!$I$9*(D68+E68)</f>
        <v>0.04911860716000881</v>
      </c>
      <c r="Y68" s="7">
        <f>Parameters!$I$8*(1-Parameters!$I$9)*(D68+E68)</f>
        <v>0.06786085185877219</v>
      </c>
      <c r="Z68" s="7">
        <f>POWER(1/(1+Parameters!$I$32),A68-1)*(M68-N68)</f>
        <v>-0.025309315657924984</v>
      </c>
    </row>
    <row r="69" spans="1:26">
      <c r="A69" s="7">
        <v>25</v>
      </c>
      <c r="B69" s="7">
        <f>0</f>
        <v>0</v>
      </c>
      <c r="C69" s="7">
        <f>X68+B69</f>
        <v>0.04911860716000881</v>
      </c>
      <c r="D69" s="7">
        <f>Y68</f>
        <v>0.0678608518587722</v>
      </c>
      <c r="E69" s="7">
        <f>Parameters!$I$6*C69</f>
        <v>0.0009823721432001763</v>
      </c>
      <c r="F69" s="7">
        <f>IF(Parameters!$I$5=1,E69,0)</f>
        <v>0.0</v>
      </c>
      <c r="G69" s="7">
        <f>Parameters!$I$27*G68+F69</f>
        <v>0.0</v>
      </c>
      <c r="H69" s="7">
        <f>IF(AND(Parameters!$I$5=1,Parameters!$I$26=1),SUMPRODUCT(--($A$45:A69&lt;A69),--(MOD(A69-$A$45:A69,Parameters!$I$28)=0),$F$45:F69,POWER(Parameters!$I$27,IF(A69-$A$45:A69=0,1,A69-$A$45:A69))),0)</f>
        <v>0.0</v>
      </c>
      <c r="I69" s="7">
        <f>Parameters!$I$23*I68+B69*Parameters!$I$22</f>
        <v>0.0</v>
      </c>
      <c r="J69" s="7">
        <f>E69*Parameters!$I$14*(1-Parameters!$I$15)</f>
        <v>0.01866507072080335</v>
      </c>
      <c r="K69" s="7">
        <f>H69*Parameters!$I$29</f>
        <v>0.0</v>
      </c>
      <c r="L69" s="7">
        <f>I69*Parameters!$I$24</f>
        <v>0.0</v>
      </c>
      <c r="M69" s="7">
        <f>J69+K69+L69</f>
        <v>0.01866507072080335</v>
      </c>
      <c r="N69" s="7">
        <f>C69*Parameters!$I$17+D69*Parameters!$I$18+E69*Parameters!$I$16+I69*Parameters!$I$25+G69*Parameters!$I$30</f>
        <v>0.04964838022058892</v>
      </c>
      <c r="O69" s="7">
        <f>0</f>
        <v>0</v>
      </c>
      <c r="P69" s="7">
        <f>M69-N69-O69</f>
        <v>-0.03098330949978557</v>
      </c>
      <c r="Q69" s="7">
        <f>0</f>
        <v>0</v>
      </c>
      <c r="R69" s="7">
        <f>P69-Q69</f>
        <v>-0.03098330949978557</v>
      </c>
      <c r="S69" s="7">
        <f>IF(A69&lt;1+Parameters!$I$31,0,INDEX($M$45:$M$80,A69-Parameters!$I$31))</f>
        <v>0.0211622117015911</v>
      </c>
      <c r="T69" s="7">
        <f>T68+M69-S69</f>
        <v>0.01866507072080335</v>
      </c>
      <c r="U69" s="7">
        <f>S69-N69-O69-Q69</f>
        <v>-0.02848616851899782</v>
      </c>
      <c r="V69" s="7">
        <f>V68+U69</f>
        <v>-0.4186210571345509</v>
      </c>
      <c r="W69" s="7">
        <f>(1-Parameters!$I$7)*(C69-E69)+(1-Parameters!$I$8)*(D69+E69)</f>
        <v>0.008255784701779486</v>
      </c>
      <c r="X69" s="7">
        <f>Parameters!$I$7*(C69-E69)+Parameters!$I$8*Parameters!$I$9*(D69+E69)</f>
        <v>0.04332261151512778</v>
      </c>
      <c r="Y69" s="7">
        <f>Parameters!$I$8*(1-Parameters!$I$9)*(D69+E69)</f>
        <v>0.06540106280187377</v>
      </c>
      <c r="Z69" s="7">
        <f>POWER(1/(1+Parameters!$I$32),A69-1)*(M69-N69)</f>
        <v>-0.02440140507751672</v>
      </c>
    </row>
    <row r="70" spans="1:26">
      <c r="A70" s="7">
        <v>26</v>
      </c>
      <c r="B70" s="7">
        <f>0</f>
        <v>0</v>
      </c>
      <c r="C70" s="7">
        <f>X69+B70</f>
        <v>0.04332261151512777</v>
      </c>
      <c r="D70" s="7">
        <f>Y69</f>
        <v>0.06540106280187376</v>
      </c>
      <c r="E70" s="7">
        <f>Parameters!$I$6*C70</f>
        <v>0.0008664522303025554</v>
      </c>
      <c r="F70" s="7">
        <f>IF(Parameters!$I$5=1,E70,0)</f>
        <v>0.0</v>
      </c>
      <c r="G70" s="7">
        <f>Parameters!$I$27*G69+F70</f>
        <v>0.0</v>
      </c>
      <c r="H70" s="7">
        <f>IF(AND(Parameters!$I$5=1,Parameters!$I$26=1),SUMPRODUCT(--($A$45:A70&lt;A70),--(MOD(A70-$A$45:A70,Parameters!$I$28)=0),$F$45:F70,POWER(Parameters!$I$27,IF(A70-$A$45:A70=0,1,A70-$A$45:A70))),0)</f>
        <v>0.0</v>
      </c>
      <c r="I70" s="7">
        <f>Parameters!$I$23*I69+B70*Parameters!$I$22</f>
        <v>0.0</v>
      </c>
      <c r="J70" s="7">
        <f>E70*Parameters!$I$14*(1-Parameters!$I$15)</f>
        <v>0.016462592375748552</v>
      </c>
      <c r="K70" s="7">
        <f>H70*Parameters!$I$29</f>
        <v>0.0</v>
      </c>
      <c r="L70" s="7">
        <f>I70*Parameters!$I$24</f>
        <v>0.0</v>
      </c>
      <c r="M70" s="7">
        <f>J70+K70+L70</f>
        <v>0.016462592375748552</v>
      </c>
      <c r="N70" s="7">
        <f>C70*Parameters!$I$17+D70*Parameters!$I$18+E70*Parameters!$I$16+I70*Parameters!$I$25+G70*Parameters!$I$30</f>
        <v>0.046563767085777766</v>
      </c>
      <c r="O70" s="7">
        <f>0</f>
        <v>0</v>
      </c>
      <c r="P70" s="7">
        <f>M70-N70-O70</f>
        <v>-0.030101174710029214</v>
      </c>
      <c r="Q70" s="7">
        <f>0</f>
        <v>0</v>
      </c>
      <c r="R70" s="7">
        <f>P70-Q70</f>
        <v>-0.030101174710029214</v>
      </c>
      <c r="S70" s="7">
        <f>IF(A70&lt;1+Parameters!$I$31,0,INDEX($M$45:$M$80,A70-Parameters!$I$31))</f>
        <v>0.01866507072080335</v>
      </c>
      <c r="T70" s="7">
        <f>T69+M70-S70</f>
        <v>0.016462592375748552</v>
      </c>
      <c r="U70" s="7">
        <f>S70-N70-O70-Q70</f>
        <v>-0.027898696364974416</v>
      </c>
      <c r="V70" s="7">
        <f>V69+U70</f>
        <v>-0.44651975349952533</v>
      </c>
      <c r="W70" s="7">
        <f>(1-Parameters!$I$7)*(C70-E70)+(1-Parameters!$I$8)*(D70+E70)</f>
        <v>0.007558991680091339</v>
      </c>
      <c r="X70" s="7">
        <f>Parameters!$I$7*(C70-E70)+Parameters!$I$8*Parameters!$I$9*(D70+E70)</f>
        <v>0.03821054335634269</v>
      </c>
      <c r="Y70" s="7">
        <f>Parameters!$I$8*(1-Parameters!$I$9)*(D70+E70)</f>
        <v>0.06295413928056749</v>
      </c>
      <c r="Z70" s="7">
        <f>POWER(1/(1+Parameters!$I$32),A70-1)*(M70-N70)</f>
        <v>-0.023471946135923332</v>
      </c>
    </row>
    <row r="71" spans="1:26">
      <c r="A71" s="7">
        <v>27</v>
      </c>
      <c r="B71" s="7">
        <f>0</f>
        <v>0</v>
      </c>
      <c r="C71" s="7">
        <f>X70+B71</f>
        <v>0.03821054335634269</v>
      </c>
      <c r="D71" s="7">
        <f>Y70</f>
        <v>0.06295413928056749</v>
      </c>
      <c r="E71" s="7">
        <f>Parameters!$I$6*C71</f>
        <v>0.0007642108671268538</v>
      </c>
      <c r="F71" s="7">
        <f>IF(Parameters!$I$5=1,E71,0)</f>
        <v>0.0</v>
      </c>
      <c r="G71" s="7">
        <f>Parameters!$I$27*G70+F71</f>
        <v>0.0</v>
      </c>
      <c r="H71" s="7">
        <f>IF(AND(Parameters!$I$5=1,Parameters!$I$26=1),SUMPRODUCT(--($A$45:A71&lt;A71),--(MOD(A71-$A$45:A71,Parameters!$I$28)=0),$F$45:F71,POWER(Parameters!$I$27,IF(A71-$A$45:A71=0,1,A71-$A$45:A71))),0)</f>
        <v>0.0</v>
      </c>
      <c r="I71" s="7">
        <f>Parameters!$I$23*I70+B71*Parameters!$I$22</f>
        <v>0.0</v>
      </c>
      <c r="J71" s="7">
        <f>E71*Parameters!$I$14*(1-Parameters!$I$15)</f>
        <v>0.014520006475410222</v>
      </c>
      <c r="K71" s="7">
        <f>H71*Parameters!$I$29</f>
        <v>0.0</v>
      </c>
      <c r="L71" s="7">
        <f>I71*Parameters!$I$24</f>
        <v>0.0</v>
      </c>
      <c r="M71" s="7">
        <f>J71+K71+L71</f>
        <v>0.014520006475410222</v>
      </c>
      <c r="N71" s="7">
        <f>C71*Parameters!$I$17+D71*Parameters!$I$18+E71*Parameters!$I$16+I71*Parameters!$I$25+G71*Parameters!$I$30</f>
        <v>0.0437044435143134</v>
      </c>
      <c r="O71" s="7">
        <f>0</f>
        <v>0</v>
      </c>
      <c r="P71" s="7">
        <f>M71-N71-O71</f>
        <v>-0.02918443703890318</v>
      </c>
      <c r="Q71" s="7">
        <f>0</f>
        <v>0</v>
      </c>
      <c r="R71" s="7">
        <f>P71-Q71</f>
        <v>-0.02918443703890318</v>
      </c>
      <c r="S71" s="7">
        <f>IF(A71&lt;1+Parameters!$I$31,0,INDEX($M$45:$M$80,A71-Parameters!$I$31))</f>
        <v>0.016462592375748552</v>
      </c>
      <c r="T71" s="7">
        <f>T70+M71-S71</f>
        <v>0.014520006475410222</v>
      </c>
      <c r="U71" s="7">
        <f>S71-N71-O71-Q71</f>
        <v>-0.027241851138564848</v>
      </c>
      <c r="V71" s="7">
        <f>V70+U71</f>
        <v>-0.4737616046380902</v>
      </c>
      <c r="W71" s="7">
        <f>(1-Parameters!$I$7)*(C71-E71)+(1-Parameters!$I$8)*(D71+E71)</f>
        <v>0.006930550756306304</v>
      </c>
      <c r="X71" s="7">
        <f>Parameters!$I$7*(C71-E71)+Parameters!$I$8*Parameters!$I$9*(D71+E71)</f>
        <v>0.03370169924029426</v>
      </c>
      <c r="Y71" s="7">
        <f>Parameters!$I$8*(1-Parameters!$I$9)*(D71+E71)</f>
        <v>0.06053243264030963</v>
      </c>
      <c r="Z71" s="7">
        <f>POWER(1/(1+Parameters!$I$32),A71-1)*(M71-N71)</f>
        <v>-0.02253178517769865</v>
      </c>
    </row>
    <row r="72" spans="1:26">
      <c r="A72" s="7">
        <v>28</v>
      </c>
      <c r="B72" s="7">
        <f>0</f>
        <v>0</v>
      </c>
      <c r="C72" s="7">
        <f>X71+B72</f>
        <v>0.03370169924029425</v>
      </c>
      <c r="D72" s="7">
        <f>Y71</f>
        <v>0.06053243264030962</v>
      </c>
      <c r="E72" s="7">
        <f>Parameters!$I$6*C72</f>
        <v>0.000674033984805885</v>
      </c>
      <c r="F72" s="7">
        <f>IF(Parameters!$I$5=1,E72,0)</f>
        <v>0.0</v>
      </c>
      <c r="G72" s="7">
        <f>Parameters!$I$27*G71+F72</f>
        <v>0.0</v>
      </c>
      <c r="H72" s="7">
        <f>IF(AND(Parameters!$I$5=1,Parameters!$I$26=1),SUMPRODUCT(--($A$45:A72&lt;A72),--(MOD(A72-$A$45:A72,Parameters!$I$28)=0),$F$45:F72,POWER(Parameters!$I$27,IF(A72-$A$45:A72=0,1,A72-$A$45:A72))),0)</f>
        <v>0.0</v>
      </c>
      <c r="I72" s="7">
        <f>Parameters!$I$23*I71+B72*Parameters!$I$22</f>
        <v>0.0</v>
      </c>
      <c r="J72" s="7">
        <f>E72*Parameters!$I$14*(1-Parameters!$I$15)</f>
        <v>0.012806645711311815</v>
      </c>
      <c r="K72" s="7">
        <f>H72*Parameters!$I$29</f>
        <v>0.0</v>
      </c>
      <c r="L72" s="7">
        <f>I72*Parameters!$I$24</f>
        <v>0.0</v>
      </c>
      <c r="M72" s="7">
        <f>J72+K72+L72</f>
        <v>0.012806645711311815</v>
      </c>
      <c r="N72" s="7">
        <f>C72*Parameters!$I$17+D72*Parameters!$I$18+E72*Parameters!$I$16+I72*Parameters!$I$25+G72*Parameters!$I$30</f>
        <v>0.04105076007704898</v>
      </c>
      <c r="O72" s="7">
        <f>0</f>
        <v>0</v>
      </c>
      <c r="P72" s="7">
        <f>M72-N72-O72</f>
        <v>-0.028244114365737163</v>
      </c>
      <c r="Q72" s="7">
        <f>0</f>
        <v>0</v>
      </c>
      <c r="R72" s="7">
        <f>P72-Q72</f>
        <v>-0.028244114365737163</v>
      </c>
      <c r="S72" s="7">
        <f>IF(A72&lt;1+Parameters!$I$31,0,INDEX($M$45:$M$80,A72-Parameters!$I$31))</f>
        <v>0.014520006475410222</v>
      </c>
      <c r="T72" s="7">
        <f>T71+M72-S72</f>
        <v>0.012806645711311815</v>
      </c>
      <c r="U72" s="7">
        <f>S72-N72-O72-Q72</f>
        <v>-0.026530753601638757</v>
      </c>
      <c r="V72" s="7">
        <f>V71+U72</f>
        <v>-0.500292358239729</v>
      </c>
      <c r="W72" s="7">
        <f>(1-Parameters!$I$7)*(C72-E72)+(1-Parameters!$I$8)*(D72+E72)</f>
        <v>0.006363089856804614</v>
      </c>
      <c r="X72" s="7">
        <f>Parameters!$I$7*(C72-E72)+Parameters!$I$8*Parameters!$I$9*(D72+E72)</f>
        <v>0.02972489872993953</v>
      </c>
      <c r="Y72" s="7">
        <f>Parameters!$I$8*(1-Parameters!$I$9)*(D72+E72)</f>
        <v>0.05814614329385973</v>
      </c>
      <c r="Z72" s="7">
        <f>POWER(1/(1+Parameters!$I$32),A72-1)*(M72-N72)</f>
        <v>-0.021589911854435075</v>
      </c>
    </row>
    <row r="73" spans="1:26">
      <c r="A73" s="7">
        <v>29</v>
      </c>
      <c r="B73" s="7">
        <f>0</f>
        <v>0</v>
      </c>
      <c r="C73" s="7">
        <f>X72+B73</f>
        <v>0.02972489872993953</v>
      </c>
      <c r="D73" s="7">
        <f>Y72</f>
        <v>0.05814614329385973</v>
      </c>
      <c r="E73" s="7">
        <f>Parameters!$I$6*C73</f>
        <v>0.0005944979745987906</v>
      </c>
      <c r="F73" s="7">
        <f>IF(Parameters!$I$5=1,E73,0)</f>
        <v>0.0</v>
      </c>
      <c r="G73" s="7">
        <f>Parameters!$I$27*G72+F73</f>
        <v>0.0</v>
      </c>
      <c r="H73" s="7">
        <f>IF(AND(Parameters!$I$5=1,Parameters!$I$26=1),SUMPRODUCT(--($A$45:A73&lt;A73),--(MOD(A73-$A$45:A73,Parameters!$I$28)=0),$F$45:F73,POWER(Parameters!$I$27,IF(A73-$A$45:A73=0,1,A73-$A$45:A73))),0)</f>
        <v>0.0</v>
      </c>
      <c r="I73" s="7">
        <f>Parameters!$I$23*I72+B73*Parameters!$I$22</f>
        <v>0.0</v>
      </c>
      <c r="J73" s="7">
        <f>E73*Parameters!$I$14*(1-Parameters!$I$15)</f>
        <v>0.011295461517377021</v>
      </c>
      <c r="K73" s="7">
        <f>H73*Parameters!$I$29</f>
        <v>0.0</v>
      </c>
      <c r="L73" s="7">
        <f>I73*Parameters!$I$24</f>
        <v>0.0</v>
      </c>
      <c r="M73" s="7">
        <f>J73+K73+L73</f>
        <v>0.011295461517377021</v>
      </c>
      <c r="N73" s="7">
        <f>C73*Parameters!$I$17+D73*Parameters!$I$18+E73*Parameters!$I$16+I73*Parameters!$I$25+G73*Parameters!$I$30</f>
        <v>0.038585039240510516</v>
      </c>
      <c r="O73" s="7">
        <f>0</f>
        <v>0</v>
      </c>
      <c r="P73" s="7">
        <f>M73-N73-O73</f>
        <v>-0.027289577723133493</v>
      </c>
      <c r="Q73" s="7">
        <f>0</f>
        <v>0</v>
      </c>
      <c r="R73" s="7">
        <f>P73-Q73</f>
        <v>-0.027289577723133493</v>
      </c>
      <c r="S73" s="7">
        <f>IF(A73&lt;1+Parameters!$I$31,0,INDEX($M$45:$M$80,A73-Parameters!$I$31))</f>
        <v>0.012806645711311815</v>
      </c>
      <c r="T73" s="7">
        <f>T72+M73-S73</f>
        <v>0.011295461517377021</v>
      </c>
      <c r="U73" s="7">
        <f>S73-N73-O73-Q73</f>
        <v>-0.025778393529198702</v>
      </c>
      <c r="V73" s="7">
        <f>V72+U73</f>
        <v>-0.5260707517689277</v>
      </c>
      <c r="W73" s="7">
        <f>(1-Parameters!$I$7)*(C73-E73)+(1-Parameters!$I$8)*(D73+E73)</f>
        <v>0.005850072138957002</v>
      </c>
      <c r="X73" s="7">
        <f>Parameters!$I$7*(C73-E73)+Parameters!$I$8*Parameters!$I$9*(D73+E73)</f>
        <v>0.026217360679806664</v>
      </c>
      <c r="Y73" s="7">
        <f>Parameters!$I$8*(1-Parameters!$I$9)*(D73+E73)</f>
        <v>0.0558036092050356</v>
      </c>
      <c r="Z73" s="7">
        <f>POWER(1/(1+Parameters!$I$32),A73-1)*(M73-N73)</f>
        <v>-0.02065372306842917</v>
      </c>
    </row>
    <row r="74" spans="1:26">
      <c r="A74" s="7">
        <v>30</v>
      </c>
      <c r="B74" s="7">
        <f>0</f>
        <v>0</v>
      </c>
      <c r="C74" s="7">
        <f>X73+B74</f>
        <v>0.026217360679806664</v>
      </c>
      <c r="D74" s="7">
        <f>Y73</f>
        <v>0.0558036092050356</v>
      </c>
      <c r="E74" s="7">
        <f>Parameters!$I$6*C74</f>
        <v>0.0005243472135961333</v>
      </c>
      <c r="F74" s="7">
        <f>IF(Parameters!$I$5=1,E74,0)</f>
        <v>0.0</v>
      </c>
      <c r="G74" s="7">
        <f>Parameters!$I$27*G73+F74</f>
        <v>0.0</v>
      </c>
      <c r="H74" s="7">
        <f>IF(AND(Parameters!$I$5=1,Parameters!$I$26=1),SUMPRODUCT(--($A$45:A74&lt;A74),--(MOD(A74-$A$45:A74,Parameters!$I$28)=0),$F$45:F74,POWER(Parameters!$I$27,IF(A74-$A$45:A74=0,1,A74-$A$45:A74))),0)</f>
        <v>0.0</v>
      </c>
      <c r="I74" s="7">
        <f>Parameters!$I$23*I73+B74*Parameters!$I$22</f>
        <v>0.0</v>
      </c>
      <c r="J74" s="7">
        <f>E74*Parameters!$I$14*(1-Parameters!$I$15)</f>
        <v>0.009962597058326533</v>
      </c>
      <c r="K74" s="7">
        <f>H74*Parameters!$I$29</f>
        <v>0.0</v>
      </c>
      <c r="L74" s="7">
        <f>I74*Parameters!$I$24</f>
        <v>0.0</v>
      </c>
      <c r="M74" s="7">
        <f>J74+K74+L74</f>
        <v>0.009962597058326533</v>
      </c>
      <c r="N74" s="7">
        <f>C74*Parameters!$I$17+D74*Parameters!$I$18+E74*Parameters!$I$16+I74*Parameters!$I$25+G74*Parameters!$I$30</f>
        <v>0.03629136002005593</v>
      </c>
      <c r="O74" s="7">
        <f>0</f>
        <v>0</v>
      </c>
      <c r="P74" s="7">
        <f>M74-N74-O74</f>
        <v>-0.026328762961729396</v>
      </c>
      <c r="Q74" s="7">
        <f>0</f>
        <v>0</v>
      </c>
      <c r="R74" s="7">
        <f>P74-Q74</f>
        <v>-0.026328762961729396</v>
      </c>
      <c r="S74" s="7">
        <f>IF(A74&lt;1+Parameters!$I$31,0,INDEX($M$45:$M$80,A74-Parameters!$I$31))</f>
        <v>0.011295461517377021</v>
      </c>
      <c r="T74" s="7">
        <f>T73+M74-S74</f>
        <v>0.009962597058326533</v>
      </c>
      <c r="U74" s="7">
        <f>S74-N74-O74-Q74</f>
        <v>-0.024995898502678908</v>
      </c>
      <c r="V74" s="7">
        <f>V73+U74</f>
        <v>-0.5510666502716066</v>
      </c>
      <c r="W74" s="7">
        <f>(1-Parameters!$I$7)*(C74-E74)+(1-Parameters!$I$8)*(D74+E74)</f>
        <v>0.005385699167552642</v>
      </c>
      <c r="X74" s="7">
        <f>Parameters!$I$7*(C74-E74)+Parameters!$I$8*Parameters!$I$9*(D74+E74)</f>
        <v>0.02312371211958948</v>
      </c>
      <c r="Y74" s="7">
        <f>Parameters!$I$8*(1-Parameters!$I$9)*(D74+E74)</f>
        <v>0.05351155859770014</v>
      </c>
      <c r="Z74" s="7">
        <f>POWER(1/(1+Parameters!$I$32),A74-1)*(M74-N74)</f>
        <v>-0.019729251764674754</v>
      </c>
    </row>
    <row r="75" spans="1:26">
      <c r="A75" s="7">
        <v>31</v>
      </c>
      <c r="B75" s="7">
        <f>0</f>
        <v>0</v>
      </c>
      <c r="C75" s="7">
        <f>X74+B75</f>
        <v>0.02312371211958948</v>
      </c>
      <c r="D75" s="7">
        <f>Y74</f>
        <v>0.05351155859770014</v>
      </c>
      <c r="E75" s="7">
        <f>Parameters!$I$6*C75</f>
        <v>0.0004624742423917896</v>
      </c>
      <c r="F75" s="7">
        <f>IF(Parameters!$I$5=1,E75,0)</f>
        <v>0.0</v>
      </c>
      <c r="G75" s="7">
        <f>Parameters!$I$27*G74+F75</f>
        <v>0.0</v>
      </c>
      <c r="H75" s="7">
        <f>IF(AND(Parameters!$I$5=1,Parameters!$I$26=1),SUMPRODUCT(--($A$45:A75&lt;A75),--(MOD(A75-$A$45:A75,Parameters!$I$28)=0),$F$45:F75,POWER(Parameters!$I$27,IF(A75-$A$45:A75=0,1,A75-$A$45:A75))),0)</f>
        <v>0.0</v>
      </c>
      <c r="I75" s="7">
        <f>Parameters!$I$23*I74+B75*Parameters!$I$22</f>
        <v>0.0</v>
      </c>
      <c r="J75" s="7">
        <f>E75*Parameters!$I$14*(1-Parameters!$I$15)</f>
        <v>0.008787010605444002</v>
      </c>
      <c r="K75" s="7">
        <f>H75*Parameters!$I$29</f>
        <v>0.0</v>
      </c>
      <c r="L75" s="7">
        <f>I75*Parameters!$I$24</f>
        <v>0.0</v>
      </c>
      <c r="M75" s="7">
        <f>J75+K75+L75</f>
        <v>0.008787010605444002</v>
      </c>
      <c r="N75" s="7">
        <f>C75*Parameters!$I$17+D75*Parameters!$I$18+E75*Parameters!$I$16+I75*Parameters!$I$25+G75*Parameters!$I$30</f>
        <v>0.03415536717711871</v>
      </c>
      <c r="O75" s="7">
        <f>0</f>
        <v>0</v>
      </c>
      <c r="P75" s="7">
        <f>M75-N75-O75</f>
        <v>-0.025368356571674706</v>
      </c>
      <c r="Q75" s="7">
        <f>0</f>
        <v>0</v>
      </c>
      <c r="R75" s="7">
        <f>P75-Q75</f>
        <v>-0.025368356571674706</v>
      </c>
      <c r="S75" s="7">
        <f>IF(A75&lt;1+Parameters!$I$31,0,INDEX($M$45:$M$80,A75-Parameters!$I$31))</f>
        <v>0.009962597058326533</v>
      </c>
      <c r="T75" s="7">
        <f>T74+M75-S75</f>
        <v>0.008787010605444002</v>
      </c>
      <c r="U75" s="7">
        <f>S75-N75-O75-Q75</f>
        <v>-0.024192770118792173</v>
      </c>
      <c r="V75" s="7">
        <f>V74+U75</f>
        <v>-0.5752594203903988</v>
      </c>
      <c r="W75" s="7">
        <f>(1-Parameters!$I$7)*(C75-E75)+(1-Parameters!$I$8)*(D75+E75)</f>
        <v>0.004964825429724368</v>
      </c>
      <c r="X75" s="7">
        <f>Parameters!$I$7*(C75-E75)+Parameters!$I$8*Parameters!$I$9*(D75+E75)</f>
        <v>0.02039511408947792</v>
      </c>
      <c r="Y75" s="7">
        <f>Parameters!$I$8*(1-Parameters!$I$9)*(D75+E75)</f>
        <v>0.05127533119808733</v>
      </c>
      <c r="Z75" s="7">
        <f>POWER(1/(1+Parameters!$I$32),A75-1)*(M75-N75)</f>
        <v>-0.01882136512712106</v>
      </c>
    </row>
    <row r="76" spans="1:26">
      <c r="A76" s="7">
        <v>32</v>
      </c>
      <c r="B76" s="7">
        <f>0</f>
        <v>0</v>
      </c>
      <c r="C76" s="7">
        <f>X75+B76</f>
        <v>0.02039511408947792</v>
      </c>
      <c r="D76" s="7">
        <f>Y75</f>
        <v>0.05127533119808733</v>
      </c>
      <c r="E76" s="7">
        <f>Parameters!$I$6*C76</f>
        <v>0.0004079022817895584</v>
      </c>
      <c r="F76" s="7">
        <f>IF(Parameters!$I$5=1,E76,0)</f>
        <v>0.0</v>
      </c>
      <c r="G76" s="7">
        <f>Parameters!$I$27*G75+F76</f>
        <v>0.0</v>
      </c>
      <c r="H76" s="7">
        <f>IF(AND(Parameters!$I$5=1,Parameters!$I$26=1),SUMPRODUCT(--($A$45:A76&lt;A76),--(MOD(A76-$A$45:A76,Parameters!$I$28)=0),$F$45:F76,POWER(Parameters!$I$27,IF(A76-$A$45:A76=0,1,A76-$A$45:A76))),0)</f>
        <v>0.0</v>
      </c>
      <c r="I76" s="7">
        <f>Parameters!$I$23*I75+B76*Parameters!$I$22</f>
        <v>0.0</v>
      </c>
      <c r="J76" s="7">
        <f>E76*Parameters!$I$14*(1-Parameters!$I$15)</f>
        <v>0.00775014335400161</v>
      </c>
      <c r="K76" s="7">
        <f>H76*Parameters!$I$29</f>
        <v>0.0</v>
      </c>
      <c r="L76" s="7">
        <f>I76*Parameters!$I$24</f>
        <v>0.0</v>
      </c>
      <c r="M76" s="7">
        <f>J76+K76+L76</f>
        <v>0.00775014335400161</v>
      </c>
      <c r="N76" s="7">
        <f>C76*Parameters!$I$17+D76*Parameters!$I$18+E76*Parameters!$I$16+I76*Parameters!$I$25+G76*Parameters!$I$30</f>
        <v>0.0321641021076766</v>
      </c>
      <c r="O76" s="7">
        <f>0</f>
        <v>0</v>
      </c>
      <c r="P76" s="7">
        <f>M76-N76-O76</f>
        <v>-0.024413958753674986</v>
      </c>
      <c r="Q76" s="7">
        <f>0</f>
        <v>0</v>
      </c>
      <c r="R76" s="7">
        <f>P76-Q76</f>
        <v>-0.024413958753674986</v>
      </c>
      <c r="S76" s="7">
        <f>IF(A76&lt;1+Parameters!$I$31,0,INDEX($M$45:$M$80,A76-Parameters!$I$31))</f>
        <v>0.008787010605444002</v>
      </c>
      <c r="T76" s="7">
        <f>T75+M76-S76</f>
        <v>0.00775014335400161</v>
      </c>
      <c r="U76" s="7">
        <f>S76-N76-O76-Q76</f>
        <v>-0.023377091502232595</v>
      </c>
      <c r="V76" s="7">
        <f>V75+U76</f>
        <v>-0.5986365118926313</v>
      </c>
      <c r="W76" s="7">
        <f>(1-Parameters!$I$7)*(C76-E76)+(1-Parameters!$I$8)*(D76+E76)</f>
        <v>0.0045828828547626824</v>
      </c>
      <c r="X76" s="7">
        <f>Parameters!$I$7*(C76-E76)+Parameters!$I$8*Parameters!$I$9*(D76+E76)</f>
        <v>0.017988490626919526</v>
      </c>
      <c r="Y76" s="7">
        <f>Parameters!$I$8*(1-Parameters!$I$9)*(D76+E76)</f>
        <v>0.04909907180588304</v>
      </c>
      <c r="Z76" s="7">
        <f>POWER(1/(1+Parameters!$I$32),A76-1)*(M76-N76)</f>
        <v>-0.017933936151743612</v>
      </c>
    </row>
    <row r="77" spans="1:26">
      <c r="A77" s="7">
        <v>33</v>
      </c>
      <c r="B77" s="7">
        <f>0</f>
        <v>0</v>
      </c>
      <c r="C77" s="7">
        <f>X76+B77</f>
        <v>0.017988490626919526</v>
      </c>
      <c r="D77" s="7">
        <f>Y76</f>
        <v>0.04909907180588304</v>
      </c>
      <c r="E77" s="7">
        <f>Parameters!$I$6*C77</f>
        <v>0.00035976981253839054</v>
      </c>
      <c r="F77" s="7">
        <f>IF(Parameters!$I$5=1,E77,0)</f>
        <v>0.0</v>
      </c>
      <c r="G77" s="7">
        <f>Parameters!$I$27*G76+F77</f>
        <v>0.0</v>
      </c>
      <c r="H77" s="7">
        <f>IF(AND(Parameters!$I$5=1,Parameters!$I$26=1),SUMPRODUCT(--($A$45:A77&lt;A77),--(MOD(A77-$A$45:A77,Parameters!$I$28)=0),$F$45:F77,POWER(Parameters!$I$27,IF(A77-$A$45:A77=0,1,A77-$A$45:A77))),0)</f>
        <v>0.0</v>
      </c>
      <c r="I77" s="7">
        <f>Parameters!$I$23*I76+B77*Parameters!$I$22</f>
        <v>0.0</v>
      </c>
      <c r="J77" s="7">
        <f>E77*Parameters!$I$14*(1-Parameters!$I$15)</f>
        <v>0.00683562643822942</v>
      </c>
      <c r="K77" s="7">
        <f>H77*Parameters!$I$29</f>
        <v>0.0</v>
      </c>
      <c r="L77" s="7">
        <f>I77*Parameters!$I$24</f>
        <v>0.0</v>
      </c>
      <c r="M77" s="7">
        <f>J77+K77+L77</f>
        <v>0.00683562643822942</v>
      </c>
      <c r="N77" s="7">
        <f>C77*Parameters!$I$17+D77*Parameters!$I$18+E77*Parameters!$I$16+I77*Parameters!$I$25+G77*Parameters!$I$30</f>
        <v>0.03030585290355577</v>
      </c>
      <c r="O77" s="7">
        <f>0</f>
        <v>0</v>
      </c>
      <c r="P77" s="7">
        <f>M77-N77-O77</f>
        <v>-0.02347022646532635</v>
      </c>
      <c r="Q77" s="7">
        <f>0</f>
        <v>0</v>
      </c>
      <c r="R77" s="7">
        <f>P77-Q77</f>
        <v>-0.02347022646532635</v>
      </c>
      <c r="S77" s="7">
        <f>IF(A77&lt;1+Parameters!$I$31,0,INDEX($M$45:$M$80,A77-Parameters!$I$31))</f>
        <v>0.00775014335400161</v>
      </c>
      <c r="T77" s="7">
        <f>T76+M77-S77</f>
        <v>0.00683562643822942</v>
      </c>
      <c r="U77" s="7">
        <f>S77-N77-O77-Q77</f>
        <v>-0.02255570954955416</v>
      </c>
      <c r="V77" s="7">
        <f>V76+U77</f>
        <v>-0.6211922214421854</v>
      </c>
      <c r="W77" s="7">
        <f>(1-Parameters!$I$7)*(C77-E77)+(1-Parameters!$I$8)*(D77+E77)</f>
        <v>0.004235814162359187</v>
      </c>
      <c r="X77" s="7">
        <f>Parameters!$I$7*(C77-E77)+Parameters!$I$8*Parameters!$I$9*(D77+E77)</f>
        <v>0.015865848732943024</v>
      </c>
      <c r="Y77" s="7">
        <f>Parameters!$I$8*(1-Parameters!$I$9)*(D77+E77)</f>
        <v>0.04698589953750036</v>
      </c>
      <c r="Z77" s="7">
        <f>POWER(1/(1+Parameters!$I$32),A77-1)*(M77-N77)</f>
        <v>-0.017069992059876</v>
      </c>
    </row>
    <row r="78" spans="1:26">
      <c r="A78" s="7">
        <v>34</v>
      </c>
      <c r="B78" s="7">
        <f>0</f>
        <v>0</v>
      </c>
      <c r="C78" s="7">
        <f>X77+B78</f>
        <v>0.01586584873294302</v>
      </c>
      <c r="D78" s="7">
        <f>Y77</f>
        <v>0.046985899537500354</v>
      </c>
      <c r="E78" s="7">
        <f>Parameters!$I$6*C78</f>
        <v>0.0003173169746588604</v>
      </c>
      <c r="F78" s="7">
        <f>IF(Parameters!$I$5=1,E78,0)</f>
        <v>0.0</v>
      </c>
      <c r="G78" s="7">
        <f>Parameters!$I$27*G77+F78</f>
        <v>0.0</v>
      </c>
      <c r="H78" s="7">
        <f>IF(AND(Parameters!$I$5=1,Parameters!$I$26=1),SUMPRODUCT(--($A$45:A78&lt;A78),--(MOD(A78-$A$45:A78,Parameters!$I$28)=0),$F$45:F78,POWER(Parameters!$I$27,IF(A78-$A$45:A78=0,1,A78-$A$45:A78))),0)</f>
        <v>0.0</v>
      </c>
      <c r="I78" s="7">
        <f>Parameters!$I$23*I77+B78*Parameters!$I$22</f>
        <v>0.0</v>
      </c>
      <c r="J78" s="7">
        <f>E78*Parameters!$I$14*(1-Parameters!$I$15)</f>
        <v>0.006029022518518347</v>
      </c>
      <c r="K78" s="7">
        <f>H78*Parameters!$I$29</f>
        <v>0.0</v>
      </c>
      <c r="L78" s="7">
        <f>I78*Parameters!$I$24</f>
        <v>0.0</v>
      </c>
      <c r="M78" s="7">
        <f>J78+K78+L78</f>
        <v>0.006029022518518347</v>
      </c>
      <c r="N78" s="7">
        <f>C78*Parameters!$I$17+D78*Parameters!$I$18+E78*Parameters!$I$16+I78*Parameters!$I$25+G78*Parameters!$I$30</f>
        <v>0.028570021363291946</v>
      </c>
      <c r="O78" s="7">
        <f>0</f>
        <v>0</v>
      </c>
      <c r="P78" s="7">
        <f>M78-N78-O78</f>
        <v>-0.022540998844773598</v>
      </c>
      <c r="Q78" s="7">
        <f>0</f>
        <v>0</v>
      </c>
      <c r="R78" s="7">
        <f>P78-Q78</f>
        <v>-0.022540998844773598</v>
      </c>
      <c r="S78" s="7">
        <f>IF(A78&lt;1+Parameters!$I$31,0,INDEX($M$45:$M$80,A78-Parameters!$I$31))</f>
        <v>0.00683562643822942</v>
      </c>
      <c r="T78" s="7">
        <f>T77+M78-S78</f>
        <v>0.006029022518518347</v>
      </c>
      <c r="U78" s="7">
        <f>S78-N78-O78-Q78</f>
        <v>-0.021734394925062527</v>
      </c>
      <c r="V78" s="7">
        <f>V77+U78</f>
        <v>-0.642926616367248</v>
      </c>
      <c r="W78" s="7">
        <f>(1-Parameters!$I$7)*(C78-E78)+(1-Parameters!$I$8)*(D78+E78)</f>
        <v>0.003920014001436378</v>
      </c>
      <c r="X78" s="7">
        <f>Parameters!$I$7*(C78-E78)+Parameters!$I$8*Parameters!$I$9*(D78+E78)</f>
        <v>0.013993678582455744</v>
      </c>
      <c r="Y78" s="7">
        <f>Parameters!$I$8*(1-Parameters!$I$9)*(D78+E78)</f>
        <v>0.04493805568655125</v>
      </c>
      <c r="Z78" s="7">
        <f>POWER(1/(1+Parameters!$I$32),A78-1)*(M78-N78)</f>
        <v>-0.01623184257100655</v>
      </c>
    </row>
    <row r="79" spans="1:26">
      <c r="A79" s="7">
        <v>35</v>
      </c>
      <c r="B79" s="7">
        <f>0</f>
        <v>0</v>
      </c>
      <c r="C79" s="7">
        <f>X78+B79</f>
        <v>0.013993678582455744</v>
      </c>
      <c r="D79" s="7">
        <f>Y78</f>
        <v>0.04493805568655125</v>
      </c>
      <c r="E79" s="7">
        <f>Parameters!$I$6*C79</f>
        <v>0.0002798735716491149</v>
      </c>
      <c r="F79" s="7">
        <f>IF(Parameters!$I$5=1,E79,0)</f>
        <v>0.0</v>
      </c>
      <c r="G79" s="7">
        <f>Parameters!$I$27*G78+F79</f>
        <v>0.0</v>
      </c>
      <c r="H79" s="7">
        <f>IF(AND(Parameters!$I$5=1,Parameters!$I$26=1),SUMPRODUCT(--($A$45:A79&lt;A79),--(MOD(A79-$A$45:A79,Parameters!$I$28)=0),$F$45:F79,POWER(Parameters!$I$27,IF(A79-$A$45:A79=0,1,A79-$A$45:A79))),0)</f>
        <v>0.0</v>
      </c>
      <c r="I79" s="7">
        <f>Parameters!$I$23*I78+B79*Parameters!$I$22</f>
        <v>0.0</v>
      </c>
      <c r="J79" s="7">
        <f>E79*Parameters!$I$14*(1-Parameters!$I$15)</f>
        <v>0.005317597861333183</v>
      </c>
      <c r="K79" s="7">
        <f>H79*Parameters!$I$29</f>
        <v>0.0</v>
      </c>
      <c r="L79" s="7">
        <f>I79*Parameters!$I$24</f>
        <v>0.0</v>
      </c>
      <c r="M79" s="7">
        <f>J79+K79+L79</f>
        <v>0.005317597861333183</v>
      </c>
      <c r="N79" s="7">
        <f>C79*Parameters!$I$17+D79*Parameters!$I$18+E79*Parameters!$I$16+I79*Parameters!$I$25+G79*Parameters!$I$30</f>
        <v>0.026947004989661464</v>
      </c>
      <c r="O79" s="7">
        <f>0</f>
        <v>0</v>
      </c>
      <c r="P79" s="7">
        <f>M79-N79-O79</f>
        <v>-0.021629407128328282</v>
      </c>
      <c r="Q79" s="7">
        <f>0</f>
        <v>0</v>
      </c>
      <c r="R79" s="7">
        <f>P79-Q79</f>
        <v>-0.021629407128328282</v>
      </c>
      <c r="S79" s="7">
        <f>IF(A79&lt;1+Parameters!$I$31,0,INDEX($M$45:$M$80,A79-Parameters!$I$31))</f>
        <v>0.006029022518518347</v>
      </c>
      <c r="T79" s="7">
        <f>T78+M79-S79</f>
        <v>0.005317597861333183</v>
      </c>
      <c r="U79" s="7">
        <f>S79-N79-O79-Q79</f>
        <v>-0.020917982471143116</v>
      </c>
      <c r="V79" s="7">
        <f>V78+U79</f>
        <v>-0.6638445988383911</v>
      </c>
      <c r="W79" s="7">
        <f>(1-Parameters!$I$7)*(C79-E79)+(1-Parameters!$I$8)*(D79+E79)</f>
        <v>0.0036322769639906827</v>
      </c>
      <c r="X79" s="7">
        <f>Parameters!$I$7*(C79-E79)+Parameters!$I$8*Parameters!$I$9*(D79+E79)</f>
        <v>0.012342424509725966</v>
      </c>
      <c r="Y79" s="7">
        <f>Parameters!$I$8*(1-Parameters!$I$9)*(D79+E79)</f>
        <v>0.04295703279529035</v>
      </c>
      <c r="Z79" s="7">
        <f>POWER(1/(1+Parameters!$I$32),A79-1)*(M79-N79)</f>
        <v>-0.015421190666615766</v>
      </c>
    </row>
    <row r="80" spans="1:26">
      <c r="A80" s="7">
        <v>36</v>
      </c>
      <c r="B80" s="7">
        <f>0</f>
        <v>0</v>
      </c>
      <c r="C80" s="7">
        <f>X79+B80</f>
        <v>0.012342424509725966</v>
      </c>
      <c r="D80" s="7">
        <f>Y79</f>
        <v>0.04295703279529035</v>
      </c>
      <c r="E80" s="7">
        <f>Parameters!$I$6*C80</f>
        <v>0.00024684849019451934</v>
      </c>
      <c r="F80" s="7">
        <f>IF(Parameters!$I$5=1,E80,0)</f>
        <v>0.0</v>
      </c>
      <c r="G80" s="7">
        <f>Parameters!$I$27*G79+F80</f>
        <v>0.0</v>
      </c>
      <c r="H80" s="7">
        <f>IF(AND(Parameters!$I$5=1,Parameters!$I$26=1),SUMPRODUCT(--($A$45:A80&lt;A80),--(MOD(A80-$A$45:A80,Parameters!$I$28)=0),$F$45:F80,POWER(Parameters!$I$27,IF(A80-$A$45:A80=0,1,A80-$A$45:A80))),0)</f>
        <v>0.0</v>
      </c>
      <c r="I80" s="7">
        <f>Parameters!$I$23*I79+B80*Parameters!$I$22</f>
        <v>0.0</v>
      </c>
      <c r="J80" s="7">
        <f>E80*Parameters!$I$14*(1-Parameters!$I$15)</f>
        <v>0.004690121313695867</v>
      </c>
      <c r="K80" s="7">
        <f>H80*Parameters!$I$29</f>
        <v>0.0</v>
      </c>
      <c r="L80" s="7">
        <f>I80*Parameters!$I$24</f>
        <v>0.0</v>
      </c>
      <c r="M80" s="7">
        <f>J80+K80+L80</f>
        <v>0.004690121313695867</v>
      </c>
      <c r="N80" s="7">
        <f>C80*Parameters!$I$17+D80*Parameters!$I$18+E80*Parameters!$I$16+I80*Parameters!$I$25+G80*Parameters!$I$30</f>
        <v>0.02542809224075748</v>
      </c>
      <c r="O80" s="7">
        <f>0</f>
        <v>0</v>
      </c>
      <c r="P80" s="7">
        <f>M80-N80-O80</f>
        <v>-0.020737970927061613</v>
      </c>
      <c r="Q80" s="7">
        <f>0</f>
        <v>0</v>
      </c>
      <c r="R80" s="7">
        <f>P80-Q80</f>
        <v>-0.020737970927061613</v>
      </c>
      <c r="S80" s="7">
        <f>IF(A80&lt;1+Parameters!$I$31,0,INDEX($M$45:$M$80,A80-Parameters!$I$31))</f>
        <v>0.005317597861333183</v>
      </c>
      <c r="T80" s="7">
        <f>T79+M80-S80</f>
        <v>0.004690121313695867</v>
      </c>
      <c r="U80" s="7">
        <f>S80-N80-O80-Q80</f>
        <v>-0.020110494379424297</v>
      </c>
      <c r="V80" s="7">
        <f>V79+U80</f>
        <v>-0.6839550932178153</v>
      </c>
      <c r="W80" s="7">
        <f>(1-Parameters!$I$7)*(C80-E80)+(1-Parameters!$I$8)*(D80+E80)</f>
        <v>0.0033697516662273895</v>
      </c>
      <c r="X80" s="7">
        <f>Parameters!$I$7*(C80-E80)+Parameters!$I$8*Parameters!$I$9*(D80+E80)</f>
        <v>0.010886018417578303</v>
      </c>
      <c r="Y80" s="7">
        <f>Parameters!$I$8*(1-Parameters!$I$9)*(D80+E80)</f>
        <v>0.04104368722121062</v>
      </c>
      <c r="Z80" s="7">
        <f>POWER(1/(1+Parameters!$I$32),A80-1)*(M80-N80)</f>
        <v>-0.014639228138423777</v>
      </c>
    </row>
  </sheetData>
  <mergeCells count="3">
    <mergeCell ref="A1:Z1"/>
    <mergeCell ref="A2:Z2"/>
    <mergeCell ref="A43:Z4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Z80"/>
  <sheetViews>
    <sheetView showGridLines="0" zoomScale="85" zoomScaleNormal="85" workbookViewId="0">
      <pane xSplit="4" ySplit="4" topLeftCell="E5" activePane="bottomRight" state="frozen"/>
      <selection pane="topRight" activeCell="E1" sqref="E1"/>
      <selection pane="bottomLeft" activeCell="A5" sqref="A5"/>
      <selection pane="bottomRight"/>
    </sheetView>
  </sheetViews>
  <sheetFormatPr defaultRowHeight="15"/>
  <cols>
    <col min="1" max="1" width="10.7109375" customWidth="1"/>
    <col min="2" max="9" width="19.7109375" customWidth="1"/>
    <col min="10" max="26" width="22.7109375" customWidth="1"/>
  </cols>
  <sheetData>
    <row r="1" spans="1:26">
      <c r="A1" s="1" t="s">
        <v>201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3" t="s">
        <v>163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4" spans="1:26" ht="45" customHeight="1">
      <c r="A4" s="4" t="s">
        <v>164</v>
      </c>
      <c r="B4" s="4" t="s">
        <v>165</v>
      </c>
      <c r="C4" s="4" t="s">
        <v>166</v>
      </c>
      <c r="D4" s="4" t="s">
        <v>167</v>
      </c>
      <c r="E4" s="4" t="s">
        <v>168</v>
      </c>
      <c r="F4" s="4" t="s">
        <v>169</v>
      </c>
      <c r="G4" s="4" t="s">
        <v>170</v>
      </c>
      <c r="H4" s="4" t="s">
        <v>171</v>
      </c>
      <c r="I4" s="4" t="s">
        <v>172</v>
      </c>
      <c r="J4" s="4" t="s">
        <v>173</v>
      </c>
      <c r="K4" s="4" t="s">
        <v>174</v>
      </c>
      <c r="L4" s="4" t="s">
        <v>175</v>
      </c>
      <c r="M4" s="4" t="s">
        <v>176</v>
      </c>
      <c r="N4" s="4" t="s">
        <v>177</v>
      </c>
      <c r="O4" s="4" t="s">
        <v>99</v>
      </c>
      <c r="P4" s="4" t="s">
        <v>178</v>
      </c>
      <c r="Q4" s="4" t="s">
        <v>179</v>
      </c>
      <c r="R4" s="4" t="s">
        <v>180</v>
      </c>
      <c r="S4" s="4" t="s">
        <v>181</v>
      </c>
      <c r="T4" s="4" t="s">
        <v>182</v>
      </c>
      <c r="U4" s="4" t="s">
        <v>183</v>
      </c>
      <c r="V4" s="4" t="s">
        <v>184</v>
      </c>
      <c r="W4" s="4" t="s">
        <v>185</v>
      </c>
      <c r="X4" s="4" t="s">
        <v>186</v>
      </c>
      <c r="Y4" s="4" t="s">
        <v>187</v>
      </c>
      <c r="Z4" s="4" t="s">
        <v>188</v>
      </c>
    </row>
    <row r="5" spans="1:26">
      <c r="A5" s="7">
        <v>1</v>
      </c>
      <c r="B5" s="7">
        <f>Parameters!$J$20</f>
        <v>1000</v>
      </c>
      <c r="C5" s="7">
        <f>B5</f>
        <v>1000</v>
      </c>
      <c r="D5" s="7">
        <f>0</f>
        <v>0.0</v>
      </c>
      <c r="E5" s="7">
        <f>Parameters!$J$6*C5</f>
        <v>20.0</v>
      </c>
      <c r="F5" s="7">
        <f>IF(Parameters!$J$5=1,E5,0)</f>
        <v>0.0</v>
      </c>
      <c r="G5" s="7">
        <f>F5</f>
        <v>0.0</v>
      </c>
      <c r="H5" s="7">
        <f>IF(AND(Parameters!$J$5=1,Parameters!$J$26=1),SUMPRODUCT(--($A$5:A5&lt;A5),--(MOD(A5-$A$5:A5,Parameters!$J$28)=0),$F$5:F5,POWER(Parameters!$J$27,IF(A5-$A$5:A5=0,1,A5-$A$5:A5))),0)</f>
        <v>0.0</v>
      </c>
      <c r="I5" s="7">
        <f>B5*Parameters!$J$22</f>
        <v>0.0</v>
      </c>
      <c r="J5" s="7">
        <f>E5*Parameters!$J$14*(1-Parameters!$J$15)</f>
        <v>380.0</v>
      </c>
      <c r="K5" s="7">
        <f>H5*Parameters!$J$29</f>
        <v>0.0</v>
      </c>
      <c r="L5" s="7">
        <f>I5*Parameters!$J$24</f>
        <v>0.0</v>
      </c>
      <c r="M5" s="7">
        <f>J5+K5+L5</f>
        <v>380.0</v>
      </c>
      <c r="N5" s="7">
        <f>C5*Parameters!$J$17+D5*Parameters!$J$18+E5*Parameters!$J$16+I5*Parameters!$J$25+G5*Parameters!$J$30</f>
        <v>320.0</v>
      </c>
      <c r="O5" s="7">
        <f>B5*Parameters!$J$19</f>
        <v>4000</v>
      </c>
      <c r="P5" s="7">
        <f>M5-N5-O5</f>
        <v>-3940.0</v>
      </c>
      <c r="Q5" s="7">
        <f>Parameters!$J$21</f>
        <v>1000</v>
      </c>
      <c r="R5" s="7">
        <f>P5-Q5</f>
        <v>-4940.0</v>
      </c>
      <c r="S5" s="7">
        <f>IF(A5&lt;1+Parameters!$J$31,0,INDEX($M$5:$M$40,A5-Parameters!$J$31))</f>
        <v>0.0</v>
      </c>
      <c r="T5" s="7">
        <f>M5-S5</f>
        <v>380.0</v>
      </c>
      <c r="U5" s="7">
        <f>S5-N5-O5-Q5</f>
        <v>-5320.0</v>
      </c>
      <c r="V5" s="7">
        <f>U5</f>
        <v>-5320.0</v>
      </c>
      <c r="W5" s="7">
        <f>(1-Parameters!$J$7)*(C5-E5)+(1-Parameters!$J$8)*(D5+E5)</f>
        <v>98.99999999999997</v>
      </c>
      <c r="X5" s="7">
        <f>Parameters!$J$7*(C5-E5)+Parameters!$J$8*Parameters!$J$9*(D5+E5)</f>
        <v>883.9</v>
      </c>
      <c r="Y5" s="7">
        <f>Parameters!$J$8*(1-Parameters!$J$9)*(D5+E5)</f>
        <v>17.1</v>
      </c>
      <c r="Z5" s="7">
        <f>POWER(1/(1+Parameters!$J$32),A5-1)*(M5-N5)</f>
        <v>60.0</v>
      </c>
    </row>
    <row r="6" spans="1:26">
      <c r="A6" s="7">
        <v>2</v>
      </c>
      <c r="B6" s="7">
        <f>Parameters!$J$20</f>
        <v>1000</v>
      </c>
      <c r="C6" s="7">
        <f>X5+B6</f>
        <v>1883.9</v>
      </c>
      <c r="D6" s="7">
        <f>Y5</f>
        <v>17.1</v>
      </c>
      <c r="E6" s="7">
        <f>Parameters!$J$6*C6</f>
        <v>37.678</v>
      </c>
      <c r="F6" s="7">
        <f>IF(Parameters!$J$5=1,E6,0)</f>
        <v>0.0</v>
      </c>
      <c r="G6" s="7">
        <f>Parameters!$J$27*G5+F6</f>
        <v>0.0</v>
      </c>
      <c r="H6" s="7">
        <f>IF(AND(Parameters!$J$5=1,Parameters!$J$26=1),SUMPRODUCT(--($A$5:A6&lt;A6),--(MOD(A6-$A$5:A6,Parameters!$J$28)=0),$F$5:F6,POWER(Parameters!$J$27,IF(A6-$A$5:A6=0,1,A6-$A$5:A6))),0)</f>
        <v>0.0</v>
      </c>
      <c r="I6" s="7">
        <f>Parameters!$J$23*I5+B6*Parameters!$J$22</f>
        <v>0.0</v>
      </c>
      <c r="J6" s="7">
        <f>E6*Parameters!$J$14*(1-Parameters!$J$15)</f>
        <v>715.882</v>
      </c>
      <c r="K6" s="7">
        <f>H6*Parameters!$J$29</f>
        <v>0.0</v>
      </c>
      <c r="L6" s="7">
        <f>I6*Parameters!$J$24</f>
        <v>0.0</v>
      </c>
      <c r="M6" s="7">
        <f>J6+K6+L6</f>
        <v>715.882</v>
      </c>
      <c r="N6" s="7">
        <f>C6*Parameters!$J$17+D6*Parameters!$J$18+E6*Parameters!$J$16+I6*Parameters!$J$25+G6*Parameters!$J$30</f>
        <v>611.3979999999999</v>
      </c>
      <c r="O6" s="7">
        <f>B6*Parameters!$J$19</f>
        <v>4000</v>
      </c>
      <c r="P6" s="7">
        <f>M6-N6-O6</f>
        <v>-3895.516</v>
      </c>
      <c r="Q6" s="7">
        <f>Parameters!$J$21</f>
        <v>1000</v>
      </c>
      <c r="R6" s="7">
        <f>P6-Q6</f>
        <v>-4895.516</v>
      </c>
      <c r="S6" s="7">
        <f>IF(A6&lt;1+Parameters!$J$31,0,INDEX($M$5:$M$40,A6-Parameters!$J$31))</f>
        <v>380.0</v>
      </c>
      <c r="T6" s="7">
        <f>T5+M6-S6</f>
        <v>715.882</v>
      </c>
      <c r="U6" s="7">
        <f>S6-N6-O6-Q6</f>
        <v>-5231.398</v>
      </c>
      <c r="V6" s="7">
        <f>V5+U6</f>
        <v>-10551.398000000001</v>
      </c>
      <c r="W6" s="7">
        <f>(1-Parameters!$J$7)*(C6-E6)+(1-Parameters!$J$8)*(D6+E6)</f>
        <v>187.36109999999996</v>
      </c>
      <c r="X6" s="7">
        <f>Parameters!$J$7*(C6-E6)+Parameters!$J$8*Parameters!$J$9*(D6+E6)</f>
        <v>1666.8037100000001</v>
      </c>
      <c r="Y6" s="7">
        <f>Parameters!$J$8*(1-Parameters!$J$9)*(D6+E6)</f>
        <v>46.83519</v>
      </c>
      <c r="Z6" s="7">
        <f>POWER(1/(1+Parameters!$J$32),A6-1)*(M6-N6)</f>
        <v>103.44950495049508</v>
      </c>
    </row>
    <row r="7" spans="1:26">
      <c r="A7" s="7">
        <v>3</v>
      </c>
      <c r="B7" s="7">
        <f>Parameters!$J$20</f>
        <v>1000</v>
      </c>
      <c r="C7" s="7">
        <f>X6+B7</f>
        <v>2666.80371</v>
      </c>
      <c r="D7" s="7">
        <f>Y6</f>
        <v>46.835190000000004</v>
      </c>
      <c r="E7" s="7">
        <f>Parameters!$J$6*C7</f>
        <v>53.3360742</v>
      </c>
      <c r="F7" s="7">
        <f>IF(Parameters!$J$5=1,E7,0)</f>
        <v>0.0</v>
      </c>
      <c r="G7" s="7">
        <f>Parameters!$J$27*G6+F7</f>
        <v>0.0</v>
      </c>
      <c r="H7" s="7">
        <f>IF(AND(Parameters!$J$5=1,Parameters!$J$26=1),SUMPRODUCT(--($A$5:A7&lt;A7),--(MOD(A7-$A$5:A7,Parameters!$J$28)=0),$F$5:F7,POWER(Parameters!$J$27,IF(A7-$A$5:A7=0,1,A7-$A$5:A7))),0)</f>
        <v>0.0</v>
      </c>
      <c r="I7" s="7">
        <f>Parameters!$J$23*I6+B7*Parameters!$J$22</f>
        <v>0.0</v>
      </c>
      <c r="J7" s="7">
        <f>E7*Parameters!$J$14*(1-Parameters!$J$15)</f>
        <v>1013.3854097999998</v>
      </c>
      <c r="K7" s="7">
        <f>H7*Parameters!$J$29</f>
        <v>0.0</v>
      </c>
      <c r="L7" s="7">
        <f>I7*Parameters!$J$24</f>
        <v>0.0</v>
      </c>
      <c r="M7" s="7">
        <f>J7+K7+L7</f>
        <v>1013.3854097999998</v>
      </c>
      <c r="N7" s="7">
        <f>C7*Parameters!$J$17+D7*Parameters!$J$18+E7*Parameters!$J$16+I7*Parameters!$J$25+G7*Parameters!$J$30</f>
        <v>876.7947822</v>
      </c>
      <c r="O7" s="7">
        <f>B7*Parameters!$J$19</f>
        <v>4000</v>
      </c>
      <c r="P7" s="7">
        <f>M7-N7-O7</f>
        <v>-3863.4093724000004</v>
      </c>
      <c r="Q7" s="7">
        <f>Parameters!$J$21</f>
        <v>1000</v>
      </c>
      <c r="R7" s="7">
        <f>P7-Q7</f>
        <v>-4863.4093724</v>
      </c>
      <c r="S7" s="7">
        <f>IF(A7&lt;1+Parameters!$J$31,0,INDEX($M$5:$M$40,A7-Parameters!$J$31))</f>
        <v>715.882</v>
      </c>
      <c r="T7" s="7">
        <f>T6+M7-S7</f>
        <v>1013.3854097999998</v>
      </c>
      <c r="U7" s="7">
        <f>S7-N7-O7-Q7</f>
        <v>-5160.9127822</v>
      </c>
      <c r="V7" s="7">
        <f>V6+U7</f>
        <v>-15712.310782200002</v>
      </c>
      <c r="W7" s="7">
        <f>(1-Parameters!$J$7)*(C7-E7)+(1-Parameters!$J$8)*(D7+E7)</f>
        <v>266.35532678999994</v>
      </c>
      <c r="X7" s="7">
        <f>Parameters!$J$7*(C7-E7)+Parameters!$J$8*Parameters!$J$9*(D7+E7)</f>
        <v>2361.6371423190003</v>
      </c>
      <c r="Y7" s="7">
        <f>Parameters!$J$8*(1-Parameters!$J$9)*(D7+E7)</f>
        <v>85.646430891</v>
      </c>
      <c r="Z7" s="7">
        <f>POWER(1/(1+Parameters!$J$32),A7-1)*(M7-N7)</f>
        <v>133.89925262229175</v>
      </c>
    </row>
    <row r="8" spans="1:26">
      <c r="A8" s="7">
        <v>4</v>
      </c>
      <c r="B8" s="7">
        <f>Parameters!$J$20</f>
        <v>1000</v>
      </c>
      <c r="C8" s="7">
        <f>X7+B8</f>
        <v>3361.6371423190003</v>
      </c>
      <c r="D8" s="7">
        <f>Y7</f>
        <v>85.64643089100001</v>
      </c>
      <c r="E8" s="7">
        <f>Parameters!$J$6*C8</f>
        <v>67.23274284638</v>
      </c>
      <c r="F8" s="7">
        <f>IF(Parameters!$J$5=1,E8,0)</f>
        <v>0.0</v>
      </c>
      <c r="G8" s="7">
        <f>Parameters!$J$27*G7+F8</f>
        <v>0.0</v>
      </c>
      <c r="H8" s="7">
        <f>IF(AND(Parameters!$J$5=1,Parameters!$J$26=1),SUMPRODUCT(--($A$5:A8&lt;A8),--(MOD(A8-$A$5:A8,Parameters!$J$28)=0),$F$5:F8,POWER(Parameters!$J$27,IF(A8-$A$5:A8=0,1,A8-$A$5:A8))),0)</f>
        <v>0.0</v>
      </c>
      <c r="I8" s="7">
        <f>Parameters!$J$23*I7+B8*Parameters!$J$22</f>
        <v>0.0</v>
      </c>
      <c r="J8" s="7">
        <f>E8*Parameters!$J$14*(1-Parameters!$J$15)</f>
        <v>1277.4221140812201</v>
      </c>
      <c r="K8" s="7">
        <f>H8*Parameters!$J$29</f>
        <v>0.0</v>
      </c>
      <c r="L8" s="7">
        <f>I8*Parameters!$J$24</f>
        <v>0.0</v>
      </c>
      <c r="M8" s="7">
        <f>J8+K8+L8</f>
        <v>1277.4221140812201</v>
      </c>
      <c r="N8" s="7">
        <f>C8*Parameters!$J$17+D8*Parameters!$J$18+E8*Parameters!$J$16+I8*Parameters!$J$25+G8*Parameters!$J$30</f>
        <v>1118.54710098758</v>
      </c>
      <c r="O8" s="7">
        <f>B8*Parameters!$J$19</f>
        <v>4000</v>
      </c>
      <c r="P8" s="7">
        <f>M8-N8-O8</f>
        <v>-3841.12498690636</v>
      </c>
      <c r="Q8" s="7">
        <f>Parameters!$J$21</f>
        <v>1000</v>
      </c>
      <c r="R8" s="7">
        <f>P8-Q8</f>
        <v>-4841.1249869063595</v>
      </c>
      <c r="S8" s="7">
        <f>IF(A8&lt;1+Parameters!$J$31,0,INDEX($M$5:$M$40,A8-Parameters!$J$31))</f>
        <v>1013.3854097999998</v>
      </c>
      <c r="T8" s="7">
        <f>T7+M8-S8</f>
        <v>1277.4221140812201</v>
      </c>
      <c r="U8" s="7">
        <f>S8-N8-O8-Q8</f>
        <v>-5105.16169118758</v>
      </c>
      <c r="V8" s="7">
        <f>V7+U8</f>
        <v>-20817.47247338758</v>
      </c>
      <c r="W8" s="7">
        <f>(1-Parameters!$J$7)*(C8-E8)+(1-Parameters!$J$8)*(D8+E8)</f>
        <v>337.08439863413093</v>
      </c>
      <c r="X8" s="7">
        <f>Parameters!$J$7*(C8-E8)+Parameters!$J$8*Parameters!$J$9*(D8+E8)</f>
        <v>2979.4874810304095</v>
      </c>
      <c r="Y8" s="7">
        <f>Parameters!$J$8*(1-Parameters!$J$9)*(D8+E8)</f>
        <v>130.71169354545992</v>
      </c>
      <c r="Z8" s="7">
        <f>POWER(1/(1+Parameters!$J$32),A8-1)*(M8-N8)</f>
        <v>154.20252246056256</v>
      </c>
    </row>
    <row r="9" spans="1:26">
      <c r="A9" s="7">
        <v>5</v>
      </c>
      <c r="B9" s="7">
        <f>Parameters!$J$20</f>
        <v>1000</v>
      </c>
      <c r="C9" s="7">
        <f>X8+B9</f>
        <v>3979.487481030409</v>
      </c>
      <c r="D9" s="7">
        <f>Y8</f>
        <v>130.71169354545992</v>
      </c>
      <c r="E9" s="7">
        <f>Parameters!$J$6*C9</f>
        <v>79.58974962060819</v>
      </c>
      <c r="F9" s="7">
        <f>IF(Parameters!$J$5=1,E9,0)</f>
        <v>0.0</v>
      </c>
      <c r="G9" s="7">
        <f>Parameters!$J$27*G8+F9</f>
        <v>0.0</v>
      </c>
      <c r="H9" s="7">
        <f>IF(AND(Parameters!$J$5=1,Parameters!$J$26=1),SUMPRODUCT(--($A$5:A9&lt;A9),--(MOD(A9-$A$5:A9,Parameters!$J$28)=0),$F$5:F9,POWER(Parameters!$J$27,IF(A9-$A$5:A9=0,1,A9-$A$5:A9))),0)</f>
        <v>0.0</v>
      </c>
      <c r="I9" s="7">
        <f>Parameters!$J$23*I8+B9*Parameters!$J$22</f>
        <v>0.0</v>
      </c>
      <c r="J9" s="7">
        <f>E9*Parameters!$J$14*(1-Parameters!$J$15)</f>
        <v>1512.2052427915555</v>
      </c>
      <c r="K9" s="7">
        <f>H9*Parameters!$J$29</f>
        <v>0.0</v>
      </c>
      <c r="L9" s="7">
        <f>I9*Parameters!$J$24</f>
        <v>0.0</v>
      </c>
      <c r="M9" s="7">
        <f>J9+K9+L9</f>
        <v>1512.2052427915555</v>
      </c>
      <c r="N9" s="7">
        <f>C9*Parameters!$J$17+D9*Parameters!$J$18+E9*Parameters!$J$16+I9*Parameters!$J$25+G9*Parameters!$J$30</f>
        <v>1338.791840702461</v>
      </c>
      <c r="O9" s="7">
        <f>B9*Parameters!$J$19</f>
        <v>4000</v>
      </c>
      <c r="P9" s="7">
        <f>M9-N9-O9</f>
        <v>-3826.5865979109058</v>
      </c>
      <c r="Q9" s="7">
        <f>Parameters!$J$21</f>
        <v>1000</v>
      </c>
      <c r="R9" s="7">
        <f>P9-Q9</f>
        <v>-4826.586597910906</v>
      </c>
      <c r="S9" s="7">
        <f>IF(A9&lt;1+Parameters!$J$31,0,INDEX($M$5:$M$40,A9-Parameters!$J$31))</f>
        <v>1277.4221140812201</v>
      </c>
      <c r="T9" s="7">
        <f>T8+M9-S9</f>
        <v>1512.2052427915555</v>
      </c>
      <c r="U9" s="7">
        <f>S9-N9-O9-Q9</f>
        <v>-5061.369726621241</v>
      </c>
      <c r="V9" s="7">
        <f>V8+U9</f>
        <v>-25878.84220000882</v>
      </c>
      <c r="W9" s="7">
        <f>(1-Parameters!$J$7)*(C9-E9)+(1-Parameters!$J$8)*(D9+E9)</f>
        <v>400.5048452992835</v>
      </c>
      <c r="X9" s="7">
        <f>Parameters!$J$7*(C9-E9)+Parameters!$J$8*Parameters!$J$9*(D9+E9)</f>
        <v>3529.886595369597</v>
      </c>
      <c r="Y9" s="7">
        <f>Parameters!$J$8*(1-Parameters!$J$9)*(D9+E9)</f>
        <v>179.80773390698823</v>
      </c>
      <c r="Z9" s="7">
        <f>POWER(1/(1+Parameters!$J$32),A9-1)*(M9-N9)</f>
        <v>166.6468708775151</v>
      </c>
    </row>
    <row r="10" spans="1:26">
      <c r="A10" s="7">
        <v>6</v>
      </c>
      <c r="B10" s="7">
        <f>Parameters!$J$20</f>
        <v>1000</v>
      </c>
      <c r="C10" s="7">
        <f>X9+B10</f>
        <v>4529.886595369598</v>
      </c>
      <c r="D10" s="7">
        <f>Y9</f>
        <v>179.80773390698823</v>
      </c>
      <c r="E10" s="7">
        <f>Parameters!$J$6*C10</f>
        <v>90.59773190739195</v>
      </c>
      <c r="F10" s="7">
        <f>IF(Parameters!$J$5=1,E10,0)</f>
        <v>0.0</v>
      </c>
      <c r="G10" s="7">
        <f>Parameters!$J$27*G9+F10</f>
        <v>0.0</v>
      </c>
      <c r="H10" s="7">
        <f>IF(AND(Parameters!$J$5=1,Parameters!$J$26=1),SUMPRODUCT(--($A$5:A10&lt;A10),--(MOD(A10-$A$5:A10,Parameters!$J$28)=0),$F$5:F10,POWER(Parameters!$J$27,IF(A10-$A$5:A10=0,1,A10-$A$5:A10))),0)</f>
        <v>0.0</v>
      </c>
      <c r="I10" s="7">
        <f>Parameters!$J$23*I9+B10*Parameters!$J$22</f>
        <v>0.0</v>
      </c>
      <c r="J10" s="7">
        <f>E10*Parameters!$J$14*(1-Parameters!$J$15)</f>
        <v>1721.356906240447</v>
      </c>
      <c r="K10" s="7">
        <f>H10*Parameters!$J$29</f>
        <v>0.0</v>
      </c>
      <c r="L10" s="7">
        <f>I10*Parameters!$J$24</f>
        <v>0.0</v>
      </c>
      <c r="M10" s="7">
        <f>J10+K10+L10</f>
        <v>1721.356906240447</v>
      </c>
      <c r="N10" s="7">
        <f>C10*Parameters!$J$17+D10*Parameters!$J$18+E10*Parameters!$J$16+I10*Parameters!$J$25+G10*Parameters!$J$30</f>
        <v>1539.4675774717655</v>
      </c>
      <c r="O10" s="7">
        <f>B10*Parameters!$J$19</f>
        <v>4000</v>
      </c>
      <c r="P10" s="7">
        <f>M10-N10-O10</f>
        <v>-3818.1106712313185</v>
      </c>
      <c r="Q10" s="7">
        <f>Parameters!$J$21</f>
        <v>1000</v>
      </c>
      <c r="R10" s="7">
        <f>P10-Q10</f>
        <v>-4818.1106712313185</v>
      </c>
      <c r="S10" s="7">
        <f>IF(A10&lt;1+Parameters!$J$31,0,INDEX($M$5:$M$40,A10-Parameters!$J$31))</f>
        <v>1512.2052427915555</v>
      </c>
      <c r="T10" s="7">
        <f>T9+M10-S10</f>
        <v>1721.356906240447</v>
      </c>
      <c r="U10" s="7">
        <f>S10-N10-O10-Q10</f>
        <v>-5027.26233468021</v>
      </c>
      <c r="V10" s="7">
        <f>V9+U10</f>
        <v>-30906.10453468903</v>
      </c>
      <c r="W10" s="7">
        <f>(1-Parameters!$J$7)*(C10-E10)+(1-Parameters!$J$8)*(D10+E10)</f>
        <v>457.4491596369395</v>
      </c>
      <c r="X10" s="7">
        <f>Parameters!$J$7*(C10-E10)+Parameters!$J$8*Parameters!$J$9*(D10+E10)</f>
        <v>4021.048496368351</v>
      </c>
      <c r="Y10" s="7">
        <f>Parameters!$J$8*(1-Parameters!$J$9)*(D10+E10)</f>
        <v>231.19667327129505</v>
      </c>
      <c r="Z10" s="7">
        <f>POWER(1/(1+Parameters!$J$32),A10-1)*(M10-N10)</f>
        <v>173.06145526522351</v>
      </c>
    </row>
    <row r="11" spans="1:26">
      <c r="A11" s="7">
        <v>7</v>
      </c>
      <c r="B11" s="7">
        <f>Parameters!$J$20</f>
        <v>1000</v>
      </c>
      <c r="C11" s="7">
        <f>X10+B11</f>
        <v>5021.048496368351</v>
      </c>
      <c r="D11" s="7">
        <f>Y10</f>
        <v>231.19667327129503</v>
      </c>
      <c r="E11" s="7">
        <f>Parameters!$J$6*C11</f>
        <v>100.42096992736703</v>
      </c>
      <c r="F11" s="7">
        <f>IF(Parameters!$J$5=1,E11,0)</f>
        <v>0.0</v>
      </c>
      <c r="G11" s="7">
        <f>Parameters!$J$27*G10+F11</f>
        <v>0.0</v>
      </c>
      <c r="H11" s="7">
        <f>IF(AND(Parameters!$J$5=1,Parameters!$J$26=1),SUMPRODUCT(--($A$5:A11&lt;A11),--(MOD(A11-$A$5:A11,Parameters!$J$28)=0),$F$5:F11,POWER(Parameters!$J$27,IF(A11-$A$5:A11=0,1,A11-$A$5:A11))),0)</f>
        <v>0.0</v>
      </c>
      <c r="I11" s="7">
        <f>Parameters!$J$23*I10+B11*Parameters!$J$22</f>
        <v>0.0</v>
      </c>
      <c r="J11" s="7">
        <f>E11*Parameters!$J$14*(1-Parameters!$J$15)</f>
        <v>1907.9984286199733</v>
      </c>
      <c r="K11" s="7">
        <f>H11*Parameters!$J$29</f>
        <v>0.0</v>
      </c>
      <c r="L11" s="7">
        <f>I11*Parameters!$J$24</f>
        <v>0.0</v>
      </c>
      <c r="M11" s="7">
        <f>J11+K11+L11</f>
        <v>1907.9984286199733</v>
      </c>
      <c r="N11" s="7">
        <f>C11*Parameters!$J$17+D11*Parameters!$J$18+E11*Parameters!$J$16+I11*Parameters!$J$25+G11*Parameters!$J$30</f>
        <v>1722.3338554735196</v>
      </c>
      <c r="O11" s="7">
        <f>B11*Parameters!$J$19</f>
        <v>4000</v>
      </c>
      <c r="P11" s="7">
        <f>M11-N11-O11</f>
        <v>-3814.3354268535463</v>
      </c>
      <c r="Q11" s="7">
        <f>Parameters!$J$21</f>
        <v>1000</v>
      </c>
      <c r="R11" s="7">
        <f>P11-Q11</f>
        <v>-4814.335426853546</v>
      </c>
      <c r="S11" s="7">
        <f>IF(A11&lt;1+Parameters!$J$31,0,INDEX($M$5:$M$40,A11-Parameters!$J$31))</f>
        <v>1721.356906240447</v>
      </c>
      <c r="T11" s="7">
        <f>T10+M11-S11</f>
        <v>1907.9984286199733</v>
      </c>
      <c r="U11" s="7">
        <f>S11-N11-O11-Q11</f>
        <v>-5000.976949233072</v>
      </c>
      <c r="V11" s="7">
        <f>V10+U11</f>
        <v>-35907.081483922106</v>
      </c>
      <c r="W11" s="7">
        <f>(1-Parameters!$J$7)*(C11-E11)+(1-Parameters!$J$8)*(D11+E11)</f>
        <v>508.6436348040314</v>
      </c>
      <c r="X11" s="7">
        <f>Parameters!$J$7*(C11-E11)+Parameters!$J$8*Parameters!$J$9*(D11+E11)</f>
        <v>4460.068449900758</v>
      </c>
      <c r="Y11" s="7">
        <f>Parameters!$J$8*(1-Parameters!$J$9)*(D11+E11)</f>
        <v>283.53308493485605</v>
      </c>
      <c r="Z11" s="7">
        <f>POWER(1/(1+Parameters!$J$32),A11-1)*(M11-N11)</f>
        <v>174.90442648812282</v>
      </c>
    </row>
    <row r="12" spans="1:26">
      <c r="A12" s="7">
        <v>8</v>
      </c>
      <c r="B12" s="7">
        <f>Parameters!$J$20</f>
        <v>1000</v>
      </c>
      <c r="C12" s="7">
        <f>X11+B12</f>
        <v>5460.068449900758</v>
      </c>
      <c r="D12" s="7">
        <f>Y11</f>
        <v>283.53308493485605</v>
      </c>
      <c r="E12" s="7">
        <f>Parameters!$J$6*C12</f>
        <v>109.20136899801517</v>
      </c>
      <c r="F12" s="7">
        <f>IF(Parameters!$J$5=1,E12,0)</f>
        <v>0.0</v>
      </c>
      <c r="G12" s="7">
        <f>Parameters!$J$27*G11+F12</f>
        <v>0.0</v>
      </c>
      <c r="H12" s="7">
        <f>IF(AND(Parameters!$J$5=1,Parameters!$J$26=1),SUMPRODUCT(--($A$5:A12&lt;A12),--(MOD(A12-$A$5:A12,Parameters!$J$28)=0),$F$5:F12,POWER(Parameters!$J$27,IF(A12-$A$5:A12=0,1,A12-$A$5:A12))),0)</f>
        <v>0.0</v>
      </c>
      <c r="I12" s="7">
        <f>Parameters!$J$23*I11+B12*Parameters!$J$22</f>
        <v>0.0</v>
      </c>
      <c r="J12" s="7">
        <f>E12*Parameters!$J$14*(1-Parameters!$J$15)</f>
        <v>2074.826010962288</v>
      </c>
      <c r="K12" s="7">
        <f>H12*Parameters!$J$29</f>
        <v>0.0</v>
      </c>
      <c r="L12" s="7">
        <f>I12*Parameters!$J$24</f>
        <v>0.0</v>
      </c>
      <c r="M12" s="7">
        <f>J12+K12+L12</f>
        <v>2074.826010962288</v>
      </c>
      <c r="N12" s="7">
        <f>C12*Parameters!$J$17+D12*Parameters!$J$18+E12*Parameters!$J$16+I12*Parameters!$J$25+G12*Parameters!$J$30</f>
        <v>1888.9884464356708</v>
      </c>
      <c r="O12" s="7">
        <f>B12*Parameters!$J$19</f>
        <v>4000</v>
      </c>
      <c r="P12" s="7">
        <f>M12-N12-O12</f>
        <v>-3814.162435473383</v>
      </c>
      <c r="Q12" s="7">
        <f>Parameters!$J$21</f>
        <v>1000</v>
      </c>
      <c r="R12" s="7">
        <f>P12-Q12</f>
        <v>-4814.162435473383</v>
      </c>
      <c r="S12" s="7">
        <f>IF(A12&lt;1+Parameters!$J$31,0,INDEX($M$5:$M$40,A12-Parameters!$J$31))</f>
        <v>1907.9984286199733</v>
      </c>
      <c r="T12" s="7">
        <f>T11+M12-S12</f>
        <v>2074.826010962288</v>
      </c>
      <c r="U12" s="7">
        <f>S12-N12-O12-Q12</f>
        <v>-4980.990017815698</v>
      </c>
      <c r="V12" s="7">
        <f>V11+U12</f>
        <v>-40888.0715017378</v>
      </c>
      <c r="W12" s="7">
        <f>(1-Parameters!$J$7)*(C12-E12)+(1-Parameters!$J$8)*(D12+E12)</f>
        <v>554.7234307869178</v>
      </c>
      <c r="X12" s="7">
        <f>Parameters!$J$7*(C12-E12)+Parameters!$J$8*Parameters!$J$9*(D12+E12)</f>
        <v>4853.090145936092</v>
      </c>
      <c r="Y12" s="7">
        <f>Parameters!$J$8*(1-Parameters!$J$9)*(D12+E12)</f>
        <v>335.7879581126049</v>
      </c>
      <c r="Z12" s="7">
        <f>POWER(1/(1+Parameters!$J$32),A12-1)*(M12-N12)</f>
        <v>173.33405167677807</v>
      </c>
    </row>
    <row r="13" spans="1:26">
      <c r="A13" s="7">
        <v>9</v>
      </c>
      <c r="B13" s="7">
        <f>Parameters!$J$20</f>
        <v>1000</v>
      </c>
      <c r="C13" s="7">
        <f>X12+B13</f>
        <v>5853.090145936091</v>
      </c>
      <c r="D13" s="7">
        <f>Y12</f>
        <v>335.7879581126049</v>
      </c>
      <c r="E13" s="7">
        <f>Parameters!$J$6*C13</f>
        <v>117.06180291872184</v>
      </c>
      <c r="F13" s="7">
        <f>IF(Parameters!$J$5=1,E13,0)</f>
        <v>0.0</v>
      </c>
      <c r="G13" s="7">
        <f>Parameters!$J$27*G12+F13</f>
        <v>0.0</v>
      </c>
      <c r="H13" s="7">
        <f>IF(AND(Parameters!$J$5=1,Parameters!$J$26=1),SUMPRODUCT(--($A$5:A13&lt;A13),--(MOD(A13-$A$5:A13,Parameters!$J$28)=0),$F$5:F13,POWER(Parameters!$J$27,IF(A13-$A$5:A13=0,1,A13-$A$5:A13))),0)</f>
        <v>0.0</v>
      </c>
      <c r="I13" s="7">
        <f>Parameters!$J$23*I12+B13*Parameters!$J$22</f>
        <v>0.0</v>
      </c>
      <c r="J13" s="7">
        <f>E13*Parameters!$J$14*(1-Parameters!$J$15)</f>
        <v>2224.1742554557145</v>
      </c>
      <c r="K13" s="7">
        <f>H13*Parameters!$J$29</f>
        <v>0.0</v>
      </c>
      <c r="L13" s="7">
        <f>I13*Parameters!$J$24</f>
        <v>0.0</v>
      </c>
      <c r="M13" s="7">
        <f>J13+K13+L13</f>
        <v>2224.1742554557145</v>
      </c>
      <c r="N13" s="7">
        <f>C13*Parameters!$J$17+D13*Parameters!$J$18+E13*Parameters!$J$16+I13*Parameters!$J$25+G13*Parameters!$J$30</f>
        <v>2040.8828257558516</v>
      </c>
      <c r="O13" s="7">
        <f>B13*Parameters!$J$19</f>
        <v>4000</v>
      </c>
      <c r="P13" s="7">
        <f>M13-N13-O13</f>
        <v>-3816.708570300137</v>
      </c>
      <c r="Q13" s="7">
        <f>Parameters!$J$21</f>
        <v>1000</v>
      </c>
      <c r="R13" s="7">
        <f>P13-Q13</f>
        <v>-4816.708570300138</v>
      </c>
      <c r="S13" s="7">
        <f>IF(A13&lt;1+Parameters!$J$31,0,INDEX($M$5:$M$40,A13-Parameters!$J$31))</f>
        <v>2074.826010962288</v>
      </c>
      <c r="T13" s="7">
        <f>T12+M13-S13</f>
        <v>2224.1742554557145</v>
      </c>
      <c r="U13" s="7">
        <f>S13-N13-O13-Q13</f>
        <v>-4966.056814793564</v>
      </c>
      <c r="V13" s="7">
        <f>V12+U13</f>
        <v>-45854.128316531365</v>
      </c>
      <c r="W13" s="7">
        <f>(1-Parameters!$J$7)*(C13-E13)+(1-Parameters!$J$8)*(D13+E13)</f>
        <v>596.2453223533032</v>
      </c>
      <c r="X13" s="7">
        <f>Parameters!$J$7*(C13-E13)+Parameters!$J$8*Parameters!$J$9*(D13+E13)</f>
        <v>5205.4462360136085</v>
      </c>
      <c r="Y13" s="7">
        <f>Parameters!$J$8*(1-Parameters!$J$9)*(D13+E13)</f>
        <v>387.1865456817843</v>
      </c>
      <c r="Z13" s="7">
        <f>POWER(1/(1+Parameters!$J$32),A13-1)*(M13-N13)</f>
        <v>169.26656015261955</v>
      </c>
    </row>
    <row r="14" spans="1:26">
      <c r="A14" s="7">
        <v>10</v>
      </c>
      <c r="B14" s="7">
        <f>Parameters!$J$20</f>
        <v>1000</v>
      </c>
      <c r="C14" s="7">
        <f>X13+B14</f>
        <v>6205.4462360136085</v>
      </c>
      <c r="D14" s="7">
        <f>Y13</f>
        <v>387.18654568178437</v>
      </c>
      <c r="E14" s="7">
        <f>Parameters!$J$6*C14</f>
        <v>124.10892472027219</v>
      </c>
      <c r="F14" s="7">
        <f>IF(Parameters!$J$5=1,E14,0)</f>
        <v>0.0</v>
      </c>
      <c r="G14" s="7">
        <f>Parameters!$J$27*G13+F14</f>
        <v>0.0</v>
      </c>
      <c r="H14" s="7">
        <f>IF(AND(Parameters!$J$5=1,Parameters!$J$26=1),SUMPRODUCT(--($A$5:A14&lt;A14),--(MOD(A14-$A$5:A14,Parameters!$J$28)=0),$F$5:F14,POWER(Parameters!$J$27,IF(A14-$A$5:A14=0,1,A14-$A$5:A14))),0)</f>
        <v>0.0</v>
      </c>
      <c r="I14" s="7">
        <f>Parameters!$J$23*I13+B14*Parameters!$J$22</f>
        <v>0.0</v>
      </c>
      <c r="J14" s="7">
        <f>E14*Parameters!$J$14*(1-Parameters!$J$15)</f>
        <v>2358.0695696851717</v>
      </c>
      <c r="K14" s="7">
        <f>H14*Parameters!$J$29</f>
        <v>0.0</v>
      </c>
      <c r="L14" s="7">
        <f>I14*Parameters!$J$24</f>
        <v>0.0</v>
      </c>
      <c r="M14" s="7">
        <f>J14+K14+L14</f>
        <v>2358.0695696851717</v>
      </c>
      <c r="N14" s="7">
        <f>C14*Parameters!$J$17+D14*Parameters!$J$18+E14*Parameters!$J$16+I14*Parameters!$J$25+G14*Parameters!$J$30</f>
        <v>2179.336068365247</v>
      </c>
      <c r="O14" s="7">
        <f>B14*Parameters!$J$19</f>
        <v>4000</v>
      </c>
      <c r="P14" s="7">
        <f>M14-N14-O14</f>
        <v>-3821.266498680075</v>
      </c>
      <c r="Q14" s="7">
        <f>Parameters!$J$21</f>
        <v>1000</v>
      </c>
      <c r="R14" s="7">
        <f>P14-Q14</f>
        <v>-4821.2664986800755</v>
      </c>
      <c r="S14" s="7">
        <f>IF(A14&lt;1+Parameters!$J$31,0,INDEX($M$5:$M$40,A14-Parameters!$J$31))</f>
        <v>2224.1742554557145</v>
      </c>
      <c r="T14" s="7">
        <f>T13+M14-S14</f>
        <v>2358.0695696851717</v>
      </c>
      <c r="U14" s="7">
        <f>S14-N14-O14-Q14</f>
        <v>-4955.161812909532</v>
      </c>
      <c r="V14" s="7">
        <f>V13+U14</f>
        <v>-50809.290129440895</v>
      </c>
      <c r="W14" s="7">
        <f>(1-Parameters!$J$7)*(C14-E14)+(1-Parameters!$J$8)*(D14+E14)</f>
        <v>633.6985046494364</v>
      </c>
      <c r="X14" s="7">
        <f>Parameters!$J$7*(C14-E14)+Parameters!$J$8*Parameters!$J$9*(D14+E14)</f>
        <v>5521.776649852198</v>
      </c>
      <c r="Y14" s="7">
        <f>Parameters!$J$8*(1-Parameters!$J$9)*(D14+E14)</f>
        <v>437.15762719375834</v>
      </c>
      <c r="Z14" s="7">
        <f>POWER(1/(1+Parameters!$J$32),A14-1)*(M14-N14)</f>
        <v>163.4231581826444</v>
      </c>
    </row>
    <row r="15" spans="1:26">
      <c r="A15" s="7">
        <v>11</v>
      </c>
      <c r="B15" s="7">
        <f>Parameters!$J$20</f>
        <v>1000</v>
      </c>
      <c r="C15" s="7">
        <f>X14+B15</f>
        <v>6521.776649852198</v>
      </c>
      <c r="D15" s="7">
        <f>Y14</f>
        <v>437.15762719375834</v>
      </c>
      <c r="E15" s="7">
        <f>Parameters!$J$6*C15</f>
        <v>130.43553299704396</v>
      </c>
      <c r="F15" s="7">
        <f>IF(Parameters!$J$5=1,E15,0)</f>
        <v>0.0</v>
      </c>
      <c r="G15" s="7">
        <f>Parameters!$J$27*G14+F15</f>
        <v>0.0</v>
      </c>
      <c r="H15" s="7">
        <f>IF(AND(Parameters!$J$5=1,Parameters!$J$26=1),SUMPRODUCT(--($A$5:A15&lt;A15),--(MOD(A15-$A$5:A15,Parameters!$J$28)=0),$F$5:F15,POWER(Parameters!$J$27,IF(A15-$A$5:A15=0,1,A15-$A$5:A15))),0)</f>
        <v>0.0</v>
      </c>
      <c r="I15" s="7">
        <f>Parameters!$J$23*I14+B15*Parameters!$J$22</f>
        <v>0.0</v>
      </c>
      <c r="J15" s="7">
        <f>E15*Parameters!$J$14*(1-Parameters!$J$15)</f>
        <v>2478.2751269438354</v>
      </c>
      <c r="K15" s="7">
        <f>H15*Parameters!$J$29</f>
        <v>0.0</v>
      </c>
      <c r="L15" s="7">
        <f>I15*Parameters!$J$24</f>
        <v>0.0</v>
      </c>
      <c r="M15" s="7">
        <f>J15+K15+L15</f>
        <v>2478.2751269438354</v>
      </c>
      <c r="N15" s="7">
        <f>C15*Parameters!$J$17+D15*Parameters!$J$18+E15*Parameters!$J$16+I15*Parameters!$J$25+G15*Parameters!$J$30</f>
        <v>2305.5473415495826</v>
      </c>
      <c r="O15" s="7">
        <f>B15*Parameters!$J$19</f>
        <v>4000</v>
      </c>
      <c r="P15" s="7">
        <f>M15-N15-O15</f>
        <v>-3827.272214605747</v>
      </c>
      <c r="Q15" s="7">
        <f>Parameters!$J$21</f>
        <v>1000</v>
      </c>
      <c r="R15" s="7">
        <f>P15-Q15</f>
        <v>-4827.272214605748</v>
      </c>
      <c r="S15" s="7">
        <f>IF(A15&lt;1+Parameters!$J$31,0,INDEX($M$5:$M$40,A15-Parameters!$J$31))</f>
        <v>2358.0695696851717</v>
      </c>
      <c r="T15" s="7">
        <f>T14+M15-S15</f>
        <v>2478.2751269438354</v>
      </c>
      <c r="U15" s="7">
        <f>S15-N15-O15-Q15</f>
        <v>-4947.477771864411</v>
      </c>
      <c r="V15" s="7">
        <f>V14+U15</f>
        <v>-55756.767901305306</v>
      </c>
      <c r="W15" s="7">
        <f>(1-Parameters!$J$7)*(C15-E15)+(1-Parameters!$J$8)*(D15+E15)</f>
        <v>667.5137696950554</v>
      </c>
      <c r="X15" s="7">
        <f>Parameters!$J$7*(C15-E15)+Parameters!$J$8*Parameters!$J$9*(D15+E15)</f>
        <v>5806.128355387765</v>
      </c>
      <c r="Y15" s="7">
        <f>Parameters!$J$8*(1-Parameters!$J$9)*(D15+E15)</f>
        <v>485.292151963136</v>
      </c>
      <c r="Z15" s="7">
        <f>POWER(1/(1+Parameters!$J$32),A15-1)*(M15-N15)</f>
        <v>156.36821083042628</v>
      </c>
    </row>
    <row r="16" spans="1:26">
      <c r="A16" s="7">
        <v>12</v>
      </c>
      <c r="B16" s="7">
        <f>Parameters!$J$20</f>
        <v>1000</v>
      </c>
      <c r="C16" s="7">
        <f>X15+B16</f>
        <v>6806.128355387765</v>
      </c>
      <c r="D16" s="7">
        <f>Y15</f>
        <v>485.29215196313595</v>
      </c>
      <c r="E16" s="7">
        <f>Parameters!$J$6*C16</f>
        <v>136.12256710775532</v>
      </c>
      <c r="F16" s="7">
        <f>IF(Parameters!$J$5=1,E16,0)</f>
        <v>0.0</v>
      </c>
      <c r="G16" s="7">
        <f>Parameters!$J$27*G15+F16</f>
        <v>0.0</v>
      </c>
      <c r="H16" s="7">
        <f>IF(AND(Parameters!$J$5=1,Parameters!$J$26=1),SUMPRODUCT(--($A$5:A16&lt;A16),--(MOD(A16-$A$5:A16,Parameters!$J$28)=0),$F$5:F16,POWER(Parameters!$J$27,IF(A16-$A$5:A16=0,1,A16-$A$5:A16))),0)</f>
        <v>0.0</v>
      </c>
      <c r="I16" s="7">
        <f>Parameters!$J$23*I15+B16*Parameters!$J$22</f>
        <v>0.0</v>
      </c>
      <c r="J16" s="7">
        <f>E16*Parameters!$J$14*(1-Parameters!$J$15)</f>
        <v>2586.328775047351</v>
      </c>
      <c r="K16" s="7">
        <f>H16*Parameters!$J$29</f>
        <v>0.0</v>
      </c>
      <c r="L16" s="7">
        <f>I16*Parameters!$J$24</f>
        <v>0.0</v>
      </c>
      <c r="M16" s="7">
        <f>J16+K16+L16</f>
        <v>2586.328775047351</v>
      </c>
      <c r="N16" s="7">
        <f>C16*Parameters!$J$17+D16*Parameters!$J$18+E16*Parameters!$J$16+I16*Parameters!$J$25+G16*Parameters!$J$30</f>
        <v>2420.607149705653</v>
      </c>
      <c r="O16" s="7">
        <f>B16*Parameters!$J$19</f>
        <v>4000</v>
      </c>
      <c r="P16" s="7">
        <f>M16-N16-O16</f>
        <v>-3834.278374658302</v>
      </c>
      <c r="Q16" s="7">
        <f>Parameters!$J$21</f>
        <v>1000</v>
      </c>
      <c r="R16" s="7">
        <f>P16-Q16</f>
        <v>-4834.278374658302</v>
      </c>
      <c r="S16" s="7">
        <f>IF(A16&lt;1+Parameters!$J$31,0,INDEX($M$5:$M$40,A16-Parameters!$J$31))</f>
        <v>2478.2751269438354</v>
      </c>
      <c r="T16" s="7">
        <f>T15+M16-S16</f>
        <v>2586.328775047351</v>
      </c>
      <c r="U16" s="7">
        <f>S16-N16-O16-Q16</f>
        <v>-4942.332022761817</v>
      </c>
      <c r="V16" s="7">
        <f>V15+U16</f>
        <v>-60699.09992406712</v>
      </c>
      <c r="W16" s="7">
        <f>(1-Parameters!$J$7)*(C16-E16)+(1-Parameters!$J$8)*(D16+E16)</f>
        <v>698.0713147815454</v>
      </c>
      <c r="X16" s="7">
        <f>Parameters!$J$7*(C16-E16)+Parameters!$J$8*Parameters!$J$9*(D16+E16)</f>
        <v>6062.039607763743</v>
      </c>
      <c r="Y16" s="7">
        <f>Parameters!$J$8*(1-Parameters!$J$9)*(D16+E16)</f>
        <v>531.309584805612</v>
      </c>
      <c r="Z16" s="7">
        <f>POWER(1/(1+Parameters!$J$32),A16-1)*(M16-N16)</f>
        <v>148.54022329936384</v>
      </c>
    </row>
    <row r="17" spans="1:26">
      <c r="A17" s="7">
        <v>13</v>
      </c>
      <c r="B17" s="7">
        <f>Parameters!$J$20</f>
        <v>1000</v>
      </c>
      <c r="C17" s="7">
        <f>X16+B17</f>
        <v>7062.039607763743</v>
      </c>
      <c r="D17" s="7">
        <f>Y16</f>
        <v>531.3095848056121</v>
      </c>
      <c r="E17" s="7">
        <f>Parameters!$J$6*C17</f>
        <v>141.24079215527487</v>
      </c>
      <c r="F17" s="7">
        <f>IF(Parameters!$J$5=1,E17,0)</f>
        <v>0.0</v>
      </c>
      <c r="G17" s="7">
        <f>Parameters!$J$27*G16+F17</f>
        <v>0.0</v>
      </c>
      <c r="H17" s="7">
        <f>IF(AND(Parameters!$J$5=1,Parameters!$J$26=1),SUMPRODUCT(--($A$5:A17&lt;A17),--(MOD(A17-$A$5:A17,Parameters!$J$28)=0),$F$5:F17,POWER(Parameters!$J$27,IF(A17-$A$5:A17=0,1,A17-$A$5:A17))),0)</f>
        <v>0.0</v>
      </c>
      <c r="I17" s="7">
        <f>Parameters!$J$23*I16+B17*Parameters!$J$22</f>
        <v>0.0</v>
      </c>
      <c r="J17" s="7">
        <f>E17*Parameters!$J$14*(1-Parameters!$J$15)</f>
        <v>2683.5750509502227</v>
      </c>
      <c r="K17" s="7">
        <f>H17*Parameters!$J$29</f>
        <v>0.0</v>
      </c>
      <c r="L17" s="7">
        <f>I17*Parameters!$J$24</f>
        <v>0.0</v>
      </c>
      <c r="M17" s="7">
        <f>J17+K17+L17</f>
        <v>2683.5750509502227</v>
      </c>
      <c r="N17" s="7">
        <f>C17*Parameters!$J$17+D17*Parameters!$J$18+E17*Parameters!$J$16+I17*Parameters!$J$25+G17*Parameters!$J$30</f>
        <v>2525.507466887204</v>
      </c>
      <c r="O17" s="7">
        <f>B17*Parameters!$J$19</f>
        <v>4000</v>
      </c>
      <c r="P17" s="7">
        <f>M17-N17-O17</f>
        <v>-3841.932415936981</v>
      </c>
      <c r="Q17" s="7">
        <f>Parameters!$J$21</f>
        <v>1000</v>
      </c>
      <c r="R17" s="7">
        <f>P17-Q17</f>
        <v>-4841.932415936981</v>
      </c>
      <c r="S17" s="7">
        <f>IF(A17&lt;1+Parameters!$J$31,0,INDEX($M$5:$M$40,A17-Parameters!$J$31))</f>
        <v>2586.328775047351</v>
      </c>
      <c r="T17" s="7">
        <f>T16+M17-S17</f>
        <v>2683.5750509502227</v>
      </c>
      <c r="U17" s="7">
        <f>S17-N17-O17-Q17</f>
        <v>-4939.178691839853</v>
      </c>
      <c r="V17" s="7">
        <f>V16+U17</f>
        <v>-65638.27861590698</v>
      </c>
      <c r="W17" s="7">
        <f>(1-Parameters!$J$7)*(C17-E17)+(1-Parameters!$J$8)*(D17+E17)</f>
        <v>725.7074004088911</v>
      </c>
      <c r="X17" s="7">
        <f>Parameters!$J$7*(C17-E17)+Parameters!$J$8*Parameters!$J$9*(D17+E17)</f>
        <v>6292.611219858906</v>
      </c>
      <c r="Y17" s="7">
        <f>Parameters!$J$8*(1-Parameters!$J$9)*(D17+E17)</f>
        <v>575.0305723015583</v>
      </c>
      <c r="Z17" s="7">
        <f>POWER(1/(1+Parameters!$J$32),A17-1)*(M17-N17)</f>
        <v>140.27695501626056</v>
      </c>
    </row>
    <row r="18" spans="1:26">
      <c r="A18" s="7">
        <v>14</v>
      </c>
      <c r="B18" s="7">
        <f>Parameters!$J$20</f>
        <v>1000</v>
      </c>
      <c r="C18" s="7">
        <f>X17+B18</f>
        <v>7292.611219858906</v>
      </c>
      <c r="D18" s="7">
        <f>Y17</f>
        <v>575.0305723015583</v>
      </c>
      <c r="E18" s="7">
        <f>Parameters!$J$6*C18</f>
        <v>145.85222439717813</v>
      </c>
      <c r="F18" s="7">
        <f>IF(Parameters!$J$5=1,E18,0)</f>
        <v>0.0</v>
      </c>
      <c r="G18" s="7">
        <f>Parameters!$J$27*G17+F18</f>
        <v>0.0</v>
      </c>
      <c r="H18" s="7">
        <f>IF(AND(Parameters!$J$5=1,Parameters!$J$26=1),SUMPRODUCT(--($A$5:A18&lt;A18),--(MOD(A18-$A$5:A18,Parameters!$J$28)=0),$F$5:F18,POWER(Parameters!$J$27,IF(A18-$A$5:A18=0,1,A18-$A$5:A18))),0)</f>
        <v>0.0</v>
      </c>
      <c r="I18" s="7">
        <f>Parameters!$J$23*I17+B18*Parameters!$J$22</f>
        <v>0.0</v>
      </c>
      <c r="J18" s="7">
        <f>E18*Parameters!$J$14*(1-Parameters!$J$15)</f>
        <v>2771.1922635463843</v>
      </c>
      <c r="K18" s="7">
        <f>H18*Parameters!$J$29</f>
        <v>0.0</v>
      </c>
      <c r="L18" s="7">
        <f>I18*Parameters!$J$24</f>
        <v>0.0</v>
      </c>
      <c r="M18" s="7">
        <f>J18+K18+L18</f>
        <v>2771.1922635463843</v>
      </c>
      <c r="N18" s="7">
        <f>C18*Parameters!$J$17+D18*Parameters!$J$18+E18*Parameters!$J$16+I18*Parameters!$J$25+G18*Parameters!$J$30</f>
        <v>2621.1508765056287</v>
      </c>
      <c r="O18" s="7">
        <f>B18*Parameters!$J$19</f>
        <v>4000</v>
      </c>
      <c r="P18" s="7">
        <f>M18-N18-O18</f>
        <v>-3849.9586129592444</v>
      </c>
      <c r="Q18" s="7">
        <f>Parameters!$J$21</f>
        <v>1000</v>
      </c>
      <c r="R18" s="7">
        <f>P18-Q18</f>
        <v>-4849.958612959244</v>
      </c>
      <c r="S18" s="7">
        <f>IF(A18&lt;1+Parameters!$J$31,0,INDEX($M$5:$M$40,A18-Parameters!$J$31))</f>
        <v>2683.5750509502227</v>
      </c>
      <c r="T18" s="7">
        <f>T17+M18-S18</f>
        <v>2771.1922635463843</v>
      </c>
      <c r="U18" s="7">
        <f>S18-N18-O18-Q18</f>
        <v>-4937.5758255554065</v>
      </c>
      <c r="V18" s="7">
        <f>V17+U18</f>
        <v>-70575.85444146239</v>
      </c>
      <c r="W18" s="7">
        <f>(1-Parameters!$J$7)*(C18-E18)+(1-Parameters!$J$8)*(D18+E18)</f>
        <v>750.7200393811095</v>
      </c>
      <c r="X18" s="7">
        <f>Parameters!$J$7*(C18-E18)+Parameters!$J$8*Parameters!$J$9*(D18+E18)</f>
        <v>6500.566961601936</v>
      </c>
      <c r="Y18" s="7">
        <f>Parameters!$J$8*(1-Parameters!$J$9)*(D18+E18)</f>
        <v>616.3547911774197</v>
      </c>
      <c r="Z18" s="7">
        <f>POWER(1/(1+Parameters!$J$32),A18-1)*(M18-N18)</f>
        <v>131.8357551356709</v>
      </c>
    </row>
    <row r="19" spans="1:26">
      <c r="A19" s="7">
        <v>15</v>
      </c>
      <c r="B19" s="7">
        <f>Parameters!$J$20</f>
        <v>1000</v>
      </c>
      <c r="C19" s="7">
        <f>X18+B19</f>
        <v>7500.566961601935</v>
      </c>
      <c r="D19" s="7">
        <f>Y18</f>
        <v>616.3547911774197</v>
      </c>
      <c r="E19" s="7">
        <f>Parameters!$J$6*C19</f>
        <v>150.0113392320387</v>
      </c>
      <c r="F19" s="7">
        <f>IF(Parameters!$J$5=1,E19,0)</f>
        <v>0.0</v>
      </c>
      <c r="G19" s="7">
        <f>Parameters!$J$27*G18+F19</f>
        <v>0.0</v>
      </c>
      <c r="H19" s="7">
        <f>IF(AND(Parameters!$J$5=1,Parameters!$J$26=1),SUMPRODUCT(--($A$5:A19&lt;A19),--(MOD(A19-$A$5:A19,Parameters!$J$28)=0),$F$5:F19,POWER(Parameters!$J$27,IF(A19-$A$5:A19=0,1,A19-$A$5:A19))),0)</f>
        <v>0.0</v>
      </c>
      <c r="I19" s="7">
        <f>Parameters!$J$23*I18+B19*Parameters!$J$22</f>
        <v>0.0</v>
      </c>
      <c r="J19" s="7">
        <f>E19*Parameters!$J$14*(1-Parameters!$J$15)</f>
        <v>2850.2154454087354</v>
      </c>
      <c r="K19" s="7">
        <f>H19*Parameters!$J$29</f>
        <v>0.0</v>
      </c>
      <c r="L19" s="7">
        <f>I19*Parameters!$J$24</f>
        <v>0.0</v>
      </c>
      <c r="M19" s="7">
        <f>J19+K19+L19</f>
        <v>2850.2154454087354</v>
      </c>
      <c r="N19" s="7">
        <f>C19*Parameters!$J$17+D19*Parameters!$J$18+E19*Parameters!$J$16+I19*Parameters!$J$25+G19*Parameters!$J$30</f>
        <v>2708.358823301329</v>
      </c>
      <c r="O19" s="7">
        <f>B19*Parameters!$J$19</f>
        <v>4000</v>
      </c>
      <c r="P19" s="7">
        <f>M19-N19-O19</f>
        <v>-3858.1433778925934</v>
      </c>
      <c r="Q19" s="7">
        <f>Parameters!$J$21</f>
        <v>1000</v>
      </c>
      <c r="R19" s="7">
        <f>P19-Q19</f>
        <v>-4858.143377892593</v>
      </c>
      <c r="S19" s="7">
        <f>IF(A19&lt;1+Parameters!$J$31,0,INDEX($M$5:$M$40,A19-Parameters!$J$31))</f>
        <v>2771.1922635463843</v>
      </c>
      <c r="T19" s="7">
        <f>T18+M19-S19</f>
        <v>2850.2154454087354</v>
      </c>
      <c r="U19" s="7">
        <f>S19-N19-O19-Q19</f>
        <v>-4937.1665597549445</v>
      </c>
      <c r="V19" s="7">
        <f>V18+U19</f>
        <v>-75513.02100121733</v>
      </c>
      <c r="W19" s="7">
        <f>(1-Parameters!$J$7)*(C19-E19)+(1-Parameters!$J$8)*(D19+E19)</f>
        <v>773.3738687574624</v>
      </c>
      <c r="X19" s="7">
        <f>Parameters!$J$7*(C19-E19)+Parameters!$J$8*Parameters!$J$9*(D19+E19)</f>
        <v>6688.304842521805</v>
      </c>
      <c r="Y19" s="7">
        <f>Parameters!$J$8*(1-Parameters!$J$9)*(D19+E19)</f>
        <v>655.2430415000869</v>
      </c>
      <c r="Z19" s="7">
        <f>POWER(1/(1+Parameters!$J$32),A19-1)*(M19-N19)</f>
        <v>123.41000822267387</v>
      </c>
    </row>
    <row r="20" spans="1:26">
      <c r="A20" s="7">
        <v>16</v>
      </c>
      <c r="B20" s="7">
        <f>Parameters!$J$20</f>
        <v>1000</v>
      </c>
      <c r="C20" s="7">
        <f>X19+B20</f>
        <v>7688.304842521805</v>
      </c>
      <c r="D20" s="7">
        <f>Y19</f>
        <v>655.2430415000869</v>
      </c>
      <c r="E20" s="7">
        <f>Parameters!$J$6*C20</f>
        <v>153.7660968504361</v>
      </c>
      <c r="F20" s="7">
        <f>IF(Parameters!$J$5=1,E20,0)</f>
        <v>0.0</v>
      </c>
      <c r="G20" s="7">
        <f>Parameters!$J$27*G19+F20</f>
        <v>0.0</v>
      </c>
      <c r="H20" s="7">
        <f>IF(AND(Parameters!$J$5=1,Parameters!$J$26=1),SUMPRODUCT(--($A$5:A20&lt;A20),--(MOD(A20-$A$5:A20,Parameters!$J$28)=0),$F$5:F20,POWER(Parameters!$J$27,IF(A20-$A$5:A20=0,1,A20-$A$5:A20))),0)</f>
        <v>0.0</v>
      </c>
      <c r="I20" s="7">
        <f>Parameters!$J$23*I19+B20*Parameters!$J$22</f>
        <v>0.0</v>
      </c>
      <c r="J20" s="7">
        <f>E20*Parameters!$J$14*(1-Parameters!$J$15)</f>
        <v>2921.5558401582857</v>
      </c>
      <c r="K20" s="7">
        <f>H20*Parameters!$J$29</f>
        <v>0.0</v>
      </c>
      <c r="L20" s="7">
        <f>I20*Parameters!$J$24</f>
        <v>0.0</v>
      </c>
      <c r="M20" s="7">
        <f>J20+K20+L20</f>
        <v>2921.5558401582857</v>
      </c>
      <c r="N20" s="7">
        <f>C20*Parameters!$J$17+D20*Parameters!$J$18+E20*Parameters!$J$16+I20*Parameters!$J$25+G20*Parameters!$J$30</f>
        <v>2787.879070357021</v>
      </c>
      <c r="O20" s="7">
        <f>B20*Parameters!$J$19</f>
        <v>4000</v>
      </c>
      <c r="P20" s="7">
        <f>M20-N20-O20</f>
        <v>-3866.3232301987355</v>
      </c>
      <c r="Q20" s="7">
        <f>Parameters!$J$21</f>
        <v>1000</v>
      </c>
      <c r="R20" s="7">
        <f>P20-Q20</f>
        <v>-4866.3232301987355</v>
      </c>
      <c r="S20" s="7">
        <f>IF(A20&lt;1+Parameters!$J$31,0,INDEX($M$5:$M$40,A20-Parameters!$J$31))</f>
        <v>2850.2154454087354</v>
      </c>
      <c r="T20" s="7">
        <f>T19+M20-S20</f>
        <v>2921.5558401582857</v>
      </c>
      <c r="U20" s="7">
        <f>S20-N20-O20-Q20</f>
        <v>-4937.663624948285</v>
      </c>
      <c r="V20" s="7">
        <f>V19+U20</f>
        <v>-80450.68462616562</v>
      </c>
      <c r="W20" s="7">
        <f>(1-Parameters!$J$7)*(C20-E20)+(1-Parameters!$J$8)*(D20+E20)</f>
        <v>793.9043314846629</v>
      </c>
      <c r="X20" s="7">
        <f>Parameters!$J$7*(C20-E20)+Parameters!$J$8*Parameters!$J$9*(D20+E20)</f>
        <v>6857.940739247531</v>
      </c>
      <c r="Y20" s="7">
        <f>Parameters!$J$8*(1-Parameters!$J$9)*(D20+E20)</f>
        <v>691.7028132896971</v>
      </c>
      <c r="Z20" s="7">
        <f>POWER(1/(1+Parameters!$J$32),A20-1)*(M20-N20)</f>
        <v>115.1424154650733</v>
      </c>
    </row>
    <row r="21" spans="1:26">
      <c r="A21" s="7">
        <v>17</v>
      </c>
      <c r="B21" s="7">
        <f>Parameters!$J$20</f>
        <v>1000</v>
      </c>
      <c r="C21" s="7">
        <f>X20+B21</f>
        <v>7857.940739247531</v>
      </c>
      <c r="D21" s="7">
        <f>Y20</f>
        <v>691.7028132896971</v>
      </c>
      <c r="E21" s="7">
        <f>Parameters!$J$6*C21</f>
        <v>157.15881478495064</v>
      </c>
      <c r="F21" s="7">
        <f>IF(Parameters!$J$5=1,E21,0)</f>
        <v>0.0</v>
      </c>
      <c r="G21" s="7">
        <f>Parameters!$J$27*G20+F21</f>
        <v>0.0</v>
      </c>
      <c r="H21" s="7">
        <f>IF(AND(Parameters!$J$5=1,Parameters!$J$26=1),SUMPRODUCT(--($A$5:A21&lt;A21),--(MOD(A21-$A$5:A21,Parameters!$J$28)=0),$F$5:F21,POWER(Parameters!$J$27,IF(A21-$A$5:A21=0,1,A21-$A$5:A21))),0)</f>
        <v>0.0</v>
      </c>
      <c r="I21" s="7">
        <f>Parameters!$J$23*I20+B21*Parameters!$J$22</f>
        <v>0.0</v>
      </c>
      <c r="J21" s="7">
        <f>E21*Parameters!$J$14*(1-Parameters!$J$15)</f>
        <v>2986.017480914062</v>
      </c>
      <c r="K21" s="7">
        <f>H21*Parameters!$J$29</f>
        <v>0.0</v>
      </c>
      <c r="L21" s="7">
        <f>I21*Parameters!$J$24</f>
        <v>0.0</v>
      </c>
      <c r="M21" s="7">
        <f>J21+K21+L21</f>
        <v>2986.017480914062</v>
      </c>
      <c r="N21" s="7">
        <f>C21*Parameters!$J$17+D21*Parameters!$J$18+E21*Parameters!$J$16+I21*Parameters!$J$25+G21*Parameters!$J$30</f>
        <v>2860.3924432040585</v>
      </c>
      <c r="O21" s="7">
        <f>B21*Parameters!$J$19</f>
        <v>4000</v>
      </c>
      <c r="P21" s="7">
        <f>M21-N21-O21</f>
        <v>-3874.3749622899963</v>
      </c>
      <c r="Q21" s="7">
        <f>Parameters!$J$21</f>
        <v>1000</v>
      </c>
      <c r="R21" s="7">
        <f>P21-Q21</f>
        <v>-4874.374962289996</v>
      </c>
      <c r="S21" s="7">
        <f>IF(A21&lt;1+Parameters!$J$31,0,INDEX($M$5:$M$40,A21-Parameters!$J$31))</f>
        <v>2921.5558401582857</v>
      </c>
      <c r="T21" s="7">
        <f>T20+M21-S21</f>
        <v>2986.017480914062</v>
      </c>
      <c r="U21" s="7">
        <f>S21-N21-O21-Q21</f>
        <v>-4938.836603045773</v>
      </c>
      <c r="V21" s="7">
        <f>V20+U21</f>
        <v>-85389.52122921139</v>
      </c>
      <c r="W21" s="7">
        <f>(1-Parameters!$J$7)*(C21-E21)+(1-Parameters!$J$8)*(D21+E21)</f>
        <v>812.5212738499904</v>
      </c>
      <c r="X21" s="7">
        <f>Parameters!$J$7*(C21-E21)+Parameters!$J$8*Parameters!$J$9*(D21+E21)</f>
        <v>7011.345586683414</v>
      </c>
      <c r="Y21" s="7">
        <f>Parameters!$J$8*(1-Parameters!$J$9)*(D21+E21)</f>
        <v>725.7766920038239</v>
      </c>
      <c r="Z21" s="7">
        <f>POWER(1/(1+Parameters!$J$32),A21-1)*(M21-N21)</f>
        <v>107.13570322456133</v>
      </c>
    </row>
    <row r="22" spans="1:26">
      <c r="A22" s="7">
        <v>18</v>
      </c>
      <c r="B22" s="7">
        <f>Parameters!$J$20</f>
        <v>1000</v>
      </c>
      <c r="C22" s="7">
        <f>X21+B22</f>
        <v>8011.345586683415</v>
      </c>
      <c r="D22" s="7">
        <f>Y21</f>
        <v>725.7766920038239</v>
      </c>
      <c r="E22" s="7">
        <f>Parameters!$J$6*C22</f>
        <v>160.2269117336683</v>
      </c>
      <c r="F22" s="7">
        <f>IF(Parameters!$J$5=1,E22,0)</f>
        <v>0.0</v>
      </c>
      <c r="G22" s="7">
        <f>Parameters!$J$27*G21+F22</f>
        <v>0.0</v>
      </c>
      <c r="H22" s="7">
        <f>IF(AND(Parameters!$J$5=1,Parameters!$J$26=1),SUMPRODUCT(--($A$5:A22&lt;A22),--(MOD(A22-$A$5:A22,Parameters!$J$28)=0),$F$5:F22,POWER(Parameters!$J$27,IF(A22-$A$5:A22=0,1,A22-$A$5:A22))),0)</f>
        <v>0.0</v>
      </c>
      <c r="I22" s="7">
        <f>Parameters!$J$23*I21+B22*Parameters!$J$22</f>
        <v>0.0</v>
      </c>
      <c r="J22" s="7">
        <f>E22*Parameters!$J$14*(1-Parameters!$J$15)</f>
        <v>3044.311322939697</v>
      </c>
      <c r="K22" s="7">
        <f>H22*Parameters!$J$29</f>
        <v>0.0</v>
      </c>
      <c r="L22" s="7">
        <f>I22*Parameters!$J$24</f>
        <v>0.0</v>
      </c>
      <c r="M22" s="7">
        <f>J22+K22+L22</f>
        <v>3044.311322939697</v>
      </c>
      <c r="N22" s="7">
        <f>C22*Parameters!$J$17+D22*Parameters!$J$18+E22*Parameters!$J$16+I22*Parameters!$J$25+G22*Parameters!$J$30</f>
        <v>2926.5189337406046</v>
      </c>
      <c r="O22" s="7">
        <f>B22*Parameters!$J$19</f>
        <v>4000</v>
      </c>
      <c r="P22" s="7">
        <f>M22-N22-O22</f>
        <v>-3882.2076108009073</v>
      </c>
      <c r="Q22" s="7">
        <f>Parameters!$J$21</f>
        <v>1000</v>
      </c>
      <c r="R22" s="7">
        <f>P22-Q22</f>
        <v>-4882.207610800908</v>
      </c>
      <c r="S22" s="7">
        <f>IF(A22&lt;1+Parameters!$J$31,0,INDEX($M$5:$M$40,A22-Parameters!$J$31))</f>
        <v>2986.017480914062</v>
      </c>
      <c r="T22" s="7">
        <f>T21+M22-S22</f>
        <v>3044.311322939697</v>
      </c>
      <c r="U22" s="7">
        <f>S22-N22-O22-Q22</f>
        <v>-4940.501452826542</v>
      </c>
      <c r="V22" s="7">
        <f>V21+U22</f>
        <v>-90330.02268203793</v>
      </c>
      <c r="W22" s="7">
        <f>(1-Parameters!$J$7)*(C22-E22)+(1-Parameters!$J$8)*(D22+E22)</f>
        <v>829.4120476818491</v>
      </c>
      <c r="X22" s="7">
        <f>Parameters!$J$7*(C22-E22)+Parameters!$J$8*Parameters!$J$9*(D22+E22)</f>
        <v>7150.177149809833</v>
      </c>
      <c r="Y22" s="7">
        <f>Parameters!$J$8*(1-Parameters!$J$9)*(D22+E22)</f>
        <v>757.5330811955558</v>
      </c>
      <c r="Z22" s="7">
        <f>POWER(1/(1+Parameters!$J$32),A22-1)*(M22-N22)</f>
        <v>99.461241618879</v>
      </c>
    </row>
    <row r="23" spans="1:26">
      <c r="A23" s="7">
        <v>19</v>
      </c>
      <c r="B23" s="7">
        <f>Parameters!$J$20</f>
        <v>1000</v>
      </c>
      <c r="C23" s="7">
        <f>X22+B23</f>
        <v>8150.177149809833</v>
      </c>
      <c r="D23" s="7">
        <f>Y22</f>
        <v>757.5330811955557</v>
      </c>
      <c r="E23" s="7">
        <f>Parameters!$J$6*C23</f>
        <v>163.00354299619667</v>
      </c>
      <c r="F23" s="7">
        <f>IF(Parameters!$J$5=1,E23,0)</f>
        <v>0.0</v>
      </c>
      <c r="G23" s="7">
        <f>Parameters!$J$27*G22+F23</f>
        <v>0.0</v>
      </c>
      <c r="H23" s="7">
        <f>IF(AND(Parameters!$J$5=1,Parameters!$J$26=1),SUMPRODUCT(--($A$5:A23&lt;A23),--(MOD(A23-$A$5:A23,Parameters!$J$28)=0),$F$5:F23,POWER(Parameters!$J$27,IF(A23-$A$5:A23=0,1,A23-$A$5:A23))),0)</f>
        <v>0.0</v>
      </c>
      <c r="I23" s="7">
        <f>Parameters!$J$23*I22+B23*Parameters!$J$22</f>
        <v>0.0</v>
      </c>
      <c r="J23" s="7">
        <f>E23*Parameters!$J$14*(1-Parameters!$J$15)</f>
        <v>3097.0673169277366</v>
      </c>
      <c r="K23" s="7">
        <f>H23*Parameters!$J$29</f>
        <v>0.0</v>
      </c>
      <c r="L23" s="7">
        <f>I23*Parameters!$J$24</f>
        <v>0.0</v>
      </c>
      <c r="M23" s="7">
        <f>J23+K23+L23</f>
        <v>3097.0673169277366</v>
      </c>
      <c r="N23" s="7">
        <f>C23*Parameters!$J$17+D23*Parameters!$J$18+E23*Parameters!$J$16+I23*Parameters!$J$25+G23*Parameters!$J$30</f>
        <v>2986.8232285369245</v>
      </c>
      <c r="O23" s="7">
        <f>B23*Parameters!$J$19</f>
        <v>4000</v>
      </c>
      <c r="P23" s="7">
        <f>M23-N23-O23</f>
        <v>-3889.755911609188</v>
      </c>
      <c r="Q23" s="7">
        <f>Parameters!$J$21</f>
        <v>1000</v>
      </c>
      <c r="R23" s="7">
        <f>P23-Q23</f>
        <v>-4889.755911609188</v>
      </c>
      <c r="S23" s="7">
        <f>IF(A23&lt;1+Parameters!$J$31,0,INDEX($M$5:$M$40,A23-Parameters!$J$31))</f>
        <v>3044.311322939697</v>
      </c>
      <c r="T23" s="7">
        <f>T22+M23-S23</f>
        <v>3097.0673169277366</v>
      </c>
      <c r="U23" s="7">
        <f>S23-N23-O23-Q23</f>
        <v>-4942.511905597227</v>
      </c>
      <c r="V23" s="7">
        <f>V22+U23</f>
        <v>-95272.53458763516</v>
      </c>
      <c r="W23" s="7">
        <f>(1-Parameters!$J$7)*(C23-E23)+(1-Parameters!$J$8)*(D23+E23)</f>
        <v>844.7441918909511</v>
      </c>
      <c r="X23" s="7">
        <f>Parameters!$J$7*(C23-E23)+Parameters!$J$8*Parameters!$J$9*(D23+E23)</f>
        <v>7275.907225430489</v>
      </c>
      <c r="Y23" s="7">
        <f>Parameters!$J$8*(1-Parameters!$J$9)*(D23+E23)</f>
        <v>787.0588136839483</v>
      </c>
      <c r="Z23" s="7">
        <f>POWER(1/(1+Parameters!$J$32),A23-1)*(M23-N23)</f>
        <v>92.16596668193019</v>
      </c>
    </row>
    <row r="24" spans="1:26">
      <c r="A24" s="7">
        <v>20</v>
      </c>
      <c r="B24" s="7">
        <f>Parameters!$J$20</f>
        <v>1000</v>
      </c>
      <c r="C24" s="7">
        <f>X23+B24</f>
        <v>8275.90722543049</v>
      </c>
      <c r="D24" s="7">
        <f>Y23</f>
        <v>787.0588136839483</v>
      </c>
      <c r="E24" s="7">
        <f>Parameters!$J$6*C24</f>
        <v>165.5181445086098</v>
      </c>
      <c r="F24" s="7">
        <f>IF(Parameters!$J$5=1,E24,0)</f>
        <v>0.0</v>
      </c>
      <c r="G24" s="7">
        <f>Parameters!$J$27*G23+F24</f>
        <v>0.0</v>
      </c>
      <c r="H24" s="7">
        <f>IF(AND(Parameters!$J$5=1,Parameters!$J$26=1),SUMPRODUCT(--($A$5:A24&lt;A24),--(MOD(A24-$A$5:A24,Parameters!$J$28)=0),$F$5:F24,POWER(Parameters!$J$27,IF(A24-$A$5:A24=0,1,A24-$A$5:A24))),0)</f>
        <v>0.0</v>
      </c>
      <c r="I24" s="7">
        <f>Parameters!$J$23*I23+B24*Parameters!$J$22</f>
        <v>0.0</v>
      </c>
      <c r="J24" s="7">
        <f>E24*Parameters!$J$14*(1-Parameters!$J$15)</f>
        <v>3144.844745663586</v>
      </c>
      <c r="K24" s="7">
        <f>H24*Parameters!$J$29</f>
        <v>0.0</v>
      </c>
      <c r="L24" s="7">
        <f>I24*Parameters!$J$24</f>
        <v>0.0</v>
      </c>
      <c r="M24" s="7">
        <f>J24+K24+L24</f>
        <v>3144.844745663586</v>
      </c>
      <c r="N24" s="7">
        <f>C24*Parameters!$J$17+D24*Parameters!$J$18+E24*Parameters!$J$16+I24*Parameters!$J$25+G24*Parameters!$J$30</f>
        <v>3041.819718979731</v>
      </c>
      <c r="O24" s="7">
        <f>B24*Parameters!$J$19</f>
        <v>4000</v>
      </c>
      <c r="P24" s="7">
        <f>M24-N24-O24</f>
        <v>-3896.974973316145</v>
      </c>
      <c r="Q24" s="7">
        <f>Parameters!$J$21</f>
        <v>1000</v>
      </c>
      <c r="R24" s="7">
        <f>P24-Q24</f>
        <v>-4896.974973316145</v>
      </c>
      <c r="S24" s="7">
        <f>IF(A24&lt;1+Parameters!$J$31,0,INDEX($M$5:$M$40,A24-Parameters!$J$31))</f>
        <v>3097.0673169277366</v>
      </c>
      <c r="T24" s="7">
        <f>T23+M24-S24</f>
        <v>3144.844745663586</v>
      </c>
      <c r="U24" s="7">
        <f>S24-N24-O24-Q24</f>
        <v>-4944.752402051994</v>
      </c>
      <c r="V24" s="7">
        <f>V23+U24</f>
        <v>-100217.28698968716</v>
      </c>
      <c r="W24" s="7">
        <f>(1-Parameters!$J$7)*(C24-E24)+(1-Parameters!$J$8)*(D24+E24)</f>
        <v>858.6677560018156</v>
      </c>
      <c r="X24" s="7">
        <f>Parameters!$J$7*(C24-E24)+Parameters!$J$8*Parameters!$J$9*(D24+E24)</f>
        <v>7389.844983857985</v>
      </c>
      <c r="Y24" s="7">
        <f>Parameters!$J$8*(1-Parameters!$J$9)*(D24+E24)</f>
        <v>814.4532992546372</v>
      </c>
      <c r="Z24" s="7">
        <f>POWER(1/(1+Parameters!$J$32),A24-1)*(M24-N24)</f>
        <v>85.27792683435653</v>
      </c>
    </row>
    <row r="25" spans="1:26">
      <c r="A25" s="7">
        <v>21</v>
      </c>
      <c r="B25" s="7">
        <f>Parameters!$J$20</f>
        <v>1000</v>
      </c>
      <c r="C25" s="7">
        <f>X24+B25</f>
        <v>8389.844983857985</v>
      </c>
      <c r="D25" s="7">
        <f>Y24</f>
        <v>814.4532992546372</v>
      </c>
      <c r="E25" s="7">
        <f>Parameters!$J$6*C25</f>
        <v>167.7968996771597</v>
      </c>
      <c r="F25" s="7">
        <f>IF(Parameters!$J$5=1,E25,0)</f>
        <v>0.0</v>
      </c>
      <c r="G25" s="7">
        <f>Parameters!$J$27*G24+F25</f>
        <v>0.0</v>
      </c>
      <c r="H25" s="7">
        <f>IF(AND(Parameters!$J$5=1,Parameters!$J$26=1),SUMPRODUCT(--($A$5:A25&lt;A25),--(MOD(A25-$A$5:A25,Parameters!$J$28)=0),$F$5:F25,POWER(Parameters!$J$27,IF(A25-$A$5:A25=0,1,A25-$A$5:A25))),0)</f>
        <v>0.0</v>
      </c>
      <c r="I25" s="7">
        <f>Parameters!$J$23*I24+B25*Parameters!$J$22</f>
        <v>0.0</v>
      </c>
      <c r="J25" s="7">
        <f>E25*Parameters!$J$14*(1-Parameters!$J$15)</f>
        <v>3188.141093866034</v>
      </c>
      <c r="K25" s="7">
        <f>H25*Parameters!$J$29</f>
        <v>0.0</v>
      </c>
      <c r="L25" s="7">
        <f>I25*Parameters!$J$24</f>
        <v>0.0</v>
      </c>
      <c r="M25" s="7">
        <f>J25+K25+L25</f>
        <v>3188.141093866034</v>
      </c>
      <c r="N25" s="7">
        <f>C25*Parameters!$J$17+D25*Parameters!$J$18+E25*Parameters!$J$16+I25*Parameters!$J$25+G25*Parameters!$J$30</f>
        <v>3091.977044461874</v>
      </c>
      <c r="O25" s="7">
        <f>B25*Parameters!$J$19</f>
        <v>4000</v>
      </c>
      <c r="P25" s="7">
        <f>M25-N25-O25</f>
        <v>-3903.8359505958397</v>
      </c>
      <c r="Q25" s="7">
        <f>Parameters!$J$21</f>
        <v>1000</v>
      </c>
      <c r="R25" s="7">
        <f>P25-Q25</f>
        <v>-4903.83595059584</v>
      </c>
      <c r="S25" s="7">
        <f>IF(A25&lt;1+Parameters!$J$31,0,INDEX($M$5:$M$40,A25-Parameters!$J$31))</f>
        <v>3144.844745663586</v>
      </c>
      <c r="T25" s="7">
        <f>T24+M25-S25</f>
        <v>3188.141093866034</v>
      </c>
      <c r="U25" s="7">
        <f>S25-N25-O25-Q25</f>
        <v>-4947.132298798288</v>
      </c>
      <c r="V25" s="7">
        <f>V24+U25</f>
        <v>-105164.41928848544</v>
      </c>
      <c r="W25" s="7">
        <f>(1-Parameters!$J$7)*(C25-E25)+(1-Parameters!$J$8)*(D25+E25)</f>
        <v>871.3173183646721</v>
      </c>
      <c r="X25" s="7">
        <f>Parameters!$J$7*(C25-E25)+Parameters!$J$8*Parameters!$J$9*(D25+E25)</f>
        <v>7493.157044661264</v>
      </c>
      <c r="Y25" s="7">
        <f>Parameters!$J$8*(1-Parameters!$J$9)*(D25+E25)</f>
        <v>839.8239200866863</v>
      </c>
      <c r="Z25" s="7">
        <f>POWER(1/(1+Parameters!$J$32),A25-1)*(M25-N25)</f>
        <v>78.81071493442208</v>
      </c>
    </row>
    <row r="26" spans="1:26">
      <c r="A26" s="7">
        <v>22</v>
      </c>
      <c r="B26" s="7">
        <f>Parameters!$J$20</f>
        <v>1000</v>
      </c>
      <c r="C26" s="7">
        <f>X25+B26</f>
        <v>8493.157044661264</v>
      </c>
      <c r="D26" s="7">
        <f>Y25</f>
        <v>839.8239200866864</v>
      </c>
      <c r="E26" s="7">
        <f>Parameters!$J$6*C26</f>
        <v>169.86314089322528</v>
      </c>
      <c r="F26" s="7">
        <f>IF(Parameters!$J$5=1,E26,0)</f>
        <v>0.0</v>
      </c>
      <c r="G26" s="7">
        <f>Parameters!$J$27*G25+F26</f>
        <v>0.0</v>
      </c>
      <c r="H26" s="7">
        <f>IF(AND(Parameters!$J$5=1,Parameters!$J$26=1),SUMPRODUCT(--($A$5:A26&lt;A26),--(MOD(A26-$A$5:A26,Parameters!$J$28)=0),$F$5:F26,POWER(Parameters!$J$27,IF(A26-$A$5:A26=0,1,A26-$A$5:A26))),0)</f>
        <v>0.0</v>
      </c>
      <c r="I26" s="7">
        <f>Parameters!$J$23*I25+B26*Parameters!$J$22</f>
        <v>0.0</v>
      </c>
      <c r="J26" s="7">
        <f>E26*Parameters!$J$14*(1-Parameters!$J$15)</f>
        <v>3227.39967697128</v>
      </c>
      <c r="K26" s="7">
        <f>H26*Parameters!$J$29</f>
        <v>0.0</v>
      </c>
      <c r="L26" s="7">
        <f>I26*Parameters!$J$24</f>
        <v>0.0</v>
      </c>
      <c r="M26" s="7">
        <f>J26+K26+L26</f>
        <v>3227.39967697128</v>
      </c>
      <c r="N26" s="7">
        <f>C26*Parameters!$J$17+D26*Parameters!$J$18+E26*Parameters!$J$16+I26*Parameters!$J$25+G26*Parameters!$J$30</f>
        <v>3137.7222143349477</v>
      </c>
      <c r="O26" s="7">
        <f>B26*Parameters!$J$19</f>
        <v>4000</v>
      </c>
      <c r="P26" s="7">
        <f>M26-N26-O26</f>
        <v>-3910.322537363668</v>
      </c>
      <c r="Q26" s="7">
        <f>Parameters!$J$21</f>
        <v>1000</v>
      </c>
      <c r="R26" s="7">
        <f>P26-Q26</f>
        <v>-4910.322537363668</v>
      </c>
      <c r="S26" s="7">
        <f>IF(A26&lt;1+Parameters!$J$31,0,INDEX($M$5:$M$40,A26-Parameters!$J$31))</f>
        <v>3188.141093866034</v>
      </c>
      <c r="T26" s="7">
        <f>T25+M26-S26</f>
        <v>3227.39967697128</v>
      </c>
      <c r="U26" s="7">
        <f>S26-N26-O26-Q26</f>
        <v>-4949.5811204689135</v>
      </c>
      <c r="V26" s="7">
        <f>V25+U26</f>
        <v>-110114.00040895435</v>
      </c>
      <c r="W26" s="7">
        <f>(1-Parameters!$J$7)*(C26-E26)+(1-Parameters!$J$8)*(D26+E26)</f>
        <v>882.8137434257992</v>
      </c>
      <c r="X26" s="7">
        <f>Parameters!$J$7*(C26-E26)+Parameters!$J$8*Parameters!$J$9*(D26+E26)</f>
        <v>7586.884784184327</v>
      </c>
      <c r="Y26" s="7">
        <f>Parameters!$J$8*(1-Parameters!$J$9)*(D26+E26)</f>
        <v>863.2824371378244</v>
      </c>
      <c r="Z26" s="7">
        <f>POWER(1/(1+Parameters!$J$32),A26-1)*(M26-N26)</f>
        <v>72.7669986311737</v>
      </c>
    </row>
    <row r="27" spans="1:26">
      <c r="A27" s="7">
        <v>23</v>
      </c>
      <c r="B27" s="7">
        <f>Parameters!$J$20</f>
        <v>1000</v>
      </c>
      <c r="C27" s="7">
        <f>X26+B27</f>
        <v>8586.884784184325</v>
      </c>
      <c r="D27" s="7">
        <f>Y26</f>
        <v>863.2824371378244</v>
      </c>
      <c r="E27" s="7">
        <f>Parameters!$J$6*C27</f>
        <v>171.73769568368652</v>
      </c>
      <c r="F27" s="7">
        <f>IF(Parameters!$J$5=1,E27,0)</f>
        <v>0.0</v>
      </c>
      <c r="G27" s="7">
        <f>Parameters!$J$27*G26+F27</f>
        <v>0.0</v>
      </c>
      <c r="H27" s="7">
        <f>IF(AND(Parameters!$J$5=1,Parameters!$J$26=1),SUMPRODUCT(--($A$5:A27&lt;A27),--(MOD(A27-$A$5:A27,Parameters!$J$28)=0),$F$5:F27,POWER(Parameters!$J$27,IF(A27-$A$5:A27=0,1,A27-$A$5:A27))),0)</f>
        <v>0.0</v>
      </c>
      <c r="I27" s="7">
        <f>Parameters!$J$23*I26+B27*Parameters!$J$22</f>
        <v>0.0</v>
      </c>
      <c r="J27" s="7">
        <f>E27*Parameters!$J$14*(1-Parameters!$J$15)</f>
        <v>3263.016217990044</v>
      </c>
      <c r="K27" s="7">
        <f>H27*Parameters!$J$29</f>
        <v>0.0</v>
      </c>
      <c r="L27" s="7">
        <f>I27*Parameters!$J$24</f>
        <v>0.0</v>
      </c>
      <c r="M27" s="7">
        <f>J27+K27+L27</f>
        <v>3263.016217990044</v>
      </c>
      <c r="N27" s="7">
        <f>C27*Parameters!$J$17+D27*Parameters!$J$18+E27*Parameters!$J$16+I27*Parameters!$J$25+G27*Parameters!$J$30</f>
        <v>3179.4443495078963</v>
      </c>
      <c r="O27" s="7">
        <f>B27*Parameters!$J$19</f>
        <v>4000</v>
      </c>
      <c r="P27" s="7">
        <f>M27-N27-O27</f>
        <v>-3916.4281315178523</v>
      </c>
      <c r="Q27" s="7">
        <f>Parameters!$J$21</f>
        <v>1000</v>
      </c>
      <c r="R27" s="7">
        <f>P27-Q27</f>
        <v>-4916.428131517852</v>
      </c>
      <c r="S27" s="7">
        <f>IF(A27&lt;1+Parameters!$J$31,0,INDEX($M$5:$M$40,A27-Parameters!$J$31))</f>
        <v>3227.39967697128</v>
      </c>
      <c r="T27" s="7">
        <f>T26+M27-S27</f>
        <v>3263.016217990044</v>
      </c>
      <c r="U27" s="7">
        <f>S27-N27-O27-Q27</f>
        <v>-4952.044672536616</v>
      </c>
      <c r="V27" s="7">
        <f>V26+U27</f>
        <v>-115066.04508149097</v>
      </c>
      <c r="W27" s="7">
        <f>(1-Parameters!$J$7)*(C27-E27)+(1-Parameters!$J$8)*(D27+E27)</f>
        <v>893.2657154911393</v>
      </c>
      <c r="X27" s="7">
        <f>Parameters!$J$7*(C27-E27)+Parameters!$J$8*Parameters!$J$9*(D27+E27)</f>
        <v>7671.959292268619</v>
      </c>
      <c r="Y27" s="7">
        <f>Parameters!$J$8*(1-Parameters!$J$9)*(D27+E27)</f>
        <v>884.9422135623919</v>
      </c>
      <c r="Z27" s="7">
        <f>POWER(1/(1+Parameters!$J$32),A27-1)*(M27-N27)</f>
        <v>67.14132211577281</v>
      </c>
    </row>
    <row r="28" spans="1:26">
      <c r="A28" s="7">
        <v>24</v>
      </c>
      <c r="B28" s="7">
        <f>Parameters!$J$20</f>
        <v>1000</v>
      </c>
      <c r="C28" s="7">
        <f>X27+B28</f>
        <v>8671.959292268619</v>
      </c>
      <c r="D28" s="7">
        <f>Y27</f>
        <v>884.9422135623919</v>
      </c>
      <c r="E28" s="7">
        <f>Parameters!$J$6*C28</f>
        <v>173.43918584537238</v>
      </c>
      <c r="F28" s="7">
        <f>IF(Parameters!$J$5=1,E28,0)</f>
        <v>0.0</v>
      </c>
      <c r="G28" s="7">
        <f>Parameters!$J$27*G27+F28</f>
        <v>0.0</v>
      </c>
      <c r="H28" s="7">
        <f>IF(AND(Parameters!$J$5=1,Parameters!$J$26=1),SUMPRODUCT(--($A$5:A28&lt;A28),--(MOD(A28-$A$5:A28,Parameters!$J$28)=0),$F$5:F28,POWER(Parameters!$J$27,IF(A28-$A$5:A28=0,1,A28-$A$5:A28))),0)</f>
        <v>0.0</v>
      </c>
      <c r="I28" s="7">
        <f>Parameters!$J$23*I27+B28*Parameters!$J$22</f>
        <v>0.0</v>
      </c>
      <c r="J28" s="7">
        <f>E28*Parameters!$J$14*(1-Parameters!$J$15)</f>
        <v>3295.344531062075</v>
      </c>
      <c r="K28" s="7">
        <f>H28*Parameters!$J$29</f>
        <v>0.0</v>
      </c>
      <c r="L28" s="7">
        <f>I28*Parameters!$J$24</f>
        <v>0.0</v>
      </c>
      <c r="M28" s="7">
        <f>J28+K28+L28</f>
        <v>3295.344531062075</v>
      </c>
      <c r="N28" s="7">
        <f>C28*Parameters!$J$17+D28*Parameters!$J$18+E28*Parameters!$J$16+I28*Parameters!$J$25+G28*Parameters!$J$30</f>
        <v>3217.498080307154</v>
      </c>
      <c r="O28" s="7">
        <f>B28*Parameters!$J$19</f>
        <v>4000</v>
      </c>
      <c r="P28" s="7">
        <f>M28-N28-O28</f>
        <v>-3922.153549245079</v>
      </c>
      <c r="Q28" s="7">
        <f>Parameters!$J$21</f>
        <v>1000</v>
      </c>
      <c r="R28" s="7">
        <f>P28-Q28</f>
        <v>-4922.1535492450785</v>
      </c>
      <c r="S28" s="7">
        <f>IF(A28&lt;1+Parameters!$J$31,0,INDEX($M$5:$M$40,A28-Parameters!$J$31))</f>
        <v>3263.016217990044</v>
      </c>
      <c r="T28" s="7">
        <f>T27+M28-S28</f>
        <v>3295.344531062075</v>
      </c>
      <c r="U28" s="7">
        <f>S28-N28-O28-Q28</f>
        <v>-4954.48186231711</v>
      </c>
      <c r="V28" s="7">
        <f>V27+U28</f>
        <v>-120020.52694380809</v>
      </c>
      <c r="W28" s="7">
        <f>(1-Parameters!$J$7)*(C28-E28)+(1-Parameters!$J$8)*(D28+E28)</f>
        <v>902.7710806127127</v>
      </c>
      <c r="X28" s="7">
        <f>Parameters!$J$7*(C28-E28)+Parameters!$J$8*Parameters!$J$9*(D28+E28)</f>
        <v>7749.214328724659</v>
      </c>
      <c r="Y28" s="7">
        <f>Parameters!$J$8*(1-Parameters!$J$9)*(D28+E28)</f>
        <v>904.9160964936385</v>
      </c>
      <c r="Z28" s="7">
        <f>POWER(1/(1+Parameters!$J$32),A28-1)*(M28-N28)</f>
        <v>61.922320032281974</v>
      </c>
    </row>
    <row r="29" spans="1:26">
      <c r="A29" s="7">
        <v>25</v>
      </c>
      <c r="B29" s="7">
        <f>Parameters!$J$20</f>
        <v>1000</v>
      </c>
      <c r="C29" s="7">
        <f>X28+B29</f>
        <v>8749.21432872466</v>
      </c>
      <c r="D29" s="7">
        <f>Y28</f>
        <v>904.9160964936384</v>
      </c>
      <c r="E29" s="7">
        <f>Parameters!$J$6*C29</f>
        <v>174.98428657449318</v>
      </c>
      <c r="F29" s="7">
        <f>IF(Parameters!$J$5=1,E29,0)</f>
        <v>0.0</v>
      </c>
      <c r="G29" s="7">
        <f>Parameters!$J$27*G28+F29</f>
        <v>0.0</v>
      </c>
      <c r="H29" s="7">
        <f>IF(AND(Parameters!$J$5=1,Parameters!$J$26=1),SUMPRODUCT(--($A$5:A29&lt;A29),--(MOD(A29-$A$5:A29,Parameters!$J$28)=0),$F$5:F29,POWER(Parameters!$J$27,IF(A29-$A$5:A29=0,1,A29-$A$5:A29))),0)</f>
        <v>0.0</v>
      </c>
      <c r="I29" s="7">
        <f>Parameters!$J$23*I28+B29*Parameters!$J$22</f>
        <v>0.0</v>
      </c>
      <c r="J29" s="7">
        <f>E29*Parameters!$J$14*(1-Parameters!$J$15)</f>
        <v>3324.7014449153703</v>
      </c>
      <c r="K29" s="7">
        <f>H29*Parameters!$J$29</f>
        <v>0.0</v>
      </c>
      <c r="L29" s="7">
        <f>I29*Parameters!$J$24</f>
        <v>0.0</v>
      </c>
      <c r="M29" s="7">
        <f>J29+K29+L29</f>
        <v>3324.7014449153703</v>
      </c>
      <c r="N29" s="7">
        <f>C29*Parameters!$J$17+D29*Parameters!$J$18+E29*Parameters!$J$16+I29*Parameters!$J$25+G29*Parameters!$J$30</f>
        <v>3252.20663343871</v>
      </c>
      <c r="O29" s="7">
        <f>B29*Parameters!$J$19</f>
        <v>4000</v>
      </c>
      <c r="P29" s="7">
        <f>M29-N29-O29</f>
        <v>-3927.5051885233397</v>
      </c>
      <c r="Q29" s="7">
        <f>Parameters!$J$21</f>
        <v>1000</v>
      </c>
      <c r="R29" s="7">
        <f>P29-Q29</f>
        <v>-4927.50518852334</v>
      </c>
      <c r="S29" s="7">
        <f>IF(A29&lt;1+Parameters!$J$31,0,INDEX($M$5:$M$40,A29-Parameters!$J$31))</f>
        <v>3295.344531062075</v>
      </c>
      <c r="T29" s="7">
        <f>T28+M29-S29</f>
        <v>3324.7014449153703</v>
      </c>
      <c r="U29" s="7">
        <f>S29-N29-O29-Q29</f>
        <v>-4956.862102376635</v>
      </c>
      <c r="V29" s="7">
        <f>V28+U29</f>
        <v>-124977.38904618472</v>
      </c>
      <c r="W29" s="7">
        <f>(1-Parameters!$J$7)*(C29-E29)+(1-Parameters!$J$8)*(D29+E29)</f>
        <v>911.418023368423</v>
      </c>
      <c r="X29" s="7">
        <f>Parameters!$J$7*(C29-E29)+Parameters!$J$8*Parameters!$J$9*(D29+E29)</f>
        <v>7819.397574326622</v>
      </c>
      <c r="Y29" s="7">
        <f>Parameters!$J$8*(1-Parameters!$J$9)*(D29+E29)</f>
        <v>923.3148275232525</v>
      </c>
      <c r="Z29" s="7">
        <f>POWER(1/(1+Parameters!$J$32),A29-1)*(M29-N29)</f>
        <v>57.094457932986096</v>
      </c>
    </row>
    <row r="30" spans="1:26">
      <c r="A30" s="7">
        <v>26</v>
      </c>
      <c r="B30" s="7">
        <f>Parameters!$J$20</f>
        <v>1000</v>
      </c>
      <c r="C30" s="7">
        <f>X29+B30</f>
        <v>8819.397574326622</v>
      </c>
      <c r="D30" s="7">
        <f>Y29</f>
        <v>923.3148275232525</v>
      </c>
      <c r="E30" s="7">
        <f>Parameters!$J$6*C30</f>
        <v>176.38795148653244</v>
      </c>
      <c r="F30" s="7">
        <f>IF(Parameters!$J$5=1,E30,0)</f>
        <v>0.0</v>
      </c>
      <c r="G30" s="7">
        <f>Parameters!$J$27*G29+F30</f>
        <v>0.0</v>
      </c>
      <c r="H30" s="7">
        <f>IF(AND(Parameters!$J$5=1,Parameters!$J$26=1),SUMPRODUCT(--($A$5:A30&lt;A30),--(MOD(A30-$A$5:A30,Parameters!$J$28)=0),$F$5:F30,POWER(Parameters!$J$27,IF(A30-$A$5:A30=0,1,A30-$A$5:A30))),0)</f>
        <v>0.0</v>
      </c>
      <c r="I30" s="7">
        <f>Parameters!$J$23*I29+B30*Parameters!$J$22</f>
        <v>0.0</v>
      </c>
      <c r="J30" s="7">
        <f>E30*Parameters!$J$14*(1-Parameters!$J$15)</f>
        <v>3351.3710782441162</v>
      </c>
      <c r="K30" s="7">
        <f>H30*Parameters!$J$29</f>
        <v>0.0</v>
      </c>
      <c r="L30" s="7">
        <f>I30*Parameters!$J$24</f>
        <v>0.0</v>
      </c>
      <c r="M30" s="7">
        <f>J30+K30+L30</f>
        <v>3351.3710782441162</v>
      </c>
      <c r="N30" s="7">
        <f>C30*Parameters!$J$17+D30*Parameters!$J$18+E30*Parameters!$J$16+I30*Parameters!$J$25+G30*Parameters!$J$30</f>
        <v>3283.8646375461453</v>
      </c>
      <c r="O30" s="7">
        <f>B30*Parameters!$J$19</f>
        <v>4000</v>
      </c>
      <c r="P30" s="7">
        <f>M30-N30-O30</f>
        <v>-3932.493559302029</v>
      </c>
      <c r="Q30" s="7">
        <f>Parameters!$J$21</f>
        <v>1000</v>
      </c>
      <c r="R30" s="7">
        <f>P30-Q30</f>
        <v>-4932.493559302029</v>
      </c>
      <c r="S30" s="7">
        <f>IF(A30&lt;1+Parameters!$J$31,0,INDEX($M$5:$M$40,A30-Parameters!$J$31))</f>
        <v>3324.7014449153703</v>
      </c>
      <c r="T30" s="7">
        <f>T29+M30-S30</f>
        <v>3351.3710782441162</v>
      </c>
      <c r="U30" s="7">
        <f>S30-N30-O30-Q30</f>
        <v>-4959.163192630775</v>
      </c>
      <c r="V30" s="7">
        <f>V29+U30</f>
        <v>-129936.5522388155</v>
      </c>
      <c r="W30" s="7">
        <f>(1-Parameters!$J$7)*(C30-E30)+(1-Parameters!$J$8)*(D30+E30)</f>
        <v>919.286101234498</v>
      </c>
      <c r="X30" s="7">
        <f>Parameters!$J$7*(C30-E30)+Parameters!$J$8*Parameters!$J$9*(D30+E30)</f>
        <v>7883.18042456201</v>
      </c>
      <c r="Y30" s="7">
        <f>Parameters!$J$8*(1-Parameters!$J$9)*(D30+E30)</f>
        <v>940.2458760533661</v>
      </c>
      <c r="Z30" s="7">
        <f>POWER(1/(1+Parameters!$J$32),A30-1)*(M30-N30)</f>
        <v>52.63939215510894</v>
      </c>
    </row>
    <row r="31" spans="1:26">
      <c r="A31" s="7">
        <v>27</v>
      </c>
      <c r="B31" s="7">
        <f>Parameters!$J$20</f>
        <v>1000</v>
      </c>
      <c r="C31" s="7">
        <f>X30+B31</f>
        <v>8883.18042456201</v>
      </c>
      <c r="D31" s="7">
        <f>Y30</f>
        <v>940.2458760533661</v>
      </c>
      <c r="E31" s="7">
        <f>Parameters!$J$6*C31</f>
        <v>177.6636084912402</v>
      </c>
      <c r="F31" s="7">
        <f>IF(Parameters!$J$5=1,E31,0)</f>
        <v>0.0</v>
      </c>
      <c r="G31" s="7">
        <f>Parameters!$J$27*G30+F31</f>
        <v>0.0</v>
      </c>
      <c r="H31" s="7">
        <f>IF(AND(Parameters!$J$5=1,Parameters!$J$26=1),SUMPRODUCT(--($A$5:A31&lt;A31),--(MOD(A31-$A$5:A31,Parameters!$J$28)=0),$F$5:F31,POWER(Parameters!$J$27,IF(A31-$A$5:A31=0,1,A31-$A$5:A31))),0)</f>
        <v>0.0</v>
      </c>
      <c r="I31" s="7">
        <f>Parameters!$J$23*I30+B31*Parameters!$J$22</f>
        <v>0.0</v>
      </c>
      <c r="J31" s="7">
        <f>E31*Parameters!$J$14*(1-Parameters!$J$15)</f>
        <v>3375.608561333564</v>
      </c>
      <c r="K31" s="7">
        <f>H31*Parameters!$J$29</f>
        <v>0.0</v>
      </c>
      <c r="L31" s="7">
        <f>I31*Parameters!$J$24</f>
        <v>0.0</v>
      </c>
      <c r="M31" s="7">
        <f>J31+K31+L31</f>
        <v>3375.608561333564</v>
      </c>
      <c r="N31" s="7">
        <f>C31*Parameters!$J$17+D31*Parameters!$J$18+E31*Parameters!$J$16+I31*Parameters!$J$25+G31*Parameters!$J$30</f>
        <v>3312.740673886526</v>
      </c>
      <c r="O31" s="7">
        <f>B31*Parameters!$J$19</f>
        <v>4000</v>
      </c>
      <c r="P31" s="7">
        <f>M31-N31-O31</f>
        <v>-3937.132112552962</v>
      </c>
      <c r="Q31" s="7">
        <f>Parameters!$J$21</f>
        <v>1000</v>
      </c>
      <c r="R31" s="7">
        <f>P31-Q31</f>
        <v>-4937.132112552962</v>
      </c>
      <c r="S31" s="7">
        <f>IF(A31&lt;1+Parameters!$J$31,0,INDEX($M$5:$M$40,A31-Parameters!$J$31))</f>
        <v>3351.3710782441162</v>
      </c>
      <c r="T31" s="7">
        <f>T30+M31-S31</f>
        <v>3375.608561333564</v>
      </c>
      <c r="U31" s="7">
        <f>S31-N31-O31-Q31</f>
        <v>-4961.36959564241</v>
      </c>
      <c r="V31" s="7">
        <f>V30+U31</f>
        <v>-134897.9218344579</v>
      </c>
      <c r="W31" s="7">
        <f>(1-Parameters!$J$7)*(C31-E31)+(1-Parameters!$J$8)*(D31+E31)</f>
        <v>926.4471558343071</v>
      </c>
      <c r="X31" s="7">
        <f>Parameters!$J$7*(C31-E31)+Parameters!$J$8*Parameters!$J$9*(D31+E31)</f>
        <v>7941.16653549543</v>
      </c>
      <c r="Y31" s="7">
        <f>Parameters!$J$8*(1-Parameters!$J$9)*(D31+E31)</f>
        <v>955.8126092856384</v>
      </c>
      <c r="Z31" s="7">
        <f>POWER(1/(1+Parameters!$J$32),A31-1)*(M31-N31)</f>
        <v>48.53702446424274</v>
      </c>
    </row>
    <row r="32" spans="1:26">
      <c r="A32" s="7">
        <v>28</v>
      </c>
      <c r="B32" s="7">
        <f>Parameters!$J$20</f>
        <v>1000</v>
      </c>
      <c r="C32" s="7">
        <f>X31+B32</f>
        <v>8941.166535495431</v>
      </c>
      <c r="D32" s="7">
        <f>Y31</f>
        <v>955.8126092856384</v>
      </c>
      <c r="E32" s="7">
        <f>Parameters!$J$6*C32</f>
        <v>178.82333070990862</v>
      </c>
      <c r="F32" s="7">
        <f>IF(Parameters!$J$5=1,E32,0)</f>
        <v>0.0</v>
      </c>
      <c r="G32" s="7">
        <f>Parameters!$J$27*G31+F32</f>
        <v>0.0</v>
      </c>
      <c r="H32" s="7">
        <f>IF(AND(Parameters!$J$5=1,Parameters!$J$26=1),SUMPRODUCT(--($A$5:A32&lt;A32),--(MOD(A32-$A$5:A32,Parameters!$J$28)=0),$F$5:F32,POWER(Parameters!$J$27,IF(A32-$A$5:A32=0,1,A32-$A$5:A32))),0)</f>
        <v>0.0</v>
      </c>
      <c r="I32" s="7">
        <f>Parameters!$J$23*I31+B32*Parameters!$J$22</f>
        <v>0.0</v>
      </c>
      <c r="J32" s="7">
        <f>E32*Parameters!$J$14*(1-Parameters!$J$15)</f>
        <v>3397.6432834882635</v>
      </c>
      <c r="K32" s="7">
        <f>H32*Parameters!$J$29</f>
        <v>0.0</v>
      </c>
      <c r="L32" s="7">
        <f>I32*Parameters!$J$24</f>
        <v>0.0</v>
      </c>
      <c r="M32" s="7">
        <f>J32+K32+L32</f>
        <v>3397.6432834882635</v>
      </c>
      <c r="N32" s="7">
        <f>C32*Parameters!$J$17+D32*Parameters!$J$18+E32*Parameters!$J$16+I32*Parameters!$J$25+G32*Parameters!$J$30</f>
        <v>3339.079596001357</v>
      </c>
      <c r="O32" s="7">
        <f>B32*Parameters!$J$19</f>
        <v>4000</v>
      </c>
      <c r="P32" s="7">
        <f>M32-N32-O32</f>
        <v>-3941.4363125130935</v>
      </c>
      <c r="Q32" s="7">
        <f>Parameters!$J$21</f>
        <v>1000</v>
      </c>
      <c r="R32" s="7">
        <f>P32-Q32</f>
        <v>-4941.436312513093</v>
      </c>
      <c r="S32" s="7">
        <f>IF(A32&lt;1+Parameters!$J$31,0,INDEX($M$5:$M$40,A32-Parameters!$J$31))</f>
        <v>3375.608561333564</v>
      </c>
      <c r="T32" s="7">
        <f>T31+M32-S32</f>
        <v>3397.6432834882635</v>
      </c>
      <c r="U32" s="7">
        <f>S32-N32-O32-Q32</f>
        <v>-4963.471034667793</v>
      </c>
      <c r="V32" s="7">
        <f>V31+U32</f>
        <v>-139861.3928691257</v>
      </c>
      <c r="W32" s="7">
        <f>(1-Parameters!$J$7)*(C32-E32)+(1-Parameters!$J$8)*(D32+E32)</f>
        <v>932.9661174783294</v>
      </c>
      <c r="X32" s="7">
        <f>Parameters!$J$7*(C32-E32)+Parameters!$J$8*Parameters!$J$9*(D32+E32)</f>
        <v>7993.899298606547</v>
      </c>
      <c r="Y32" s="7">
        <f>Parameters!$J$8*(1-Parameters!$J$9)*(D32+E32)</f>
        <v>970.1137286961927</v>
      </c>
      <c r="Z32" s="7">
        <f>POWER(1/(1+Parameters!$J$32),A32-1)*(M32-N32)</f>
        <v>44.7663125258696</v>
      </c>
    </row>
    <row r="33" spans="1:26">
      <c r="A33" s="7">
        <v>29</v>
      </c>
      <c r="B33" s="7">
        <f>Parameters!$J$20</f>
        <v>1000</v>
      </c>
      <c r="C33" s="7">
        <f>X32+B33</f>
        <v>8993.899298606546</v>
      </c>
      <c r="D33" s="7">
        <f>Y32</f>
        <v>970.1137286961927</v>
      </c>
      <c r="E33" s="7">
        <f>Parameters!$J$6*C33</f>
        <v>179.87798597213094</v>
      </c>
      <c r="F33" s="7">
        <f>IF(Parameters!$J$5=1,E33,0)</f>
        <v>0.0</v>
      </c>
      <c r="G33" s="7">
        <f>Parameters!$J$27*G32+F33</f>
        <v>0.0</v>
      </c>
      <c r="H33" s="7">
        <f>IF(AND(Parameters!$J$5=1,Parameters!$J$26=1),SUMPRODUCT(--($A$5:A33&lt;A33),--(MOD(A33-$A$5:A33,Parameters!$J$28)=0),$F$5:F33,POWER(Parameters!$J$27,IF(A33-$A$5:A33=0,1,A33-$A$5:A33))),0)</f>
        <v>0.0</v>
      </c>
      <c r="I33" s="7">
        <f>Parameters!$J$23*I32+B33*Parameters!$J$22</f>
        <v>0.0</v>
      </c>
      <c r="J33" s="7">
        <f>E33*Parameters!$J$14*(1-Parameters!$J$15)</f>
        <v>3417.681733470488</v>
      </c>
      <c r="K33" s="7">
        <f>H33*Parameters!$J$29</f>
        <v>0.0</v>
      </c>
      <c r="L33" s="7">
        <f>I33*Parameters!$J$24</f>
        <v>0.0</v>
      </c>
      <c r="M33" s="7">
        <f>J33+K33+L33</f>
        <v>3417.681733470488</v>
      </c>
      <c r="N33" s="7">
        <f>C33*Parameters!$J$17+D33*Parameters!$J$18+E33*Parameters!$J$16+I33*Parameters!$J$25+G33*Parameters!$J$30</f>
        <v>3363.104639902191</v>
      </c>
      <c r="O33" s="7">
        <f>B33*Parameters!$J$19</f>
        <v>4000</v>
      </c>
      <c r="P33" s="7">
        <f>M33-N33-O33</f>
        <v>-3945.4229064317033</v>
      </c>
      <c r="Q33" s="7">
        <f>Parameters!$J$21</f>
        <v>1000</v>
      </c>
      <c r="R33" s="7">
        <f>P33-Q33</f>
        <v>-4945.422906431703</v>
      </c>
      <c r="S33" s="7">
        <f>IF(A33&lt;1+Parameters!$J$31,0,INDEX($M$5:$M$40,A33-Parameters!$J$31))</f>
        <v>3397.6432834882635</v>
      </c>
      <c r="T33" s="7">
        <f>T32+M33-S33</f>
        <v>3417.681733470488</v>
      </c>
      <c r="U33" s="7">
        <f>S33-N33-O33-Q33</f>
        <v>-4965.461356413927</v>
      </c>
      <c r="V33" s="7">
        <f>V32+U33</f>
        <v>-144826.85422553963</v>
      </c>
      <c r="W33" s="7">
        <f>(1-Parameters!$J$7)*(C33-E33)+(1-Parameters!$J$8)*(D33+E33)</f>
        <v>938.9017169968575</v>
      </c>
      <c r="X33" s="7">
        <f>Parameters!$J$7*(C33-E33)+Parameters!$J$8*Parameters!$J$9*(D33+E33)</f>
        <v>8041.868394264465</v>
      </c>
      <c r="Y33" s="7">
        <f>Parameters!$J$8*(1-Parameters!$J$9)*(D33+E33)</f>
        <v>983.2429160414166</v>
      </c>
      <c r="Z33" s="7">
        <f>POWER(1/(1+Parameters!$J$32),A33-1)*(M33-N33)</f>
        <v>41.30588563427268</v>
      </c>
    </row>
    <row r="34" spans="1:26">
      <c r="A34" s="7">
        <v>30</v>
      </c>
      <c r="B34" s="7">
        <f>Parameters!$J$20</f>
        <v>1000</v>
      </c>
      <c r="C34" s="7">
        <f>X33+B34</f>
        <v>9041.868394264466</v>
      </c>
      <c r="D34" s="7">
        <f>Y33</f>
        <v>983.2429160414167</v>
      </c>
      <c r="E34" s="7">
        <f>Parameters!$J$6*C34</f>
        <v>180.8373678852893</v>
      </c>
      <c r="F34" s="7">
        <f>IF(Parameters!$J$5=1,E34,0)</f>
        <v>0.0</v>
      </c>
      <c r="G34" s="7">
        <f>Parameters!$J$27*G33+F34</f>
        <v>0.0</v>
      </c>
      <c r="H34" s="7">
        <f>IF(AND(Parameters!$J$5=1,Parameters!$J$26=1),SUMPRODUCT(--($A$5:A34&lt;A34),--(MOD(A34-$A$5:A34,Parameters!$J$28)=0),$F$5:F34,POWER(Parameters!$J$27,IF(A34-$A$5:A34=0,1,A34-$A$5:A34))),0)</f>
        <v>0.0</v>
      </c>
      <c r="I34" s="7">
        <f>Parameters!$J$23*I33+B34*Parameters!$J$22</f>
        <v>0.0</v>
      </c>
      <c r="J34" s="7">
        <f>E34*Parameters!$J$14*(1-Parameters!$J$15)</f>
        <v>3435.9099898204963</v>
      </c>
      <c r="K34" s="7">
        <f>H34*Parameters!$J$29</f>
        <v>0.0</v>
      </c>
      <c r="L34" s="7">
        <f>I34*Parameters!$J$24</f>
        <v>0.0</v>
      </c>
      <c r="M34" s="7">
        <f>J34+K34+L34</f>
        <v>3435.9099898204963</v>
      </c>
      <c r="N34" s="7">
        <f>C34*Parameters!$J$17+D34*Parameters!$J$18+E34*Parameters!$J$16+I34*Parameters!$J$25+G34*Parameters!$J$30</f>
        <v>3385.0193441853376</v>
      </c>
      <c r="O34" s="7">
        <f>B34*Parameters!$J$19</f>
        <v>4000</v>
      </c>
      <c r="P34" s="7">
        <f>M34-N34-O34</f>
        <v>-3949.1093543648412</v>
      </c>
      <c r="Q34" s="7">
        <f>Parameters!$J$21</f>
        <v>1000</v>
      </c>
      <c r="R34" s="7">
        <f>P34-Q34</f>
        <v>-4949.109354364841</v>
      </c>
      <c r="S34" s="7">
        <f>IF(A34&lt;1+Parameters!$J$31,0,INDEX($M$5:$M$40,A34-Parameters!$J$31))</f>
        <v>3417.681733470488</v>
      </c>
      <c r="T34" s="7">
        <f>T33+M34-S34</f>
        <v>3435.9099898204963</v>
      </c>
      <c r="U34" s="7">
        <f>S34-N34-O34-Q34</f>
        <v>-4967.33761071485</v>
      </c>
      <c r="V34" s="7">
        <f>V33+U34</f>
        <v>-149794.19183625447</v>
      </c>
      <c r="W34" s="7">
        <f>(1-Parameters!$J$7)*(C34-E34)+(1-Parameters!$J$8)*(D34+E34)</f>
        <v>944.3071168342526</v>
      </c>
      <c r="X34" s="7">
        <f>Parameters!$J$7*(C34-E34)+Parameters!$J$8*Parameters!$J$9*(D34+E34)</f>
        <v>8085.515550714295</v>
      </c>
      <c r="Y34" s="7">
        <f>Parameters!$J$8*(1-Parameters!$J$9)*(D34+E34)</f>
        <v>995.2886427573336</v>
      </c>
      <c r="Z34" s="7">
        <f>POWER(1/(1+Parameters!$J$32),A34-1)*(M34-N34)</f>
        <v>38.13450566068464</v>
      </c>
    </row>
    <row r="35" spans="1:26">
      <c r="A35" s="7">
        <v>31</v>
      </c>
      <c r="B35" s="7">
        <f>Parameters!$J$20</f>
        <v>1000</v>
      </c>
      <c r="C35" s="7">
        <f>X34+B35</f>
        <v>9085.515550714295</v>
      </c>
      <c r="D35" s="7">
        <f>Y34</f>
        <v>995.2886427573336</v>
      </c>
      <c r="E35" s="7">
        <f>Parameters!$J$6*C35</f>
        <v>181.7103110142859</v>
      </c>
      <c r="F35" s="7">
        <f>IF(Parameters!$J$5=1,E35,0)</f>
        <v>0.0</v>
      </c>
      <c r="G35" s="7">
        <f>Parameters!$J$27*G34+F35</f>
        <v>0.0</v>
      </c>
      <c r="H35" s="7">
        <f>IF(AND(Parameters!$J$5=1,Parameters!$J$26=1),SUMPRODUCT(--($A$5:A35&lt;A35),--(MOD(A35-$A$5:A35,Parameters!$J$28)=0),$F$5:F35,POWER(Parameters!$J$27,IF(A35-$A$5:A35=0,1,A35-$A$5:A35))),0)</f>
        <v>0.0</v>
      </c>
      <c r="I35" s="7">
        <f>Parameters!$J$23*I34+B35*Parameters!$J$22</f>
        <v>0.0</v>
      </c>
      <c r="J35" s="7">
        <f>E35*Parameters!$J$14*(1-Parameters!$J$15)</f>
        <v>3452.495909271432</v>
      </c>
      <c r="K35" s="7">
        <f>H35*Parameters!$J$29</f>
        <v>0.0</v>
      </c>
      <c r="L35" s="7">
        <f>I35*Parameters!$J$24</f>
        <v>0.0</v>
      </c>
      <c r="M35" s="7">
        <f>J35+K35+L35</f>
        <v>3452.495909271432</v>
      </c>
      <c r="N35" s="7">
        <f>C35*Parameters!$J$17+D35*Parameters!$J$18+E35*Parameters!$J$16+I35*Parameters!$J$25+G35*Parameters!$J$30</f>
        <v>3405.009297607241</v>
      </c>
      <c r="O35" s="7">
        <f>B35*Parameters!$J$19</f>
        <v>4000</v>
      </c>
      <c r="P35" s="7">
        <f>M35-N35-O35</f>
        <v>-3952.513388335809</v>
      </c>
      <c r="Q35" s="7">
        <f>Parameters!$J$21</f>
        <v>1000</v>
      </c>
      <c r="R35" s="7">
        <f>P35-Q35</f>
        <v>-4952.5133883358085</v>
      </c>
      <c r="S35" s="7">
        <f>IF(A35&lt;1+Parameters!$J$31,0,INDEX($M$5:$M$40,A35-Parameters!$J$31))</f>
        <v>3435.9099898204963</v>
      </c>
      <c r="T35" s="7">
        <f>T34+M35-S35</f>
        <v>3452.495909271432</v>
      </c>
      <c r="U35" s="7">
        <f>S35-N35-O35-Q35</f>
        <v>-4969.099307786744</v>
      </c>
      <c r="V35" s="7">
        <f>V34+U35</f>
        <v>-154763.2911440412</v>
      </c>
      <c r="W35" s="7">
        <f>(1-Parameters!$J$7)*(C35-E35)+(1-Parameters!$J$8)*(D35+E35)</f>
        <v>949.2304716585817</v>
      </c>
      <c r="X35" s="7">
        <f>Parameters!$J$7*(C35-E35)+Parameters!$J$8*Parameters!$J$9*(D35+E35)</f>
        <v>8125.239616338314</v>
      </c>
      <c r="Y35" s="7">
        <f>Parameters!$J$8*(1-Parameters!$J$9)*(D35+E35)</f>
        <v>1006.3341054747345</v>
      </c>
      <c r="Z35" s="7">
        <f>POWER(1/(1+Parameters!$J$32),A35-1)*(M35-N35)</f>
        <v>35.23140548172071</v>
      </c>
    </row>
    <row r="36" spans="1:26">
      <c r="A36" s="7">
        <v>32</v>
      </c>
      <c r="B36" s="7">
        <f>Parameters!$J$20</f>
        <v>1000</v>
      </c>
      <c r="C36" s="7">
        <f>X35+B36</f>
        <v>9125.239616338313</v>
      </c>
      <c r="D36" s="7">
        <f>Y35</f>
        <v>1006.3341054747347</v>
      </c>
      <c r="E36" s="7">
        <f>Parameters!$J$6*C36</f>
        <v>182.50479232676625</v>
      </c>
      <c r="F36" s="7">
        <f>IF(Parameters!$J$5=1,E36,0)</f>
        <v>0.0</v>
      </c>
      <c r="G36" s="7">
        <f>Parameters!$J$27*G35+F36</f>
        <v>0.0</v>
      </c>
      <c r="H36" s="7">
        <f>IF(AND(Parameters!$J$5=1,Parameters!$J$26=1),SUMPRODUCT(--($A$5:A36&lt;A36),--(MOD(A36-$A$5:A36,Parameters!$J$28)=0),$F$5:F36,POWER(Parameters!$J$27,IF(A36-$A$5:A36=0,1,A36-$A$5:A36))),0)</f>
        <v>0.0</v>
      </c>
      <c r="I36" s="7">
        <f>Parameters!$J$23*I35+B36*Parameters!$J$22</f>
        <v>0.0</v>
      </c>
      <c r="J36" s="7">
        <f>E36*Parameters!$J$14*(1-Parameters!$J$15)</f>
        <v>3467.5910542085585</v>
      </c>
      <c r="K36" s="7">
        <f>H36*Parameters!$J$29</f>
        <v>0.0</v>
      </c>
      <c r="L36" s="7">
        <f>I36*Parameters!$J$24</f>
        <v>0.0</v>
      </c>
      <c r="M36" s="7">
        <f>J36+K36+L36</f>
        <v>3467.5910542085585</v>
      </c>
      <c r="N36" s="7">
        <f>C36*Parameters!$J$17+D36*Parameters!$J$18+E36*Parameters!$J$16+I36*Parameters!$J$25+G36*Parameters!$J$30</f>
        <v>3423.243729965627</v>
      </c>
      <c r="O36" s="7">
        <f>B36*Parameters!$J$19</f>
        <v>4000</v>
      </c>
      <c r="P36" s="7">
        <f>M36-N36-O36</f>
        <v>-3955.6526757570687</v>
      </c>
      <c r="Q36" s="7">
        <f>Parameters!$J$21</f>
        <v>1000</v>
      </c>
      <c r="R36" s="7">
        <f>P36-Q36</f>
        <v>-4955.652675757068</v>
      </c>
      <c r="S36" s="7">
        <f>IF(A36&lt;1+Parameters!$J$31,0,INDEX($M$5:$M$40,A36-Parameters!$J$31))</f>
        <v>3452.495909271432</v>
      </c>
      <c r="T36" s="7">
        <f>T35+M36-S36</f>
        <v>3467.5910542085585</v>
      </c>
      <c r="U36" s="7">
        <f>S36-N36-O36-Q36</f>
        <v>-4970.747820694195</v>
      </c>
      <c r="V36" s="7">
        <f>V35+U36</f>
        <v>-159734.0389647354</v>
      </c>
      <c r="W36" s="7">
        <f>(1-Parameters!$J$7)*(C36-E36)+(1-Parameters!$J$8)*(D36+E36)</f>
        <v>953.7154272912294</v>
      </c>
      <c r="X36" s="7">
        <f>Parameters!$J$7*(C36-E36)+Parameters!$J$8*Parameters!$J$9*(D36+E36)</f>
        <v>8161.401036901535</v>
      </c>
      <c r="Y36" s="7">
        <f>Parameters!$J$8*(1-Parameters!$J$9)*(D36+E36)</f>
        <v>1016.4572576202833</v>
      </c>
      <c r="Z36" s="7">
        <f>POWER(1/(1+Parameters!$J$32),A36-1)*(M36-N36)</f>
        <v>32.57653088947256</v>
      </c>
    </row>
    <row r="37" spans="1:26">
      <c r="A37" s="7">
        <v>33</v>
      </c>
      <c r="B37" s="7">
        <f>Parameters!$J$20</f>
        <v>1000</v>
      </c>
      <c r="C37" s="7">
        <f>X36+B37</f>
        <v>9161.401036901534</v>
      </c>
      <c r="D37" s="7">
        <f>Y36</f>
        <v>1016.4572576202833</v>
      </c>
      <c r="E37" s="7">
        <f>Parameters!$J$6*C37</f>
        <v>183.2280207380307</v>
      </c>
      <c r="F37" s="7">
        <f>IF(Parameters!$J$5=1,E37,0)</f>
        <v>0.0</v>
      </c>
      <c r="G37" s="7">
        <f>Parameters!$J$27*G36+F37</f>
        <v>0.0</v>
      </c>
      <c r="H37" s="7">
        <f>IF(AND(Parameters!$J$5=1,Parameters!$J$26=1),SUMPRODUCT(--($A$5:A37&lt;A37),--(MOD(A37-$A$5:A37,Parameters!$J$28)=0),$F$5:F37,POWER(Parameters!$J$27,IF(A37-$A$5:A37=0,1,A37-$A$5:A37))),0)</f>
        <v>0.0</v>
      </c>
      <c r="I37" s="7">
        <f>Parameters!$J$23*I36+B37*Parameters!$J$22</f>
        <v>0.0</v>
      </c>
      <c r="J37" s="7">
        <f>E37*Parameters!$J$14*(1-Parameters!$J$15)</f>
        <v>3481.332394022583</v>
      </c>
      <c r="K37" s="7">
        <f>H37*Parameters!$J$29</f>
        <v>0.0</v>
      </c>
      <c r="L37" s="7">
        <f>I37*Parameters!$J$24</f>
        <v>0.0</v>
      </c>
      <c r="M37" s="7">
        <f>J37+K37+L37</f>
        <v>3481.332394022583</v>
      </c>
      <c r="N37" s="7">
        <f>C37*Parameters!$J$17+D37*Parameters!$J$18+E37*Parameters!$J$16+I37*Parameters!$J$25+G37*Parameters!$J$30</f>
        <v>3439.876960618633</v>
      </c>
      <c r="O37" s="7">
        <f>B37*Parameters!$J$19</f>
        <v>4000</v>
      </c>
      <c r="P37" s="7">
        <f>M37-N37-O37</f>
        <v>-3958.54456659605</v>
      </c>
      <c r="Q37" s="7">
        <f>Parameters!$J$21</f>
        <v>1000</v>
      </c>
      <c r="R37" s="7">
        <f>P37-Q37</f>
        <v>-4958.544566596051</v>
      </c>
      <c r="S37" s="7">
        <f>IF(A37&lt;1+Parameters!$J$31,0,INDEX($M$5:$M$40,A37-Parameters!$J$31))</f>
        <v>3467.5910542085585</v>
      </c>
      <c r="T37" s="7">
        <f>T36+M37-S37</f>
        <v>3481.332394022583</v>
      </c>
      <c r="U37" s="7">
        <f>S37-N37-O37-Q37</f>
        <v>-4972.285906410074</v>
      </c>
      <c r="V37" s="7">
        <f>V36+U37</f>
        <v>-164706.32487114548</v>
      </c>
      <c r="W37" s="7">
        <f>(1-Parameters!$J$7)*(C37-E37)+(1-Parameters!$J$8)*(D37+E37)</f>
        <v>957.8015655342658</v>
      </c>
      <c r="X37" s="7">
        <f>Parameters!$J$7*(C37-E37)+Parameters!$J$8*Parameters!$J$9*(D37+E37)</f>
        <v>8194.325815991195</v>
      </c>
      <c r="Y37" s="7">
        <f>Parameters!$J$8*(1-Parameters!$J$9)*(D37+E37)</f>
        <v>1025.7309129963585</v>
      </c>
      <c r="Z37" s="7">
        <f>POWER(1/(1+Parameters!$J$32),A37-1)*(M37-N37)</f>
        <v>30.150706900488487</v>
      </c>
    </row>
    <row r="38" spans="1:26">
      <c r="A38" s="7">
        <v>34</v>
      </c>
      <c r="B38" s="7">
        <f>Parameters!$J$20</f>
        <v>1000</v>
      </c>
      <c r="C38" s="7">
        <f>X37+B38</f>
        <v>9194.325815991193</v>
      </c>
      <c r="D38" s="7">
        <f>Y37</f>
        <v>1025.7309129963585</v>
      </c>
      <c r="E38" s="7">
        <f>Parameters!$J$6*C38</f>
        <v>183.88651631982387</v>
      </c>
      <c r="F38" s="7">
        <f>IF(Parameters!$J$5=1,E38,0)</f>
        <v>0.0</v>
      </c>
      <c r="G38" s="7">
        <f>Parameters!$J$27*G37+F38</f>
        <v>0.0</v>
      </c>
      <c r="H38" s="7">
        <f>IF(AND(Parameters!$J$5=1,Parameters!$J$26=1),SUMPRODUCT(--($A$5:A38&lt;A38),--(MOD(A38-$A$5:A38,Parameters!$J$28)=0),$F$5:F38,POWER(Parameters!$J$27,IF(A38-$A$5:A38=0,1,A38-$A$5:A38))),0)</f>
        <v>0.0</v>
      </c>
      <c r="I38" s="7">
        <f>Parameters!$J$23*I37+B38*Parameters!$J$22</f>
        <v>0.0</v>
      </c>
      <c r="J38" s="7">
        <f>E38*Parameters!$J$14*(1-Parameters!$J$15)</f>
        <v>3493.8438100766534</v>
      </c>
      <c r="K38" s="7">
        <f>H38*Parameters!$J$29</f>
        <v>0.0</v>
      </c>
      <c r="L38" s="7">
        <f>I38*Parameters!$J$24</f>
        <v>0.0</v>
      </c>
      <c r="M38" s="7">
        <f>J38+K38+L38</f>
        <v>3493.8438100766534</v>
      </c>
      <c r="N38" s="7">
        <f>C38*Parameters!$J$17+D38*Parameters!$J$18+E38*Parameters!$J$16+I38*Parameters!$J$25+G38*Parameters!$J$30</f>
        <v>3455.049717615361</v>
      </c>
      <c r="O38" s="7">
        <f>B38*Parameters!$J$19</f>
        <v>4000</v>
      </c>
      <c r="P38" s="7">
        <f>M38-N38-O38</f>
        <v>-3961.2059075387074</v>
      </c>
      <c r="Q38" s="7">
        <f>Parameters!$J$21</f>
        <v>1000</v>
      </c>
      <c r="R38" s="7">
        <f>P38-Q38</f>
        <v>-4961.205907538708</v>
      </c>
      <c r="S38" s="7">
        <f>IF(A38&lt;1+Parameters!$J$31,0,INDEX($M$5:$M$40,A38-Parameters!$J$31))</f>
        <v>3481.332394022583</v>
      </c>
      <c r="T38" s="7">
        <f>T37+M38-S38</f>
        <v>3493.8438100766534</v>
      </c>
      <c r="U38" s="7">
        <f>S38-N38-O38-Q38</f>
        <v>-4973.7173235927785</v>
      </c>
      <c r="V38" s="7">
        <f>V37+U38</f>
        <v>-169680.04219473826</v>
      </c>
      <c r="W38" s="7">
        <f>(1-Parameters!$J$7)*(C38-E38)+(1-Parameters!$J$8)*(D38+E38)</f>
        <v>961.5248014329458</v>
      </c>
      <c r="X38" s="7">
        <f>Parameters!$J$7*(C38-E38)+Parameters!$J$8*Parameters!$J$9*(D38+E38)</f>
        <v>8224.309025489269</v>
      </c>
      <c r="Y38" s="7">
        <f>Parameters!$J$8*(1-Parameters!$J$9)*(D38+E38)</f>
        <v>1034.2229020653358</v>
      </c>
      <c r="Z38" s="7">
        <f>POWER(1/(1+Parameters!$J$32),A38-1)*(M38-N38)</f>
        <v>27.935745254819413</v>
      </c>
    </row>
    <row r="39" spans="1:26">
      <c r="A39" s="7">
        <v>35</v>
      </c>
      <c r="B39" s="7">
        <f>Parameters!$J$20</f>
        <v>1000</v>
      </c>
      <c r="C39" s="7">
        <f>X38+B39</f>
        <v>9224.309025489269</v>
      </c>
      <c r="D39" s="7">
        <f>Y38</f>
        <v>1034.2229020653358</v>
      </c>
      <c r="E39" s="7">
        <f>Parameters!$J$6*C39</f>
        <v>184.48618050978538</v>
      </c>
      <c r="F39" s="7">
        <f>IF(Parameters!$J$5=1,E39,0)</f>
        <v>0.0</v>
      </c>
      <c r="G39" s="7">
        <f>Parameters!$J$27*G38+F39</f>
        <v>0.0</v>
      </c>
      <c r="H39" s="7">
        <f>IF(AND(Parameters!$J$5=1,Parameters!$J$26=1),SUMPRODUCT(--($A$5:A39&lt;A39),--(MOD(A39-$A$5:A39,Parameters!$J$28)=0),$F$5:F39,POWER(Parameters!$J$27,IF(A39-$A$5:A39=0,1,A39-$A$5:A39))),0)</f>
        <v>0.0</v>
      </c>
      <c r="I39" s="7">
        <f>Parameters!$J$23*I38+B39*Parameters!$J$22</f>
        <v>0.0</v>
      </c>
      <c r="J39" s="7">
        <f>E39*Parameters!$J$14*(1-Parameters!$J$15)</f>
        <v>3505.237429685922</v>
      </c>
      <c r="K39" s="7">
        <f>H39*Parameters!$J$29</f>
        <v>0.0</v>
      </c>
      <c r="L39" s="7">
        <f>I39*Parameters!$J$24</f>
        <v>0.0</v>
      </c>
      <c r="M39" s="7">
        <f>J39+K39+L39</f>
        <v>3505.237429685922</v>
      </c>
      <c r="N39" s="7">
        <f>C39*Parameters!$J$17+D39*Parameters!$J$18+E39*Parameters!$J$16+I39*Parameters!$J$25+G39*Parameters!$J$30</f>
        <v>3468.8903391892336</v>
      </c>
      <c r="O39" s="7">
        <f>B39*Parameters!$J$19</f>
        <v>4000</v>
      </c>
      <c r="P39" s="7">
        <f>M39-N39-O39</f>
        <v>-3963.6529095033115</v>
      </c>
      <c r="Q39" s="7">
        <f>Parameters!$J$21</f>
        <v>1000</v>
      </c>
      <c r="R39" s="7">
        <f>P39-Q39</f>
        <v>-4963.652909503311</v>
      </c>
      <c r="S39" s="7">
        <f>IF(A39&lt;1+Parameters!$J$31,0,INDEX($M$5:$M$40,A39-Parameters!$J$31))</f>
        <v>3493.8438100766534</v>
      </c>
      <c r="T39" s="7">
        <f>T38+M39-S39</f>
        <v>3505.237429685922</v>
      </c>
      <c r="U39" s="7">
        <f>S39-N39-O39-Q39</f>
        <v>-4975.04652911258</v>
      </c>
      <c r="V39" s="7">
        <f>V38+U39</f>
        <v>-174655.08872385084</v>
      </c>
      <c r="W39" s="7">
        <f>(1-Parameters!$J$7)*(C39-E39)+(1-Parameters!$J$8)*(D39+E39)</f>
        <v>964.9177386267042</v>
      </c>
      <c r="X39" s="7">
        <f>Parameters!$J$7*(C39-E39)+Parameters!$J$8*Parameters!$J$9*(D39+E39)</f>
        <v>8251.61792332617</v>
      </c>
      <c r="Y39" s="7">
        <f>Parameters!$J$8*(1-Parameters!$J$9)*(D39+E39)</f>
        <v>1041.9962656017285</v>
      </c>
      <c r="Z39" s="7">
        <f>POWER(1/(1+Parameters!$J$32),A39-1)*(M39-N39)</f>
        <v>25.914506551224747</v>
      </c>
    </row>
    <row r="40" spans="1:26">
      <c r="A40" s="7">
        <v>36</v>
      </c>
      <c r="B40" s="7">
        <f>Parameters!$J$20</f>
        <v>1000</v>
      </c>
      <c r="C40" s="7">
        <f>X39+B40</f>
        <v>9251.617923326172</v>
      </c>
      <c r="D40" s="7">
        <f>Y39</f>
        <v>1041.9962656017287</v>
      </c>
      <c r="E40" s="7">
        <f>Parameters!$J$6*C40</f>
        <v>185.03235846652345</v>
      </c>
      <c r="F40" s="7">
        <f>IF(Parameters!$J$5=1,E40,0)</f>
        <v>0.0</v>
      </c>
      <c r="G40" s="7">
        <f>Parameters!$J$27*G39+F40</f>
        <v>0.0</v>
      </c>
      <c r="H40" s="7">
        <f>IF(AND(Parameters!$J$5=1,Parameters!$J$26=1),SUMPRODUCT(--($A$5:A40&lt;A40),--(MOD(A40-$A$5:A40,Parameters!$J$28)=0),$F$5:F40,POWER(Parameters!$J$27,IF(A40-$A$5:A40=0,1,A40-$A$5:A40))),0)</f>
        <v>0.0</v>
      </c>
      <c r="I40" s="7">
        <f>Parameters!$J$23*I39+B40*Parameters!$J$22</f>
        <v>0.0</v>
      </c>
      <c r="J40" s="7">
        <f>E40*Parameters!$J$14*(1-Parameters!$J$15)</f>
        <v>3515.6148108639454</v>
      </c>
      <c r="K40" s="7">
        <f>H40*Parameters!$J$29</f>
        <v>0.0</v>
      </c>
      <c r="L40" s="7">
        <f>I40*Parameters!$J$24</f>
        <v>0.0</v>
      </c>
      <c r="M40" s="7">
        <f>J40+K40+L40</f>
        <v>3515.6148108639454</v>
      </c>
      <c r="N40" s="7">
        <f>C40*Parameters!$J$17+D40*Parameters!$J$18+E40*Parameters!$J$16+I40*Parameters!$J$25+G40*Parameters!$J$30</f>
        <v>3481.515868265239</v>
      </c>
      <c r="O40" s="7">
        <f>B40*Parameters!$J$19</f>
        <v>4000</v>
      </c>
      <c r="P40" s="7">
        <f>M40-N40-O40</f>
        <v>-3965.9010574012937</v>
      </c>
      <c r="Q40" s="7">
        <f>Parameters!$J$21</f>
        <v>1000</v>
      </c>
      <c r="R40" s="7">
        <f>P40-Q40</f>
        <v>-4965.901057401294</v>
      </c>
      <c r="S40" s="7">
        <f>IF(A40&lt;1+Parameters!$J$31,0,INDEX($M$5:$M$40,A40-Parameters!$J$31))</f>
        <v>3505.237429685922</v>
      </c>
      <c r="T40" s="7">
        <f>T39+M40-S40</f>
        <v>3515.6148108639454</v>
      </c>
      <c r="U40" s="7">
        <f>S40-N40-O40-Q40</f>
        <v>-4976.278438579317</v>
      </c>
      <c r="V40" s="7">
        <f>V39+U40</f>
        <v>-179631.36716243016</v>
      </c>
      <c r="W40" s="7">
        <f>(1-Parameters!$J$7)*(C40-E40)+(1-Parameters!$J$8)*(D40+E40)</f>
        <v>968.0099876893772</v>
      </c>
      <c r="X40" s="7">
        <f>Parameters!$J$7*(C40-E40)+Parameters!$J$8*Parameters!$J$9*(D40+E40)</f>
        <v>8276.494727660167</v>
      </c>
      <c r="Y40" s="7">
        <f>Parameters!$J$8*(1-Parameters!$J$9)*(D40+E40)</f>
        <v>1049.1094735783556</v>
      </c>
      <c r="Z40" s="7">
        <f>POWER(1/(1+Parameters!$J$32),A40-1)*(M40-N40)</f>
        <v>24.070927755525055</v>
      </c>
    </row>
    <row r="43" spans="1:26">
      <c r="A43" s="1" t="s">
        <v>189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45" customHeight="1">
      <c r="A44" s="4" t="s">
        <v>164</v>
      </c>
      <c r="B44" s="4" t="s">
        <v>165</v>
      </c>
      <c r="C44" s="4" t="s">
        <v>166</v>
      </c>
      <c r="D44" s="4" t="s">
        <v>167</v>
      </c>
      <c r="E44" s="4" t="s">
        <v>168</v>
      </c>
      <c r="F44" s="4" t="s">
        <v>169</v>
      </c>
      <c r="G44" s="4" t="s">
        <v>170</v>
      </c>
      <c r="H44" s="4" t="s">
        <v>171</v>
      </c>
      <c r="I44" s="4" t="s">
        <v>172</v>
      </c>
      <c r="J44" s="4" t="s">
        <v>173</v>
      </c>
      <c r="K44" s="4" t="s">
        <v>174</v>
      </c>
      <c r="L44" s="4" t="s">
        <v>175</v>
      </c>
      <c r="M44" s="4" t="s">
        <v>176</v>
      </c>
      <c r="N44" s="4" t="s">
        <v>177</v>
      </c>
      <c r="O44" s="4" t="s">
        <v>99</v>
      </c>
      <c r="P44" s="4" t="s">
        <v>178</v>
      </c>
      <c r="Q44" s="4" t="s">
        <v>179</v>
      </c>
      <c r="R44" s="4" t="s">
        <v>180</v>
      </c>
      <c r="S44" s="4" t="s">
        <v>181</v>
      </c>
      <c r="T44" s="4" t="s">
        <v>182</v>
      </c>
      <c r="U44" s="4" t="s">
        <v>183</v>
      </c>
      <c r="V44" s="4" t="s">
        <v>184</v>
      </c>
      <c r="W44" s="4" t="s">
        <v>185</v>
      </c>
      <c r="X44" s="4" t="s">
        <v>186</v>
      </c>
      <c r="Y44" s="4" t="s">
        <v>187</v>
      </c>
      <c r="Z44" s="4" t="s">
        <v>188</v>
      </c>
    </row>
    <row r="45" spans="1:26">
      <c r="A45" s="7">
        <v>1</v>
      </c>
      <c r="B45" s="7">
        <f>1</f>
        <v>1</v>
      </c>
      <c r="C45" s="7">
        <f>B45</f>
        <v>1</v>
      </c>
      <c r="D45" s="7">
        <f>0</f>
        <v>0.0</v>
      </c>
      <c r="E45" s="7">
        <f>Parameters!$J$6*C45</f>
        <v>0.02</v>
      </c>
      <c r="F45" s="7">
        <f>IF(Parameters!$J$5=1,E45,0)</f>
        <v>0.0</v>
      </c>
      <c r="G45" s="7">
        <f>F45</f>
        <v>0.0</v>
      </c>
      <c r="H45" s="7">
        <f>IF(AND(Parameters!$J$5=1,Parameters!$J$26=1),SUMPRODUCT(--($A$45:A45&lt;A45),--(MOD(A45-$A$45:A45,Parameters!$J$28)=0),$F$45:F45,POWER(Parameters!$J$27,IF(A45-$A$45:A45=0,1,A45-$A$45:A45))),0)</f>
        <v>0.0</v>
      </c>
      <c r="I45" s="7">
        <f>B45*Parameters!$J$22</f>
        <v>0.0</v>
      </c>
      <c r="J45" s="7">
        <f>E45*Parameters!$J$14*(1-Parameters!$J$15)</f>
        <v>0.38</v>
      </c>
      <c r="K45" s="7">
        <f>H45*Parameters!$J$29</f>
        <v>0.0</v>
      </c>
      <c r="L45" s="7">
        <f>I45*Parameters!$J$24</f>
        <v>0.0</v>
      </c>
      <c r="M45" s="7">
        <f>J45+K45+L45</f>
        <v>0.38</v>
      </c>
      <c r="N45" s="7">
        <f>C45*Parameters!$J$17+D45*Parameters!$J$18+E45*Parameters!$J$16+I45*Parameters!$J$25+G45*Parameters!$J$30</f>
        <v>0.32</v>
      </c>
      <c r="O45" s="7">
        <f>0</f>
        <v>0</v>
      </c>
      <c r="P45" s="7">
        <f>M45-N45-O45</f>
        <v>0.06</v>
      </c>
      <c r="Q45" s="7">
        <f>0</f>
        <v>0</v>
      </c>
      <c r="R45" s="7">
        <f>P45-Q45</f>
        <v>0.06</v>
      </c>
      <c r="S45" s="7">
        <f>IF(A45&lt;1+Parameters!$J$31,0,INDEX($M$45:$M$80,A45-Parameters!$J$31))</f>
        <v>0.0</v>
      </c>
      <c r="T45" s="7">
        <f>M45-S45</f>
        <v>0.38</v>
      </c>
      <c r="U45" s="7">
        <f>S45-N45-O45-Q45</f>
        <v>-0.32</v>
      </c>
      <c r="V45" s="7">
        <f>U45</f>
        <v>-0.32</v>
      </c>
      <c r="W45" s="7">
        <f>(1-Parameters!$J$7)*(C45-E45)+(1-Parameters!$J$8)*(D45+E45)</f>
        <v>0.09899999999999998</v>
      </c>
      <c r="X45" s="7">
        <f>Parameters!$J$7*(C45-E45)+Parameters!$J$8*Parameters!$J$9*(D45+E45)</f>
        <v>0.8839</v>
      </c>
      <c r="Y45" s="7">
        <f>Parameters!$J$8*(1-Parameters!$J$9)*(D45+E45)</f>
        <v>0.0171</v>
      </c>
      <c r="Z45" s="7">
        <f>POWER(1/(1+Parameters!$J$32),A45-1)*(M45-N45)</f>
        <v>0.06</v>
      </c>
    </row>
    <row r="46" spans="1:26">
      <c r="A46" s="7">
        <v>2</v>
      </c>
      <c r="B46" s="7">
        <f>0</f>
        <v>0</v>
      </c>
      <c r="C46" s="7">
        <f>X45+B46</f>
        <v>0.8839</v>
      </c>
      <c r="D46" s="7">
        <f>Y45</f>
        <v>0.0171</v>
      </c>
      <c r="E46" s="7">
        <f>Parameters!$J$6*C46</f>
        <v>0.017678</v>
      </c>
      <c r="F46" s="7">
        <f>IF(Parameters!$J$5=1,E46,0)</f>
        <v>0.0</v>
      </c>
      <c r="G46" s="7">
        <f>Parameters!$J$27*G45+F46</f>
        <v>0.0</v>
      </c>
      <c r="H46" s="7">
        <f>IF(AND(Parameters!$J$5=1,Parameters!$J$26=1),SUMPRODUCT(--($A$45:A46&lt;A46),--(MOD(A46-$A$45:A46,Parameters!$J$28)=0),$F$45:F46,POWER(Parameters!$J$27,IF(A46-$A$45:A46=0,1,A46-$A$45:A46))),0)</f>
        <v>0.0</v>
      </c>
      <c r="I46" s="7">
        <f>Parameters!$J$23*I45+B46*Parameters!$J$22</f>
        <v>0.0</v>
      </c>
      <c r="J46" s="7">
        <f>E46*Parameters!$J$14*(1-Parameters!$J$15)</f>
        <v>0.33588199999999996</v>
      </c>
      <c r="K46" s="7">
        <f>H46*Parameters!$J$29</f>
        <v>0.0</v>
      </c>
      <c r="L46" s="7">
        <f>I46*Parameters!$J$24</f>
        <v>0.0</v>
      </c>
      <c r="M46" s="7">
        <f>J46+K46+L46</f>
        <v>0.33588199999999996</v>
      </c>
      <c r="N46" s="7">
        <f>C46*Parameters!$J$17+D46*Parameters!$J$18+E46*Parameters!$J$16+I46*Parameters!$J$25+G46*Parameters!$J$30</f>
        <v>0.29139800000000005</v>
      </c>
      <c r="O46" s="7">
        <f>0</f>
        <v>0</v>
      </c>
      <c r="P46" s="7">
        <f>M46-N46-O46</f>
        <v>0.04448399999999991</v>
      </c>
      <c r="Q46" s="7">
        <f>0</f>
        <v>0</v>
      </c>
      <c r="R46" s="7">
        <f>P46-Q46</f>
        <v>0.04448399999999991</v>
      </c>
      <c r="S46" s="7">
        <f>IF(A46&lt;1+Parameters!$J$31,0,INDEX($M$45:$M$80,A46-Parameters!$J$31))</f>
        <v>0.38</v>
      </c>
      <c r="T46" s="7">
        <f>T45+M46-S46</f>
        <v>0.33588199999999996</v>
      </c>
      <c r="U46" s="7">
        <f>S46-N46-O46-Q46</f>
        <v>0.08860199999999996</v>
      </c>
      <c r="V46" s="7">
        <f>V45+U46</f>
        <v>-0.23139800000000005</v>
      </c>
      <c r="W46" s="7">
        <f>(1-Parameters!$J$7)*(C46-E46)+(1-Parameters!$J$8)*(D46+E46)</f>
        <v>0.08836109999999998</v>
      </c>
      <c r="X46" s="7">
        <f>Parameters!$J$7*(C46-E46)+Parameters!$J$8*Parameters!$J$9*(D46+E46)</f>
        <v>0.78290371</v>
      </c>
      <c r="Y46" s="7">
        <f>Parameters!$J$8*(1-Parameters!$J$9)*(D46+E46)</f>
        <v>0.02973519</v>
      </c>
      <c r="Z46" s="7">
        <f>POWER(1/(1+Parameters!$J$32),A46-1)*(M46-N46)</f>
        <v>0.044043564356435555</v>
      </c>
    </row>
    <row r="47" spans="1:26">
      <c r="A47" s="7">
        <v>3</v>
      </c>
      <c r="B47" s="7">
        <f>0</f>
        <v>0</v>
      </c>
      <c r="C47" s="7">
        <f>X46+B47</f>
        <v>0.78290371</v>
      </c>
      <c r="D47" s="7">
        <f>Y46</f>
        <v>0.02973519</v>
      </c>
      <c r="E47" s="7">
        <f>Parameters!$J$6*C47</f>
        <v>0.0156580742</v>
      </c>
      <c r="F47" s="7">
        <f>IF(Parameters!$J$5=1,E47,0)</f>
        <v>0.0</v>
      </c>
      <c r="G47" s="7">
        <f>Parameters!$J$27*G46+F47</f>
        <v>0.0</v>
      </c>
      <c r="H47" s="7">
        <f>IF(AND(Parameters!$J$5=1,Parameters!$J$26=1),SUMPRODUCT(--($A$45:A47&lt;A47),--(MOD(A47-$A$45:A47,Parameters!$J$28)=0),$F$45:F47,POWER(Parameters!$J$27,IF(A47-$A$45:A47=0,1,A47-$A$45:A47))),0)</f>
        <v>0.0</v>
      </c>
      <c r="I47" s="7">
        <f>Parameters!$J$23*I46+B47*Parameters!$J$22</f>
        <v>0.0</v>
      </c>
      <c r="J47" s="7">
        <f>E47*Parameters!$J$14*(1-Parameters!$J$15)</f>
        <v>0.29750340979999995</v>
      </c>
      <c r="K47" s="7">
        <f>H47*Parameters!$J$29</f>
        <v>0.0</v>
      </c>
      <c r="L47" s="7">
        <f>I47*Parameters!$J$24</f>
        <v>0.0</v>
      </c>
      <c r="M47" s="7">
        <f>J47+K47+L47</f>
        <v>0.29750340979999995</v>
      </c>
      <c r="N47" s="7">
        <f>C47*Parameters!$J$17+D47*Parameters!$J$18+E47*Parameters!$J$16+I47*Parameters!$J$25+G47*Parameters!$J$30</f>
        <v>0.2653967822</v>
      </c>
      <c r="O47" s="7">
        <f>0</f>
        <v>0</v>
      </c>
      <c r="P47" s="7">
        <f>M47-N47-O47</f>
        <v>0.03210662759999994</v>
      </c>
      <c r="Q47" s="7">
        <f>0</f>
        <v>0</v>
      </c>
      <c r="R47" s="7">
        <f>P47-Q47</f>
        <v>0.03210662759999994</v>
      </c>
      <c r="S47" s="7">
        <f>IF(A47&lt;1+Parameters!$J$31,0,INDEX($M$45:$M$80,A47-Parameters!$J$31))</f>
        <v>0.33588199999999996</v>
      </c>
      <c r="T47" s="7">
        <f>T46+M47-S47</f>
        <v>0.29750340979999995</v>
      </c>
      <c r="U47" s="7">
        <f>S47-N47-O47-Q47</f>
        <v>0.07048521779999994</v>
      </c>
      <c r="V47" s="7">
        <f>V46+U47</f>
        <v>-0.1609127822000001</v>
      </c>
      <c r="W47" s="7">
        <f>(1-Parameters!$J$7)*(C47-E47)+(1-Parameters!$J$8)*(D47+E47)</f>
        <v>0.07899422679</v>
      </c>
      <c r="X47" s="7">
        <f>Parameters!$J$7*(C47-E47)+Parameters!$J$8*Parameters!$J$9*(D47+E47)</f>
        <v>0.6948334323190001</v>
      </c>
      <c r="Y47" s="7">
        <f>Parameters!$J$8*(1-Parameters!$J$9)*(D47+E47)</f>
        <v>0.03881124089100001</v>
      </c>
      <c r="Z47" s="7">
        <f>POWER(1/(1+Parameters!$J$32),A47-1)*(M47-N47)</f>
        <v>0.03147400019605915</v>
      </c>
    </row>
    <row r="48" spans="1:26">
      <c r="A48" s="7">
        <v>4</v>
      </c>
      <c r="B48" s="7">
        <f>0</f>
        <v>0</v>
      </c>
      <c r="C48" s="7">
        <f>X47+B48</f>
        <v>0.694833432319</v>
      </c>
      <c r="D48" s="7">
        <f>Y47</f>
        <v>0.038811240891</v>
      </c>
      <c r="E48" s="7">
        <f>Parameters!$J$6*C48</f>
        <v>0.013896668646379999</v>
      </c>
      <c r="F48" s="7">
        <f>IF(Parameters!$J$5=1,E48,0)</f>
        <v>0.0</v>
      </c>
      <c r="G48" s="7">
        <f>Parameters!$J$27*G47+F48</f>
        <v>0.0</v>
      </c>
      <c r="H48" s="7">
        <f>IF(AND(Parameters!$J$5=1,Parameters!$J$26=1),SUMPRODUCT(--($A$45:A48&lt;A48),--(MOD(A48-$A$45:A48,Parameters!$J$28)=0),$F$45:F48,POWER(Parameters!$J$27,IF(A48-$A$45:A48=0,1,A48-$A$45:A48))),0)</f>
        <v>0.0</v>
      </c>
      <c r="I48" s="7">
        <f>Parameters!$J$23*I47+B48*Parameters!$J$22</f>
        <v>0.0</v>
      </c>
      <c r="J48" s="7">
        <f>E48*Parameters!$J$14*(1-Parameters!$J$15)</f>
        <v>0.26403670428122</v>
      </c>
      <c r="K48" s="7">
        <f>H48*Parameters!$J$29</f>
        <v>0.0</v>
      </c>
      <c r="L48" s="7">
        <f>I48*Parameters!$J$24</f>
        <v>0.0</v>
      </c>
      <c r="M48" s="7">
        <f>J48+K48+L48</f>
        <v>0.26403670428122</v>
      </c>
      <c r="N48" s="7">
        <f>C48*Parameters!$J$17+D48*Parameters!$J$18+E48*Parameters!$J$16+I48*Parameters!$J$25+G48*Parameters!$J$30</f>
        <v>0.24175231878758</v>
      </c>
      <c r="O48" s="7">
        <f>0</f>
        <v>0</v>
      </c>
      <c r="P48" s="7">
        <f>M48-N48-O48</f>
        <v>0.022284385493640008</v>
      </c>
      <c r="Q48" s="7">
        <f>0</f>
        <v>0</v>
      </c>
      <c r="R48" s="7">
        <f>P48-Q48</f>
        <v>0.022284385493640008</v>
      </c>
      <c r="S48" s="7">
        <f>IF(A48&lt;1+Parameters!$J$31,0,INDEX($M$45:$M$80,A48-Parameters!$J$31))</f>
        <v>0.29750340979999995</v>
      </c>
      <c r="T48" s="7">
        <f>T47+M48-S48</f>
        <v>0.26403670428122</v>
      </c>
      <c r="U48" s="7">
        <f>S48-N48-O48-Q48</f>
        <v>0.05575109101241996</v>
      </c>
      <c r="V48" s="7">
        <f>V47+U48</f>
        <v>-0.10516169118758015</v>
      </c>
      <c r="W48" s="7">
        <f>(1-Parameters!$J$7)*(C48-E48)+(1-Parameters!$J$8)*(D48+E48)</f>
        <v>0.07072907184413099</v>
      </c>
      <c r="X48" s="7">
        <f>Parameters!$J$7*(C48-E48)+Parameters!$J$8*Parameters!$J$9*(D48+E48)</f>
        <v>0.6178503387114092</v>
      </c>
      <c r="Y48" s="7">
        <f>Parameters!$J$8*(1-Parameters!$J$9)*(D48+E48)</f>
        <v>0.0450652626544599</v>
      </c>
      <c r="Z48" s="7">
        <f>POWER(1/(1+Parameters!$J$32),A48-1)*(M48-N48)</f>
        <v>0.021629005012748708</v>
      </c>
    </row>
    <row r="49" spans="1:26">
      <c r="A49" s="7">
        <v>5</v>
      </c>
      <c r="B49" s="7">
        <f>0</f>
        <v>0</v>
      </c>
      <c r="C49" s="7">
        <f>X48+B49</f>
        <v>0.617850338711409</v>
      </c>
      <c r="D49" s="7">
        <f>Y48</f>
        <v>0.0450652626544599</v>
      </c>
      <c r="E49" s="7">
        <f>Parameters!$J$6*C49</f>
        <v>0.012357006774228182</v>
      </c>
      <c r="F49" s="7">
        <f>IF(Parameters!$J$5=1,E49,0)</f>
        <v>0.0</v>
      </c>
      <c r="G49" s="7">
        <f>Parameters!$J$27*G48+F49</f>
        <v>0.0</v>
      </c>
      <c r="H49" s="7">
        <f>IF(AND(Parameters!$J$5=1,Parameters!$J$26=1),SUMPRODUCT(--($A$45:A49&lt;A49),--(MOD(A49-$A$45:A49,Parameters!$J$28)=0),$F$45:F49,POWER(Parameters!$J$27,IF(A49-$A$45:A49=0,1,A49-$A$45:A49))),0)</f>
        <v>0.0</v>
      </c>
      <c r="I49" s="7">
        <f>Parameters!$J$23*I48+B49*Parameters!$J$22</f>
        <v>0.0</v>
      </c>
      <c r="J49" s="7">
        <f>E49*Parameters!$J$14*(1-Parameters!$J$15)</f>
        <v>0.23478312871033546</v>
      </c>
      <c r="K49" s="7">
        <f>H49*Parameters!$J$29</f>
        <v>0.0</v>
      </c>
      <c r="L49" s="7">
        <f>I49*Parameters!$J$24</f>
        <v>0.0</v>
      </c>
      <c r="M49" s="7">
        <f>J49+K49+L49</f>
        <v>0.23478312871033546</v>
      </c>
      <c r="N49" s="7">
        <f>C49*Parameters!$J$17+D49*Parameters!$J$18+E49*Parameters!$J$16+I49*Parameters!$J$25+G49*Parameters!$J$30</f>
        <v>0.22024473971488084</v>
      </c>
      <c r="O49" s="7">
        <f>0</f>
        <v>0</v>
      </c>
      <c r="P49" s="7">
        <f>M49-N49-O49</f>
        <v>0.01453838899545462</v>
      </c>
      <c r="Q49" s="7">
        <f>0</f>
        <v>0</v>
      </c>
      <c r="R49" s="7">
        <f>P49-Q49</f>
        <v>0.01453838899545462</v>
      </c>
      <c r="S49" s="7">
        <f>IF(A49&lt;1+Parameters!$J$31,0,INDEX($M$45:$M$80,A49-Parameters!$J$31))</f>
        <v>0.26403670428122</v>
      </c>
      <c r="T49" s="7">
        <f>T48+M49-S49</f>
        <v>0.23478312871033546</v>
      </c>
      <c r="U49" s="7">
        <f>S49-N49-O49-Q49</f>
        <v>0.04379196456633916</v>
      </c>
      <c r="V49" s="7">
        <f>V48+U49</f>
        <v>-0.06136972662124099</v>
      </c>
      <c r="W49" s="7">
        <f>(1-Parameters!$J$7)*(C49-E49)+(1-Parameters!$J$8)*(D49+E49)</f>
        <v>0.06342044666515248</v>
      </c>
      <c r="X49" s="7">
        <f>Parameters!$J$7*(C49-E49)+Parameters!$J$8*Parameters!$J$9*(D49+E49)</f>
        <v>0.5503991143391882</v>
      </c>
      <c r="Y49" s="7">
        <f>Parameters!$J$8*(1-Parameters!$J$9)*(D49+E49)</f>
        <v>0.04909604036152831</v>
      </c>
      <c r="Z49" s="7">
        <f>POWER(1/(1+Parameters!$J$32),A49-1)*(M49-N49)</f>
        <v>0.013971106065077166</v>
      </c>
    </row>
    <row r="50" spans="1:26">
      <c r="A50" s="7">
        <v>6</v>
      </c>
      <c r="B50" s="7">
        <f>0</f>
        <v>0</v>
      </c>
      <c r="C50" s="7">
        <f>X49+B50</f>
        <v>0.5503991143391882</v>
      </c>
      <c r="D50" s="7">
        <f>Y49</f>
        <v>0.04909604036152831</v>
      </c>
      <c r="E50" s="7">
        <f>Parameters!$J$6*C50</f>
        <v>0.011007982286783765</v>
      </c>
      <c r="F50" s="7">
        <f>IF(Parameters!$J$5=1,E50,0)</f>
        <v>0.0</v>
      </c>
      <c r="G50" s="7">
        <f>Parameters!$J$27*G49+F50</f>
        <v>0.0</v>
      </c>
      <c r="H50" s="7">
        <f>IF(AND(Parameters!$J$5=1,Parameters!$J$26=1),SUMPRODUCT(--($A$45:A50&lt;A50),--(MOD(A50-$A$45:A50,Parameters!$J$28)=0),$F$45:F50,POWER(Parameters!$J$27,IF(A50-$A$45:A50=0,1,A50-$A$45:A50))),0)</f>
        <v>0.0</v>
      </c>
      <c r="I50" s="7">
        <f>Parameters!$J$23*I49+B50*Parameters!$J$22</f>
        <v>0.0</v>
      </c>
      <c r="J50" s="7">
        <f>E50*Parameters!$J$14*(1-Parameters!$J$15)</f>
        <v>0.20915166344889152</v>
      </c>
      <c r="K50" s="7">
        <f>H50*Parameters!$J$29</f>
        <v>0.0</v>
      </c>
      <c r="L50" s="7">
        <f>I50*Parameters!$J$24</f>
        <v>0.0</v>
      </c>
      <c r="M50" s="7">
        <f>J50+K50+L50</f>
        <v>0.20915166344889152</v>
      </c>
      <c r="N50" s="7">
        <f>C50*Parameters!$J$17+D50*Parameters!$J$18+E50*Parameters!$J$16+I50*Parameters!$J$25+G50*Parameters!$J$30</f>
        <v>0.20067573676930436</v>
      </c>
      <c r="O50" s="7">
        <f>0</f>
        <v>0</v>
      </c>
      <c r="P50" s="7">
        <f>M50-N50-O50</f>
        <v>0.008475926679587159</v>
      </c>
      <c r="Q50" s="7">
        <f>0</f>
        <v>0</v>
      </c>
      <c r="R50" s="7">
        <f>P50-Q50</f>
        <v>0.008475926679587159</v>
      </c>
      <c r="S50" s="7">
        <f>IF(A50&lt;1+Parameters!$J$31,0,INDEX($M$45:$M$80,A50-Parameters!$J$31))</f>
        <v>0.23478312871033546</v>
      </c>
      <c r="T50" s="7">
        <f>T49+M50-S50</f>
        <v>0.20915166344889152</v>
      </c>
      <c r="U50" s="7">
        <f>S50-N50-O50-Q50</f>
        <v>0.0341073919410311</v>
      </c>
      <c r="V50" s="7">
        <f>V49+U50</f>
        <v>-0.027262334680209888</v>
      </c>
      <c r="W50" s="7">
        <f>(1-Parameters!$J$7)*(C50-E50)+(1-Parameters!$J$8)*(D50+E50)</f>
        <v>0.05694431433765603</v>
      </c>
      <c r="X50" s="7">
        <f>Parameters!$J$7*(C50-E50)+Parameters!$J$8*Parameters!$J$9*(D50+E50)</f>
        <v>0.4911619009987536</v>
      </c>
      <c r="Y50" s="7">
        <f>Parameters!$J$8*(1-Parameters!$J$9)*(D50+E50)</f>
        <v>0.05138893936430682</v>
      </c>
      <c r="Z50" s="7">
        <f>POWER(1/(1+Parameters!$J$32),A50-1)*(M50-N50)</f>
        <v>0.008064553406297784</v>
      </c>
    </row>
    <row r="51" spans="1:26">
      <c r="A51" s="7">
        <v>7</v>
      </c>
      <c r="B51" s="7">
        <f>0</f>
        <v>0</v>
      </c>
      <c r="C51" s="7">
        <f>X50+B51</f>
        <v>0.4911619009987536</v>
      </c>
      <c r="D51" s="7">
        <f>Y50</f>
        <v>0.05138893936430682</v>
      </c>
      <c r="E51" s="7">
        <f>Parameters!$J$6*C51</f>
        <v>0.009823238019975073</v>
      </c>
      <c r="F51" s="7">
        <f>IF(Parameters!$J$5=1,E51,0)</f>
        <v>0.0</v>
      </c>
      <c r="G51" s="7">
        <f>Parameters!$J$27*G50+F51</f>
        <v>0.0</v>
      </c>
      <c r="H51" s="7">
        <f>IF(AND(Parameters!$J$5=1,Parameters!$J$26=1),SUMPRODUCT(--($A$45:A51&lt;A51),--(MOD(A51-$A$45:A51,Parameters!$J$28)=0),$F$45:F51,POWER(Parameters!$J$27,IF(A51-$A$45:A51=0,1,A51-$A$45:A51))),0)</f>
        <v>0.0</v>
      </c>
      <c r="I51" s="7">
        <f>Parameters!$J$23*I50+B51*Parameters!$J$22</f>
        <v>0.0</v>
      </c>
      <c r="J51" s="7">
        <f>E51*Parameters!$J$14*(1-Parameters!$J$15)</f>
        <v>0.1866415223795264</v>
      </c>
      <c r="K51" s="7">
        <f>H51*Parameters!$J$29</f>
        <v>0.0</v>
      </c>
      <c r="L51" s="7">
        <f>I51*Parameters!$J$24</f>
        <v>0.0</v>
      </c>
      <c r="M51" s="7">
        <f>J51+K51+L51</f>
        <v>0.1866415223795264</v>
      </c>
      <c r="N51" s="7">
        <f>C51*Parameters!$J$17+D51*Parameters!$J$18+E51*Parameters!$J$16+I51*Parameters!$J$25+G51*Parameters!$J$30</f>
        <v>0.18286627800175456</v>
      </c>
      <c r="O51" s="7">
        <f>0</f>
        <v>0</v>
      </c>
      <c r="P51" s="7">
        <f>M51-N51-O51</f>
        <v>0.0037752443777718248</v>
      </c>
      <c r="Q51" s="7">
        <f>0</f>
        <v>0</v>
      </c>
      <c r="R51" s="7">
        <f>P51-Q51</f>
        <v>0.0037752443777718248</v>
      </c>
      <c r="S51" s="7">
        <f>IF(A51&lt;1+Parameters!$J$31,0,INDEX($M$45:$M$80,A51-Parameters!$J$31))</f>
        <v>0.20915166344889152</v>
      </c>
      <c r="T51" s="7">
        <f>T50+M51-S51</f>
        <v>0.1866415223795264</v>
      </c>
      <c r="U51" s="7">
        <f>S51-N51-O51-Q51</f>
        <v>0.02628538544713696</v>
      </c>
      <c r="V51" s="7">
        <f>V50+U51</f>
        <v>-0.0009769492330729268</v>
      </c>
      <c r="W51" s="7">
        <f>(1-Parameters!$J$7)*(C51-E51)+(1-Parameters!$J$8)*(D51+E51)</f>
        <v>0.05119447516709194</v>
      </c>
      <c r="X51" s="7">
        <f>Parameters!$J$7*(C51-E51)+Parameters!$J$8*Parameters!$J$9*(D51+E51)</f>
        <v>0.43901995353240747</v>
      </c>
      <c r="Y51" s="7">
        <f>Parameters!$J$8*(1-Parameters!$J$9)*(D51+E51)</f>
        <v>0.05233641166356102</v>
      </c>
      <c r="Z51" s="7">
        <f>POWER(1/(1+Parameters!$J$32),A51-1)*(M51-N51)</f>
        <v>0.0035564509780001796</v>
      </c>
    </row>
    <row r="52" spans="1:26">
      <c r="A52" s="7">
        <v>8</v>
      </c>
      <c r="B52" s="7">
        <f>0</f>
        <v>0</v>
      </c>
      <c r="C52" s="7">
        <f>X51+B52</f>
        <v>0.43901995353240747</v>
      </c>
      <c r="D52" s="7">
        <f>Y51</f>
        <v>0.05233641166356102</v>
      </c>
      <c r="E52" s="7">
        <f>Parameters!$J$6*C52</f>
        <v>0.00878039907064815</v>
      </c>
      <c r="F52" s="7">
        <f>IF(Parameters!$J$5=1,E52,0)</f>
        <v>0.0</v>
      </c>
      <c r="G52" s="7">
        <f>Parameters!$J$27*G51+F52</f>
        <v>0.0</v>
      </c>
      <c r="H52" s="7">
        <f>IF(AND(Parameters!$J$5=1,Parameters!$J$26=1),SUMPRODUCT(--($A$45:A52&lt;A52),--(MOD(A52-$A$45:A52,Parameters!$J$28)=0),$F$45:F52,POWER(Parameters!$J$27,IF(A52-$A$45:A52=0,1,A52-$A$45:A52))),0)</f>
        <v>0.0</v>
      </c>
      <c r="I52" s="7">
        <f>Parameters!$J$23*I51+B52*Parameters!$J$22</f>
        <v>0.0</v>
      </c>
      <c r="J52" s="7">
        <f>E52*Parameters!$J$14*(1-Parameters!$J$15)</f>
        <v>0.16682758234231485</v>
      </c>
      <c r="K52" s="7">
        <f>H52*Parameters!$J$29</f>
        <v>0.0</v>
      </c>
      <c r="L52" s="7">
        <f>I52*Parameters!$J$24</f>
        <v>0.0</v>
      </c>
      <c r="M52" s="7">
        <f>J52+K52+L52</f>
        <v>0.16682758234231485</v>
      </c>
      <c r="N52" s="7">
        <f>C52*Parameters!$J$17+D52*Parameters!$J$18+E52*Parameters!$J$16+I52*Parameters!$J$25+G52*Parameters!$J$30</f>
        <v>0.16665459096215088</v>
      </c>
      <c r="O52" s="7">
        <f>0</f>
        <v>0</v>
      </c>
      <c r="P52" s="7">
        <f>M52-N52-O52</f>
        <v>0.0001729913801639671</v>
      </c>
      <c r="Q52" s="7">
        <f>0</f>
        <v>0</v>
      </c>
      <c r="R52" s="7">
        <f>P52-Q52</f>
        <v>0.0001729913801639671</v>
      </c>
      <c r="S52" s="7">
        <f>IF(A52&lt;1+Parameters!$J$31,0,INDEX($M$45:$M$80,A52-Parameters!$J$31))</f>
        <v>0.1866415223795264</v>
      </c>
      <c r="T52" s="7">
        <f>T51+M52-S52</f>
        <v>0.16682758234231485</v>
      </c>
      <c r="U52" s="7">
        <f>S52-N52-O52-Q52</f>
        <v>0.01998693141737551</v>
      </c>
      <c r="V52" s="7">
        <f>V51+U52</f>
        <v>0.019009982184302582</v>
      </c>
      <c r="W52" s="7">
        <f>(1-Parameters!$J$7)*(C52-E52)+(1-Parameters!$J$8)*(D52+E52)</f>
        <v>0.04607979598288638</v>
      </c>
      <c r="X52" s="7">
        <f>Parameters!$J$7*(C52-E52)+Parameters!$J$8*Parameters!$J$9*(D52+E52)</f>
        <v>0.39302169603533327</v>
      </c>
      <c r="Y52" s="7">
        <f>Parameters!$J$8*(1-Parameters!$J$9)*(D52+E52)</f>
        <v>0.05225487317774884</v>
      </c>
      <c r="Z52" s="7">
        <f>POWER(1/(1+Parameters!$J$32),A52-1)*(M52-N52)</f>
        <v>0.0001613521835876379</v>
      </c>
    </row>
    <row r="53" spans="1:26">
      <c r="A53" s="7">
        <v>9</v>
      </c>
      <c r="B53" s="7">
        <f>0</f>
        <v>0</v>
      </c>
      <c r="C53" s="7">
        <f>X52+B53</f>
        <v>0.39302169603533327</v>
      </c>
      <c r="D53" s="7">
        <f>Y52</f>
        <v>0.05225487317774884</v>
      </c>
      <c r="E53" s="7">
        <f>Parameters!$J$6*C53</f>
        <v>0.007860433920706665</v>
      </c>
      <c r="F53" s="7">
        <f>IF(Parameters!$J$5=1,E53,0)</f>
        <v>0.0</v>
      </c>
      <c r="G53" s="7">
        <f>Parameters!$J$27*G52+F53</f>
        <v>0.0</v>
      </c>
      <c r="H53" s="7">
        <f>IF(AND(Parameters!$J$5=1,Parameters!$J$26=1),SUMPRODUCT(--($A$45:A53&lt;A53),--(MOD(A53-$A$45:A53,Parameters!$J$28)=0),$F$45:F53,POWER(Parameters!$J$27,IF(A53-$A$45:A53=0,1,A53-$A$45:A53))),0)</f>
        <v>0.0</v>
      </c>
      <c r="I53" s="7">
        <f>Parameters!$J$23*I52+B53*Parameters!$J$22</f>
        <v>0.0</v>
      </c>
      <c r="J53" s="7">
        <f>E53*Parameters!$J$14*(1-Parameters!$J$15)</f>
        <v>0.14934824449342662</v>
      </c>
      <c r="K53" s="7">
        <f>H53*Parameters!$J$29</f>
        <v>0.0</v>
      </c>
      <c r="L53" s="7">
        <f>I53*Parameters!$J$24</f>
        <v>0.0</v>
      </c>
      <c r="M53" s="7">
        <f>J53+K53+L53</f>
        <v>0.14934824449342662</v>
      </c>
      <c r="N53" s="7">
        <f>C53*Parameters!$J$17+D53*Parameters!$J$18+E53*Parameters!$J$16+I53*Parameters!$J$25+G53*Parameters!$J$30</f>
        <v>0.15189437932018107</v>
      </c>
      <c r="O53" s="7">
        <f>0</f>
        <v>0</v>
      </c>
      <c r="P53" s="7">
        <f>M53-N53-O53</f>
        <v>-0.002546134826754448</v>
      </c>
      <c r="Q53" s="7">
        <f>0</f>
        <v>0</v>
      </c>
      <c r="R53" s="7">
        <f>P53-Q53</f>
        <v>-0.002546134826754448</v>
      </c>
      <c r="S53" s="7">
        <f>IF(A53&lt;1+Parameters!$J$31,0,INDEX($M$45:$M$80,A53-Parameters!$J$31))</f>
        <v>0.16682758234231485</v>
      </c>
      <c r="T53" s="7">
        <f>T52+M53-S53</f>
        <v>0.14934824449342662</v>
      </c>
      <c r="U53" s="7">
        <f>S53-N53-O53-Q53</f>
        <v>0.014933203022133773</v>
      </c>
      <c r="V53" s="7">
        <f>V52+U53</f>
        <v>0.033943185206436355</v>
      </c>
      <c r="W53" s="7">
        <f>(1-Parameters!$J$7)*(C53-E53)+(1-Parameters!$J$8)*(D53+E53)</f>
        <v>0.04152189156638543</v>
      </c>
      <c r="X53" s="7">
        <f>Parameters!$J$7*(C53-E53)+Parameters!$J$8*Parameters!$J$9*(D53+E53)</f>
        <v>0.3523560900775172</v>
      </c>
      <c r="Y53" s="7">
        <f>Parameters!$J$8*(1-Parameters!$J$9)*(D53+E53)</f>
        <v>0.05139858756917945</v>
      </c>
      <c r="Z53" s="7">
        <f>POWER(1/(1+Parameters!$J$32),A53-1)*(M53-N53)</f>
        <v>-0.0023513127946856414</v>
      </c>
    </row>
    <row r="54" spans="1:26">
      <c r="A54" s="7">
        <v>10</v>
      </c>
      <c r="B54" s="7">
        <f>0</f>
        <v>0</v>
      </c>
      <c r="C54" s="7">
        <f>X53+B54</f>
        <v>0.3523560900775172</v>
      </c>
      <c r="D54" s="7">
        <f>Y53</f>
        <v>0.051398587569179456</v>
      </c>
      <c r="E54" s="7">
        <f>Parameters!$J$6*C54</f>
        <v>0.007047121801550344</v>
      </c>
      <c r="F54" s="7">
        <f>IF(Parameters!$J$5=1,E54,0)</f>
        <v>0.0</v>
      </c>
      <c r="G54" s="7">
        <f>Parameters!$J$27*G53+F54</f>
        <v>0.0</v>
      </c>
      <c r="H54" s="7">
        <f>IF(AND(Parameters!$J$5=1,Parameters!$J$26=1),SUMPRODUCT(--($A$45:A54&lt;A54),--(MOD(A54-$A$45:A54,Parameters!$J$28)=0),$F$45:F54,POWER(Parameters!$J$27,IF(A54-$A$45:A54=0,1,A54-$A$45:A54))),0)</f>
        <v>0.0</v>
      </c>
      <c r="I54" s="7">
        <f>Parameters!$J$23*I53+B54*Parameters!$J$22</f>
        <v>0.0</v>
      </c>
      <c r="J54" s="7">
        <f>E54*Parameters!$J$14*(1-Parameters!$J$15)</f>
        <v>0.13389531422945655</v>
      </c>
      <c r="K54" s="7">
        <f>H54*Parameters!$J$29</f>
        <v>0.0</v>
      </c>
      <c r="L54" s="7">
        <f>I54*Parameters!$J$24</f>
        <v>0.0</v>
      </c>
      <c r="M54" s="7">
        <f>J54+K54+L54</f>
        <v>0.13389531422945655</v>
      </c>
      <c r="N54" s="7">
        <f>C54*Parameters!$J$17+D54*Parameters!$J$18+E54*Parameters!$J$16+I54*Parameters!$J$25+G54*Parameters!$J$30</f>
        <v>0.13845324260939523</v>
      </c>
      <c r="O54" s="7">
        <f>0</f>
        <v>0</v>
      </c>
      <c r="P54" s="7">
        <f>M54-N54-O54</f>
        <v>-0.0045579283799386805</v>
      </c>
      <c r="Q54" s="7">
        <f>0</f>
        <v>0</v>
      </c>
      <c r="R54" s="7">
        <f>P54-Q54</f>
        <v>-0.0045579283799386805</v>
      </c>
      <c r="S54" s="7">
        <f>IF(A54&lt;1+Parameters!$J$31,0,INDEX($M$45:$M$80,A54-Parameters!$J$31))</f>
        <v>0.14934824449342662</v>
      </c>
      <c r="T54" s="7">
        <f>T53+M54-S54</f>
        <v>0.13389531422945655</v>
      </c>
      <c r="U54" s="7">
        <f>S54-N54-O54-Q54</f>
        <v>0.010895001884031391</v>
      </c>
      <c r="V54" s="7">
        <f>V53+U54</f>
        <v>0.044838187090467746</v>
      </c>
      <c r="W54" s="7">
        <f>(1-Parameters!$J$7)*(C54-E54)+(1-Parameters!$J$8)*(D54+E54)</f>
        <v>0.03745318229613317</v>
      </c>
      <c r="X54" s="7">
        <f>Parameters!$J$7*(C54-E54)+Parameters!$J$8*Parameters!$J$9*(D54+E54)</f>
        <v>0.3163304138385895</v>
      </c>
      <c r="Y54" s="7">
        <f>Parameters!$J$8*(1-Parameters!$J$9)*(D54+E54)</f>
        <v>0.04997108151197398</v>
      </c>
      <c r="Z54" s="7">
        <f>POWER(1/(1+Parameters!$J$32),A54-1)*(M54-N54)</f>
        <v>-0.004167495433811245</v>
      </c>
    </row>
    <row r="55" spans="1:26">
      <c r="A55" s="7">
        <v>11</v>
      </c>
      <c r="B55" s="7">
        <f>0</f>
        <v>0</v>
      </c>
      <c r="C55" s="7">
        <f>X54+B55</f>
        <v>0.3163304138385895</v>
      </c>
      <c r="D55" s="7">
        <f>Y54</f>
        <v>0.04997108151197398</v>
      </c>
      <c r="E55" s="7">
        <f>Parameters!$J$6*C55</f>
        <v>0.0063266082767717904</v>
      </c>
      <c r="F55" s="7">
        <f>IF(Parameters!$J$5=1,E55,0)</f>
        <v>0.0</v>
      </c>
      <c r="G55" s="7">
        <f>Parameters!$J$27*G54+F55</f>
        <v>0.0</v>
      </c>
      <c r="H55" s="7">
        <f>IF(AND(Parameters!$J$5=1,Parameters!$J$26=1),SUMPRODUCT(--($A$45:A55&lt;A55),--(MOD(A55-$A$45:A55,Parameters!$J$28)=0),$F$45:F55,POWER(Parameters!$J$27,IF(A55-$A$45:A55=0,1,A55-$A$45:A55))),0)</f>
        <v>0.0</v>
      </c>
      <c r="I55" s="7">
        <f>Parameters!$J$23*I54+B55*Parameters!$J$22</f>
        <v>0.0</v>
      </c>
      <c r="J55" s="7">
        <f>E55*Parameters!$J$14*(1-Parameters!$J$15)</f>
        <v>0.12020555725866401</v>
      </c>
      <c r="K55" s="7">
        <f>H55*Parameters!$J$29</f>
        <v>0.0</v>
      </c>
      <c r="L55" s="7">
        <f>I55*Parameters!$J$24</f>
        <v>0.0</v>
      </c>
      <c r="M55" s="7">
        <f>J55+K55+L55</f>
        <v>0.12020555725866401</v>
      </c>
      <c r="N55" s="7">
        <f>C55*Parameters!$J$17+D55*Parameters!$J$18+E55*Parameters!$J$16+I55*Parameters!$J$25+G55*Parameters!$J$30</f>
        <v>0.12621127318433562</v>
      </c>
      <c r="O55" s="7">
        <f>0</f>
        <v>0</v>
      </c>
      <c r="P55" s="7">
        <f>M55-N55-O55</f>
        <v>-0.006005715925671604</v>
      </c>
      <c r="Q55" s="7">
        <f>0</f>
        <v>0</v>
      </c>
      <c r="R55" s="7">
        <f>P55-Q55</f>
        <v>-0.006005715925671604</v>
      </c>
      <c r="S55" s="7">
        <f>IF(A55&lt;1+Parameters!$J$31,0,INDEX($M$45:$M$80,A55-Parameters!$J$31))</f>
        <v>0.13389531422945655</v>
      </c>
      <c r="T55" s="7">
        <f>T54+M55-S55</f>
        <v>0.12020555725866401</v>
      </c>
      <c r="U55" s="7">
        <f>S55-N55-O55-Q55</f>
        <v>0.007684041045120937</v>
      </c>
      <c r="V55" s="7">
        <f>V54+U55</f>
        <v>0.05252222813558868</v>
      </c>
      <c r="W55" s="7">
        <f>(1-Parameters!$J$7)*(C55-E55)+(1-Parameters!$J$8)*(D55+E55)</f>
        <v>0.033815265045619054</v>
      </c>
      <c r="X55" s="7">
        <f>Parameters!$J$7*(C55-E55)+Parameters!$J$8*Parameters!$J$9*(D55+E55)</f>
        <v>0.2843517055355668</v>
      </c>
      <c r="Y55" s="7">
        <f>Parameters!$J$8*(1-Parameters!$J$9)*(D55+E55)</f>
        <v>0.04813452476937763</v>
      </c>
      <c r="Z55" s="7">
        <f>POWER(1/(1+Parameters!$J$32),A55-1)*(M55-N55)</f>
        <v>-0.005436896281102397</v>
      </c>
    </row>
    <row r="56" spans="1:26">
      <c r="A56" s="7">
        <v>12</v>
      </c>
      <c r="B56" s="7">
        <f>0</f>
        <v>0</v>
      </c>
      <c r="C56" s="7">
        <f>X55+B56</f>
        <v>0.28435170553556677</v>
      </c>
      <c r="D56" s="7">
        <f>Y55</f>
        <v>0.04813452476937763</v>
      </c>
      <c r="E56" s="7">
        <f>Parameters!$J$6*C56</f>
        <v>0.005687034110711336</v>
      </c>
      <c r="F56" s="7">
        <f>IF(Parameters!$J$5=1,E56,0)</f>
        <v>0.0</v>
      </c>
      <c r="G56" s="7">
        <f>Parameters!$J$27*G55+F56</f>
        <v>0.0</v>
      </c>
      <c r="H56" s="7">
        <f>IF(AND(Parameters!$J$5=1,Parameters!$J$26=1),SUMPRODUCT(--($A$45:A56&lt;A56),--(MOD(A56-$A$45:A56,Parameters!$J$28)=0),$F$45:F56,POWER(Parameters!$J$27,IF(A56-$A$45:A56=0,1,A56-$A$45:A56))),0)</f>
        <v>0.0</v>
      </c>
      <c r="I56" s="7">
        <f>Parameters!$J$23*I55+B56*Parameters!$J$22</f>
        <v>0.0</v>
      </c>
      <c r="J56" s="7">
        <f>E56*Parameters!$J$14*(1-Parameters!$J$15)</f>
        <v>0.10805364810351538</v>
      </c>
      <c r="K56" s="7">
        <f>H56*Parameters!$J$29</f>
        <v>0.0</v>
      </c>
      <c r="L56" s="7">
        <f>I56*Parameters!$J$24</f>
        <v>0.0</v>
      </c>
      <c r="M56" s="7">
        <f>J56+K56+L56</f>
        <v>0.10805364810351538</v>
      </c>
      <c r="N56" s="7">
        <f>C56*Parameters!$J$17+D56*Parameters!$J$18+E56*Parameters!$J$16+I56*Parameters!$J$25+G56*Parameters!$J$30</f>
        <v>0.11505980815607018</v>
      </c>
      <c r="O56" s="7">
        <f>0</f>
        <v>0</v>
      </c>
      <c r="P56" s="7">
        <f>M56-N56-O56</f>
        <v>-0.007006160052554805</v>
      </c>
      <c r="Q56" s="7">
        <f>0</f>
        <v>0</v>
      </c>
      <c r="R56" s="7">
        <f>P56-Q56</f>
        <v>-0.007006160052554805</v>
      </c>
      <c r="S56" s="7">
        <f>IF(A56&lt;1+Parameters!$J$31,0,INDEX($M$45:$M$80,A56-Parameters!$J$31))</f>
        <v>0.12020555725866401</v>
      </c>
      <c r="T56" s="7">
        <f>T55+M56-S56</f>
        <v>0.10805364810351538</v>
      </c>
      <c r="U56" s="7">
        <f>S56-N56-O56-Q56</f>
        <v>0.005145749102593827</v>
      </c>
      <c r="V56" s="7">
        <f>V55+U56</f>
        <v>0.05766797723818251</v>
      </c>
      <c r="W56" s="7">
        <f>(1-Parameters!$J$7)*(C56-E56)+(1-Parameters!$J$8)*(D56+E56)</f>
        <v>0.03055754508648999</v>
      </c>
      <c r="X56" s="7">
        <f>Parameters!$J$7*(C56-E56)+Parameters!$J$8*Parameters!$J$9*(D56+E56)</f>
        <v>0.2559112523759784</v>
      </c>
      <c r="Y56" s="7">
        <f>Parameters!$J$8*(1-Parameters!$J$9)*(D56+E56)</f>
        <v>0.046017432842476065</v>
      </c>
      <c r="Z56" s="7">
        <f>POWER(1/(1+Parameters!$J$32),A56-1)*(M56-N56)</f>
        <v>-0.006279787423830664</v>
      </c>
    </row>
    <row r="57" spans="1:26">
      <c r="A57" s="7">
        <v>13</v>
      </c>
      <c r="B57" s="7">
        <f>0</f>
        <v>0</v>
      </c>
      <c r="C57" s="7">
        <f>X56+B57</f>
        <v>0.25591125237597834</v>
      </c>
      <c r="D57" s="7">
        <f>Y56</f>
        <v>0.046017432842476065</v>
      </c>
      <c r="E57" s="7">
        <f>Parameters!$J$6*C57</f>
        <v>0.005118225047519567</v>
      </c>
      <c r="F57" s="7">
        <f>IF(Parameters!$J$5=1,E57,0)</f>
        <v>0.0</v>
      </c>
      <c r="G57" s="7">
        <f>Parameters!$J$27*G56+F57</f>
        <v>0.0</v>
      </c>
      <c r="H57" s="7">
        <f>IF(AND(Parameters!$J$5=1,Parameters!$J$26=1),SUMPRODUCT(--($A$45:A57&lt;A57),--(MOD(A57-$A$45:A57,Parameters!$J$28)=0),$F$45:F57,POWER(Parameters!$J$27,IF(A57-$A$45:A57=0,1,A57-$A$45:A57))),0)</f>
        <v>0.0</v>
      </c>
      <c r="I57" s="7">
        <f>Parameters!$J$23*I56+B57*Parameters!$J$22</f>
        <v>0.0</v>
      </c>
      <c r="J57" s="7">
        <f>E57*Parameters!$J$14*(1-Parameters!$J$15)</f>
        <v>0.09724627590287177</v>
      </c>
      <c r="K57" s="7">
        <f>H57*Parameters!$J$29</f>
        <v>0.0</v>
      </c>
      <c r="L57" s="7">
        <f>I57*Parameters!$J$24</f>
        <v>0.0</v>
      </c>
      <c r="M57" s="7">
        <f>J57+K57+L57</f>
        <v>0.09724627590287177</v>
      </c>
      <c r="N57" s="7">
        <f>C57*Parameters!$J$17+D57*Parameters!$J$18+E57*Parameters!$J$16+I57*Parameters!$J$25+G57*Parameters!$J$30</f>
        <v>0.10490031718155109</v>
      </c>
      <c r="O57" s="7">
        <f>0</f>
        <v>0</v>
      </c>
      <c r="P57" s="7">
        <f>M57-N57-O57</f>
        <v>-0.007654041278679316</v>
      </c>
      <c r="Q57" s="7">
        <f>0</f>
        <v>0</v>
      </c>
      <c r="R57" s="7">
        <f>P57-Q57</f>
        <v>-0.007654041278679316</v>
      </c>
      <c r="S57" s="7">
        <f>IF(A57&lt;1+Parameters!$J$31,0,INDEX($M$45:$M$80,A57-Parameters!$J$31))</f>
        <v>0.10805364810351538</v>
      </c>
      <c r="T57" s="7">
        <f>T56+M57-S57</f>
        <v>0.09724627590287177</v>
      </c>
      <c r="U57" s="7">
        <f>S57-N57-O57-Q57</f>
        <v>0.0031533309219642924</v>
      </c>
      <c r="V57" s="7">
        <f>V56+U57</f>
        <v>0.0608213081601468</v>
      </c>
      <c r="W57" s="7">
        <f>(1-Parameters!$J$7)*(C57-E57)+(1-Parameters!$J$8)*(D57+E57)</f>
        <v>0.027636085627345656</v>
      </c>
      <c r="X57" s="7">
        <f>Parameters!$J$7*(C57-E57)+Parameters!$J$8*Parameters!$J$9*(D57+E57)</f>
        <v>0.23057161209516247</v>
      </c>
      <c r="Y57" s="7">
        <f>Parameters!$J$8*(1-Parameters!$J$9)*(D57+E57)</f>
        <v>0.043720987495946266</v>
      </c>
      <c r="Z57" s="7">
        <f>POWER(1/(1+Parameters!$J$32),A57-1)*(M57-N57)</f>
        <v>-0.006792573002911464</v>
      </c>
    </row>
    <row r="58" spans="1:26">
      <c r="A58" s="7">
        <v>14</v>
      </c>
      <c r="B58" s="7">
        <f>0</f>
        <v>0</v>
      </c>
      <c r="C58" s="7">
        <f>X57+B58</f>
        <v>0.2305716120951625</v>
      </c>
      <c r="D58" s="7">
        <f>Y57</f>
        <v>0.043720987495946266</v>
      </c>
      <c r="E58" s="7">
        <f>Parameters!$J$6*C58</f>
        <v>0.00461143224190325</v>
      </c>
      <c r="F58" s="7">
        <f>IF(Parameters!$J$5=1,E58,0)</f>
        <v>0.0</v>
      </c>
      <c r="G58" s="7">
        <f>Parameters!$J$27*G57+F58</f>
        <v>0.0</v>
      </c>
      <c r="H58" s="7">
        <f>IF(AND(Parameters!$J$5=1,Parameters!$J$26=1),SUMPRODUCT(--($A$45:A58&lt;A58),--(MOD(A58-$A$45:A58,Parameters!$J$28)=0),$F$45:F58,POWER(Parameters!$J$27,IF(A58-$A$45:A58=0,1,A58-$A$45:A58))),0)</f>
        <v>0.0</v>
      </c>
      <c r="I58" s="7">
        <f>Parameters!$J$23*I57+B58*Parameters!$J$22</f>
        <v>0.0</v>
      </c>
      <c r="J58" s="7">
        <f>E58*Parameters!$J$14*(1-Parameters!$J$15)</f>
        <v>0.08761721259616174</v>
      </c>
      <c r="K58" s="7">
        <f>H58*Parameters!$J$29</f>
        <v>0.0</v>
      </c>
      <c r="L58" s="7">
        <f>I58*Parameters!$J$24</f>
        <v>0.0</v>
      </c>
      <c r="M58" s="7">
        <f>J58+K58+L58</f>
        <v>0.08761721259616174</v>
      </c>
      <c r="N58" s="7">
        <f>C58*Parameters!$J$17+D58*Parameters!$J$18+E58*Parameters!$J$16+I58*Parameters!$J$25+G58*Parameters!$J$30</f>
        <v>0.09564340961842513</v>
      </c>
      <c r="O58" s="7">
        <f>0</f>
        <v>0</v>
      </c>
      <c r="P58" s="7">
        <f>M58-N58-O58</f>
        <v>-0.008026197022263384</v>
      </c>
      <c r="Q58" s="7">
        <f>0</f>
        <v>0</v>
      </c>
      <c r="R58" s="7">
        <f>P58-Q58</f>
        <v>-0.008026197022263384</v>
      </c>
      <c r="S58" s="7">
        <f>IF(A58&lt;1+Parameters!$J$31,0,INDEX($M$45:$M$80,A58-Parameters!$J$31))</f>
        <v>0.09724627590287177</v>
      </c>
      <c r="T58" s="7">
        <f>T57+M58-S58</f>
        <v>0.08761721259616174</v>
      </c>
      <c r="U58" s="7">
        <f>S58-N58-O58-Q58</f>
        <v>0.0016028662844466413</v>
      </c>
      <c r="V58" s="7">
        <f>V57+U58</f>
        <v>0.062424174444593444</v>
      </c>
      <c r="W58" s="7">
        <f>(1-Parameters!$J$7)*(C58-E58)+(1-Parameters!$J$8)*(D58+E58)</f>
        <v>0.0250126389722184</v>
      </c>
      <c r="X58" s="7">
        <f>Parameters!$J$7*(C58-E58)+Parameters!$J$8*Parameters!$J$9*(D58+E58)</f>
        <v>0.20795574174302903</v>
      </c>
      <c r="Y58" s="7">
        <f>Parameters!$J$8*(1-Parameters!$J$9)*(D58+E58)</f>
        <v>0.04132421887586134</v>
      </c>
      <c r="Z58" s="7">
        <f>POWER(1/(1+Parameters!$J$32),A58-1)*(M58-N58)</f>
        <v>-0.007052319137854577</v>
      </c>
    </row>
    <row r="59" spans="1:26">
      <c r="A59" s="7">
        <v>15</v>
      </c>
      <c r="B59" s="7">
        <f>0</f>
        <v>0</v>
      </c>
      <c r="C59" s="7">
        <f>X58+B59</f>
        <v>0.20795574174302903</v>
      </c>
      <c r="D59" s="7">
        <f>Y58</f>
        <v>0.04132421887586134</v>
      </c>
      <c r="E59" s="7">
        <f>Parameters!$J$6*C59</f>
        <v>0.00415911483486058</v>
      </c>
      <c r="F59" s="7">
        <f>IF(Parameters!$J$5=1,E59,0)</f>
        <v>0.0</v>
      </c>
      <c r="G59" s="7">
        <f>Parameters!$J$27*G58+F59</f>
        <v>0.0</v>
      </c>
      <c r="H59" s="7">
        <f>IF(AND(Parameters!$J$5=1,Parameters!$J$26=1),SUMPRODUCT(--($A$45:A59&lt;A59),--(MOD(A59-$A$45:A59,Parameters!$J$28)=0),$F$45:F59,POWER(Parameters!$J$27,IF(A59-$A$45:A59=0,1,A59-$A$45:A59))),0)</f>
        <v>0.0</v>
      </c>
      <c r="I59" s="7">
        <f>Parameters!$J$23*I58+B59*Parameters!$J$22</f>
        <v>0.0</v>
      </c>
      <c r="J59" s="7">
        <f>E59*Parameters!$J$14*(1-Parameters!$J$15)</f>
        <v>0.07902318186235102</v>
      </c>
      <c r="K59" s="7">
        <f>H59*Parameters!$J$29</f>
        <v>0.0</v>
      </c>
      <c r="L59" s="7">
        <f>I59*Parameters!$J$24</f>
        <v>0.0</v>
      </c>
      <c r="M59" s="7">
        <f>J59+K59+L59</f>
        <v>0.07902318186235102</v>
      </c>
      <c r="N59" s="7">
        <f>C59*Parameters!$J$17+D59*Parameters!$J$18+E59*Parameters!$J$16+I59*Parameters!$J$25+G59*Parameters!$J$30</f>
        <v>0.08720794679569994</v>
      </c>
      <c r="O59" s="7">
        <f>0</f>
        <v>0</v>
      </c>
      <c r="P59" s="7">
        <f>M59-N59-O59</f>
        <v>-0.008184764933348923</v>
      </c>
      <c r="Q59" s="7">
        <f>0</f>
        <v>0</v>
      </c>
      <c r="R59" s="7">
        <f>P59-Q59</f>
        <v>-0.008184764933348923</v>
      </c>
      <c r="S59" s="7">
        <f>IF(A59&lt;1+Parameters!$J$31,0,INDEX($M$45:$M$80,A59-Parameters!$J$31))</f>
        <v>0.08761721259616174</v>
      </c>
      <c r="T59" s="7">
        <f>T58+M59-S59</f>
        <v>0.07902318186235102</v>
      </c>
      <c r="U59" s="7">
        <f>S59-N59-O59-Q59</f>
        <v>0.00040926580046179994</v>
      </c>
      <c r="V59" s="7">
        <f>V58+U59</f>
        <v>0.06283344024505524</v>
      </c>
      <c r="W59" s="7">
        <f>(1-Parameters!$J$7)*(C59-E59)+(1-Parameters!$J$8)*(D59+E59)</f>
        <v>0.022653829376352935</v>
      </c>
      <c r="X59" s="7">
        <f>Parameters!$J$7*(C59-E59)+Parameters!$J$8*Parameters!$J$9*(D59+E59)</f>
        <v>0.18773788091987018</v>
      </c>
      <c r="Y59" s="7">
        <f>Parameters!$J$8*(1-Parameters!$J$9)*(D59+E59)</f>
        <v>0.03888825032266724</v>
      </c>
      <c r="Z59" s="7">
        <f>POWER(1/(1+Parameters!$J$32),A59-1)*(M59-N59)</f>
        <v>-0.0071204424067031645</v>
      </c>
    </row>
    <row r="60" spans="1:26">
      <c r="A60" s="7">
        <v>16</v>
      </c>
      <c r="B60" s="7">
        <f>0</f>
        <v>0</v>
      </c>
      <c r="C60" s="7">
        <f>X59+B60</f>
        <v>0.1877378809198702</v>
      </c>
      <c r="D60" s="7">
        <f>Y59</f>
        <v>0.03888825032266724</v>
      </c>
      <c r="E60" s="7">
        <f>Parameters!$J$6*C60</f>
        <v>0.003754757618397404</v>
      </c>
      <c r="F60" s="7">
        <f>IF(Parameters!$J$5=1,E60,0)</f>
        <v>0.0</v>
      </c>
      <c r="G60" s="7">
        <f>Parameters!$J$27*G59+F60</f>
        <v>0.0</v>
      </c>
      <c r="H60" s="7">
        <f>IF(AND(Parameters!$J$5=1,Parameters!$J$26=1),SUMPRODUCT(--($A$45:A60&lt;A60),--(MOD(A60-$A$45:A60,Parameters!$J$28)=0),$F$45:F60,POWER(Parameters!$J$27,IF(A60-$A$45:A60=0,1,A60-$A$45:A60))),0)</f>
        <v>0.0</v>
      </c>
      <c r="I60" s="7">
        <f>Parameters!$J$23*I59+B60*Parameters!$J$22</f>
        <v>0.0</v>
      </c>
      <c r="J60" s="7">
        <f>E60*Parameters!$J$14*(1-Parameters!$J$15)</f>
        <v>0.07134039474955067</v>
      </c>
      <c r="K60" s="7">
        <f>H60*Parameters!$J$29</f>
        <v>0.0</v>
      </c>
      <c r="L60" s="7">
        <f>I60*Parameters!$J$24</f>
        <v>0.0</v>
      </c>
      <c r="M60" s="7">
        <f>J60+K60+L60</f>
        <v>0.07134039474955067</v>
      </c>
      <c r="N60" s="7">
        <f>C60*Parameters!$J$17+D60*Parameters!$J$18+E60*Parameters!$J$16+I60*Parameters!$J$25+G60*Parameters!$J$30</f>
        <v>0.07952024705569208</v>
      </c>
      <c r="O60" s="7">
        <f>0</f>
        <v>0</v>
      </c>
      <c r="P60" s="7">
        <f>M60-N60-O60</f>
        <v>-0.008179852306141405</v>
      </c>
      <c r="Q60" s="7">
        <f>0</f>
        <v>0</v>
      </c>
      <c r="R60" s="7">
        <f>P60-Q60</f>
        <v>-0.008179852306141405</v>
      </c>
      <c r="S60" s="7">
        <f>IF(A60&lt;1+Parameters!$J$31,0,INDEX($M$45:$M$80,A60-Parameters!$J$31))</f>
        <v>0.07902318186235102</v>
      </c>
      <c r="T60" s="7">
        <f>T59+M60-S60</f>
        <v>0.07134039474955067</v>
      </c>
      <c r="U60" s="7">
        <f>S60-N60-O60-Q60</f>
        <v>-0.0004970651933410564</v>
      </c>
      <c r="V60" s="7">
        <f>V59+U60</f>
        <v>0.06233637505171419</v>
      </c>
      <c r="W60" s="7">
        <f>(1-Parameters!$J$7)*(C60-E60)+(1-Parameters!$J$8)*(D60+E60)</f>
        <v>0.020530462727200507</v>
      </c>
      <c r="X60" s="7">
        <f>Parameters!$J$7*(C60-E60)+Parameters!$J$8*Parameters!$J$9*(D60+E60)</f>
        <v>0.16963589672572665</v>
      </c>
      <c r="Y60" s="7">
        <f>Parameters!$J$8*(1-Parameters!$J$9)*(D60+E60)</f>
        <v>0.036459771789610275</v>
      </c>
      <c r="Z60" s="7">
        <f>POWER(1/(1+Parameters!$J$32),A60-1)*(M60-N60)</f>
        <v>-0.007045711488068603</v>
      </c>
    </row>
    <row r="61" spans="1:26">
      <c r="A61" s="7">
        <v>17</v>
      </c>
      <c r="B61" s="7">
        <f>0</f>
        <v>0</v>
      </c>
      <c r="C61" s="7">
        <f>X60+B61</f>
        <v>0.16963589672572668</v>
      </c>
      <c r="D61" s="7">
        <f>Y60</f>
        <v>0.03645977178961027</v>
      </c>
      <c r="E61" s="7">
        <f>Parameters!$J$6*C61</f>
        <v>0.003392717934514534</v>
      </c>
      <c r="F61" s="7">
        <f>IF(Parameters!$J$5=1,E61,0)</f>
        <v>0.0</v>
      </c>
      <c r="G61" s="7">
        <f>Parameters!$J$27*G60+F61</f>
        <v>0.0</v>
      </c>
      <c r="H61" s="7">
        <f>IF(AND(Parameters!$J$5=1,Parameters!$J$26=1),SUMPRODUCT(--($A$45:A61&lt;A61),--(MOD(A61-$A$45:A61,Parameters!$J$28)=0),$F$45:F61,POWER(Parameters!$J$27,IF(A61-$A$45:A61=0,1,A61-$A$45:A61))),0)</f>
        <v>0.0</v>
      </c>
      <c r="I61" s="7">
        <f>Parameters!$J$23*I60+B61*Parameters!$J$22</f>
        <v>0.0</v>
      </c>
      <c r="J61" s="7">
        <f>E61*Parameters!$J$14*(1-Parameters!$J$15)</f>
        <v>0.06446164075577614</v>
      </c>
      <c r="K61" s="7">
        <f>H61*Parameters!$J$29</f>
        <v>0.0</v>
      </c>
      <c r="L61" s="7">
        <f>I61*Parameters!$J$24</f>
        <v>0.0</v>
      </c>
      <c r="M61" s="7">
        <f>J61+K61+L61</f>
        <v>0.06446164075577614</v>
      </c>
      <c r="N61" s="7">
        <f>C61*Parameters!$J$17+D61*Parameters!$J$18+E61*Parameters!$J$16+I61*Parameters!$J$25+G61*Parameters!$J$30</f>
        <v>0.07251337284703768</v>
      </c>
      <c r="O61" s="7">
        <f>0</f>
        <v>0</v>
      </c>
      <c r="P61" s="7">
        <f>M61-N61-O61</f>
        <v>-0.008051732091261546</v>
      </c>
      <c r="Q61" s="7">
        <f>0</f>
        <v>0</v>
      </c>
      <c r="R61" s="7">
        <f>P61-Q61</f>
        <v>-0.008051732091261546</v>
      </c>
      <c r="S61" s="7">
        <f>IF(A61&lt;1+Parameters!$J$31,0,INDEX($M$45:$M$80,A61-Parameters!$J$31))</f>
        <v>0.07134039474955067</v>
      </c>
      <c r="T61" s="7">
        <f>T60+M61-S61</f>
        <v>0.06446164075577614</v>
      </c>
      <c r="U61" s="7">
        <f>S61-N61-O61-Q61</f>
        <v>-0.0011729780974870097</v>
      </c>
      <c r="V61" s="7">
        <f>V60+U61</f>
        <v>0.06116339695422718</v>
      </c>
      <c r="W61" s="7">
        <f>(1-Parameters!$J$7)*(C61-E61)+(1-Parameters!$J$8)*(D61+E61)</f>
        <v>0.01861694236532745</v>
      </c>
      <c r="X61" s="7">
        <f>Parameters!$J$7*(C61-E61)+Parameters!$J$8*Parameters!$J$9*(D61+E61)</f>
        <v>0.15340484743588279</v>
      </c>
      <c r="Y61" s="7">
        <f>Parameters!$J$8*(1-Parameters!$J$9)*(D61+E61)</f>
        <v>0.034073878714126704</v>
      </c>
      <c r="Z61" s="7">
        <f>POWER(1/(1+Parameters!$J$32),A61-1)*(M61-N61)</f>
        <v>-0.00686668832501677</v>
      </c>
    </row>
    <row r="62" spans="1:26">
      <c r="A62" s="7">
        <v>18</v>
      </c>
      <c r="B62" s="7">
        <f>0</f>
        <v>0</v>
      </c>
      <c r="C62" s="7">
        <f>X61+B62</f>
        <v>0.1534048474358828</v>
      </c>
      <c r="D62" s="7">
        <f>Y61</f>
        <v>0.034073878714126704</v>
      </c>
      <c r="E62" s="7">
        <f>Parameters!$J$6*C62</f>
        <v>0.0030680969487176563</v>
      </c>
      <c r="F62" s="7">
        <f>IF(Parameters!$J$5=1,E62,0)</f>
        <v>0.0</v>
      </c>
      <c r="G62" s="7">
        <f>Parameters!$J$27*G61+F62</f>
        <v>0.0</v>
      </c>
      <c r="H62" s="7">
        <f>IF(AND(Parameters!$J$5=1,Parameters!$J$26=1),SUMPRODUCT(--($A$45:A62&lt;A62),--(MOD(A62-$A$45:A62,Parameters!$J$28)=0),$F$45:F62,POWER(Parameters!$J$27,IF(A62-$A$45:A62=0,1,A62-$A$45:A62))),0)</f>
        <v>0.0</v>
      </c>
      <c r="I62" s="7">
        <f>Parameters!$J$23*I61+B62*Parameters!$J$22</f>
        <v>0.0</v>
      </c>
      <c r="J62" s="7">
        <f>E62*Parameters!$J$14*(1-Parameters!$J$15)</f>
        <v>0.058293842025635464</v>
      </c>
      <c r="K62" s="7">
        <f>H62*Parameters!$J$29</f>
        <v>0.0</v>
      </c>
      <c r="L62" s="7">
        <f>I62*Parameters!$J$24</f>
        <v>0.0</v>
      </c>
      <c r="M62" s="7">
        <f>J62+K62+L62</f>
        <v>0.058293842025635464</v>
      </c>
      <c r="N62" s="7">
        <f>C62*Parameters!$J$17+D62*Parameters!$J$18+E62*Parameters!$J$16+I62*Parameters!$J$25+G62*Parameters!$J$30</f>
        <v>0.06612649053654585</v>
      </c>
      <c r="O62" s="7">
        <f>0</f>
        <v>0</v>
      </c>
      <c r="P62" s="7">
        <f>M62-N62-O62</f>
        <v>-0.007832648510910381</v>
      </c>
      <c r="Q62" s="7">
        <f>0</f>
        <v>0</v>
      </c>
      <c r="R62" s="7">
        <f>P62-Q62</f>
        <v>-0.007832648510910381</v>
      </c>
      <c r="S62" s="7">
        <f>IF(A62&lt;1+Parameters!$J$31,0,INDEX($M$45:$M$80,A62-Parameters!$J$31))</f>
        <v>0.06446164075577614</v>
      </c>
      <c r="T62" s="7">
        <f>T61+M62-S62</f>
        <v>0.058293842025635464</v>
      </c>
      <c r="U62" s="7">
        <f>S62-N62-O62-Q62</f>
        <v>-0.0016648497807697088</v>
      </c>
      <c r="V62" s="7">
        <f>V61+U62</f>
        <v>0.05949854717345747</v>
      </c>
      <c r="W62" s="7">
        <f>(1-Parameters!$J$7)*(C62-E62)+(1-Parameters!$J$8)*(D62+E62)</f>
        <v>0.016890773831858732</v>
      </c>
      <c r="X62" s="7">
        <f>Parameters!$J$7*(C62-E62)+Parameters!$J$8*Parameters!$J$9*(D62+E62)</f>
        <v>0.13883156312641887</v>
      </c>
      <c r="Y62" s="7">
        <f>Parameters!$J$8*(1-Parameters!$J$9)*(D62+E62)</f>
        <v>0.03175638919173193</v>
      </c>
      <c r="Z62" s="7">
        <f>POWER(1/(1+Parameters!$J$32),A62-1)*(M62-N62)</f>
        <v>-0.00661371206880496</v>
      </c>
    </row>
    <row r="63" spans="1:26">
      <c r="A63" s="7">
        <v>19</v>
      </c>
      <c r="B63" s="7">
        <f>0</f>
        <v>0</v>
      </c>
      <c r="C63" s="7">
        <f>X62+B63</f>
        <v>0.13883156312641884</v>
      </c>
      <c r="D63" s="7">
        <f>Y62</f>
        <v>0.031756389191731925</v>
      </c>
      <c r="E63" s="7">
        <f>Parameters!$J$6*C63</f>
        <v>0.002776631262528377</v>
      </c>
      <c r="F63" s="7">
        <f>IF(Parameters!$J$5=1,E63,0)</f>
        <v>0.0</v>
      </c>
      <c r="G63" s="7">
        <f>Parameters!$J$27*G62+F63</f>
        <v>0.0</v>
      </c>
      <c r="H63" s="7">
        <f>IF(AND(Parameters!$J$5=1,Parameters!$J$26=1),SUMPRODUCT(--($A$45:A63&lt;A63),--(MOD(A63-$A$45:A63,Parameters!$J$28)=0),$F$45:F63,POWER(Parameters!$J$27,IF(A63-$A$45:A63=0,1,A63-$A$45:A63))),0)</f>
        <v>0.0</v>
      </c>
      <c r="I63" s="7">
        <f>Parameters!$J$23*I62+B63*Parameters!$J$22</f>
        <v>0.0</v>
      </c>
      <c r="J63" s="7">
        <f>E63*Parameters!$J$14*(1-Parameters!$J$15)</f>
        <v>0.05275599398803916</v>
      </c>
      <c r="K63" s="7">
        <f>H63*Parameters!$J$29</f>
        <v>0.0</v>
      </c>
      <c r="L63" s="7">
        <f>I63*Parameters!$J$24</f>
        <v>0.0</v>
      </c>
      <c r="M63" s="7">
        <f>J63+K63+L63</f>
        <v>0.05275599398803916</v>
      </c>
      <c r="N63" s="7">
        <f>C63*Parameters!$J$17+D63*Parameters!$J$18+E63*Parameters!$J$16+I63*Parameters!$J$25+G63*Parameters!$J$30</f>
        <v>0.06030429479631999</v>
      </c>
      <c r="O63" s="7">
        <f>0</f>
        <v>0</v>
      </c>
      <c r="P63" s="7">
        <f>M63-N63-O63</f>
        <v>-0.007548300808280832</v>
      </c>
      <c r="Q63" s="7">
        <f>0</f>
        <v>0</v>
      </c>
      <c r="R63" s="7">
        <f>P63-Q63</f>
        <v>-0.007548300808280832</v>
      </c>
      <c r="S63" s="7">
        <f>IF(A63&lt;1+Parameters!$J$31,0,INDEX($M$45:$M$80,A63-Parameters!$J$31))</f>
        <v>0.058293842025635464</v>
      </c>
      <c r="T63" s="7">
        <f>T62+M63-S63</f>
        <v>0.05275599398803916</v>
      </c>
      <c r="U63" s="7">
        <f>S63-N63-O63-Q63</f>
        <v>-0.002010452770684526</v>
      </c>
      <c r="V63" s="7">
        <f>V62+U63</f>
        <v>0.057488094402772943</v>
      </c>
      <c r="W63" s="7">
        <f>(1-Parameters!$J$7)*(C63-E63)+(1-Parameters!$J$8)*(D63+E63)</f>
        <v>0.015332144209102058</v>
      </c>
      <c r="X63" s="7">
        <f>Parameters!$J$7*(C63-E63)+Parameters!$J$8*Parameters!$J$9*(D63+E63)</f>
        <v>0.12573007562065613</v>
      </c>
      <c r="Y63" s="7">
        <f>Parameters!$J$8*(1-Parameters!$J$9)*(D63+E63)</f>
        <v>0.029525732488392558</v>
      </c>
      <c r="Z63" s="7">
        <f>POWER(1/(1+Parameters!$J$32),A63-1)*(M63-N63)</f>
        <v>-0.006310510168445262</v>
      </c>
    </row>
    <row r="64" spans="1:26">
      <c r="A64" s="7">
        <v>20</v>
      </c>
      <c r="B64" s="7">
        <f>0</f>
        <v>0</v>
      </c>
      <c r="C64" s="7">
        <f>X63+B64</f>
        <v>0.12573007562065613</v>
      </c>
      <c r="D64" s="7">
        <f>Y63</f>
        <v>0.029525732488392558</v>
      </c>
      <c r="E64" s="7">
        <f>Parameters!$J$6*C64</f>
        <v>0.0025146015124131228</v>
      </c>
      <c r="F64" s="7">
        <f>IF(Parameters!$J$5=1,E64,0)</f>
        <v>0.0</v>
      </c>
      <c r="G64" s="7">
        <f>Parameters!$J$27*G63+F64</f>
        <v>0.0</v>
      </c>
      <c r="H64" s="7">
        <f>IF(AND(Parameters!$J$5=1,Parameters!$J$26=1),SUMPRODUCT(--($A$45:A64&lt;A64),--(MOD(A64-$A$45:A64,Parameters!$J$28)=0),$F$45:F64,POWER(Parameters!$J$27,IF(A64-$A$45:A64=0,1,A64-$A$45:A64))),0)</f>
        <v>0.0</v>
      </c>
      <c r="I64" s="7">
        <f>Parameters!$J$23*I63+B64*Parameters!$J$22</f>
        <v>0.0</v>
      </c>
      <c r="J64" s="7">
        <f>E64*Parameters!$J$14*(1-Parameters!$J$15)</f>
        <v>0.04777742873584933</v>
      </c>
      <c r="K64" s="7">
        <f>H64*Parameters!$J$29</f>
        <v>0.0</v>
      </c>
      <c r="L64" s="7">
        <f>I64*Parameters!$J$24</f>
        <v>0.0</v>
      </c>
      <c r="M64" s="7">
        <f>J64+K64+L64</f>
        <v>0.04777742873584933</v>
      </c>
      <c r="N64" s="7">
        <f>C64*Parameters!$J$17+D64*Parameters!$J$18+E64*Parameters!$J$16+I64*Parameters!$J$25+G64*Parameters!$J$30</f>
        <v>0.054996490442806245</v>
      </c>
      <c r="O64" s="7">
        <f>0</f>
        <v>0</v>
      </c>
      <c r="P64" s="7">
        <f>M64-N64-O64</f>
        <v>-0.0072190617069569155</v>
      </c>
      <c r="Q64" s="7">
        <f>0</f>
        <v>0</v>
      </c>
      <c r="R64" s="7">
        <f>P64-Q64</f>
        <v>-0.0072190617069569155</v>
      </c>
      <c r="S64" s="7">
        <f>IF(A64&lt;1+Parameters!$J$31,0,INDEX($M$45:$M$80,A64-Parameters!$J$31))</f>
        <v>0.05275599398803916</v>
      </c>
      <c r="T64" s="7">
        <f>T63+M64-S64</f>
        <v>0.04777742873584933</v>
      </c>
      <c r="U64" s="7">
        <f>S64-N64-O64-Q64</f>
        <v>-0.0022404964547670866</v>
      </c>
      <c r="V64" s="7">
        <f>V63+U64</f>
        <v>0.05524759794800586</v>
      </c>
      <c r="W64" s="7">
        <f>(1-Parameters!$J$7)*(C64-E64)+(1-Parameters!$J$8)*(D64+E64)</f>
        <v>0.013923564110864584</v>
      </c>
      <c r="X64" s="7">
        <f>Parameters!$J$7*(C64-E64)+Parameters!$J$8*Parameters!$J$9*(D64+E64)</f>
        <v>0.11393775842749526</v>
      </c>
      <c r="Y64" s="7">
        <f>Parameters!$J$8*(1-Parameters!$J$9)*(D64+E64)</f>
        <v>0.027394485570688853</v>
      </c>
      <c r="Z64" s="7">
        <f>POWER(1/(1+Parameters!$J$32),A64-1)*(M64-N64)</f>
        <v>-0.005975505523989859</v>
      </c>
    </row>
    <row r="65" spans="1:26">
      <c r="A65" s="7">
        <v>21</v>
      </c>
      <c r="B65" s="7">
        <f>0</f>
        <v>0</v>
      </c>
      <c r="C65" s="7">
        <f>X64+B65</f>
        <v>0.11393775842749526</v>
      </c>
      <c r="D65" s="7">
        <f>Y64</f>
        <v>0.027394485570688853</v>
      </c>
      <c r="E65" s="7">
        <f>Parameters!$J$6*C65</f>
        <v>0.0022787551685499053</v>
      </c>
      <c r="F65" s="7">
        <f>IF(Parameters!$J$5=1,E65,0)</f>
        <v>0.0</v>
      </c>
      <c r="G65" s="7">
        <f>Parameters!$J$27*G64+F65</f>
        <v>0.0</v>
      </c>
      <c r="H65" s="7">
        <f>IF(AND(Parameters!$J$5=1,Parameters!$J$26=1),SUMPRODUCT(--($A$45:A65&lt;A65),--(MOD(A65-$A$45:A65,Parameters!$J$28)=0),$F$45:F65,POWER(Parameters!$J$27,IF(A65-$A$45:A65=0,1,A65-$A$45:A65))),0)</f>
        <v>0.0</v>
      </c>
      <c r="I65" s="7">
        <f>Parameters!$J$23*I64+B65*Parameters!$J$22</f>
        <v>0.0</v>
      </c>
      <c r="J65" s="7">
        <f>E65*Parameters!$J$14*(1-Parameters!$J$15)</f>
        <v>0.043296348202448195</v>
      </c>
      <c r="K65" s="7">
        <f>H65*Parameters!$J$29</f>
        <v>0.0</v>
      </c>
      <c r="L65" s="7">
        <f>I65*Parameters!$J$24</f>
        <v>0.0</v>
      </c>
      <c r="M65" s="7">
        <f>J65+K65+L65</f>
        <v>0.043296348202448195</v>
      </c>
      <c r="N65" s="7">
        <f>C65*Parameters!$J$17+D65*Parameters!$J$18+E65*Parameters!$J$16+I65*Parameters!$J$25+G65*Parameters!$J$30</f>
        <v>0.050157325482142905</v>
      </c>
      <c r="O65" s="7">
        <f>0</f>
        <v>0</v>
      </c>
      <c r="P65" s="7">
        <f>M65-N65-O65</f>
        <v>-0.006860977279694709</v>
      </c>
      <c r="Q65" s="7">
        <f>0</f>
        <v>0</v>
      </c>
      <c r="R65" s="7">
        <f>P65-Q65</f>
        <v>-0.006860977279694709</v>
      </c>
      <c r="S65" s="7">
        <f>IF(A65&lt;1+Parameters!$J$31,0,INDEX($M$45:$M$80,A65-Parameters!$J$31))</f>
        <v>0.04777742873584933</v>
      </c>
      <c r="T65" s="7">
        <f>T64+M65-S65</f>
        <v>0.043296348202448195</v>
      </c>
      <c r="U65" s="7">
        <f>S65-N65-O65-Q65</f>
        <v>-0.002379896746293575</v>
      </c>
      <c r="V65" s="7">
        <f>V64+U65</f>
        <v>0.05286770120171228</v>
      </c>
      <c r="W65" s="7">
        <f>(1-Parameters!$J$7)*(C65-E65)+(1-Parameters!$J$8)*(D65+E65)</f>
        <v>0.012649562362856472</v>
      </c>
      <c r="X65" s="7">
        <f>Parameters!$J$7*(C65-E65)+Parameters!$J$8*Parameters!$J$9*(D65+E65)</f>
        <v>0.1033120608032785</v>
      </c>
      <c r="Y65" s="7">
        <f>Parameters!$J$8*(1-Parameters!$J$9)*(D65+E65)</f>
        <v>0.025370620832049138</v>
      </c>
      <c r="Z65" s="7">
        <f>POWER(1/(1+Parameters!$J$32),A65-1)*(M65-N65)</f>
        <v>-0.005622875990683618</v>
      </c>
    </row>
    <row r="66" spans="1:26">
      <c r="A66" s="7">
        <v>22</v>
      </c>
      <c r="B66" s="7">
        <f>0</f>
        <v>0</v>
      </c>
      <c r="C66" s="7">
        <f>X65+B66</f>
        <v>0.1033120608032785</v>
      </c>
      <c r="D66" s="7">
        <f>Y65</f>
        <v>0.025370620832049138</v>
      </c>
      <c r="E66" s="7">
        <f>Parameters!$J$6*C66</f>
        <v>0.00206624121606557</v>
      </c>
      <c r="F66" s="7">
        <f>IF(Parameters!$J$5=1,E66,0)</f>
        <v>0.0</v>
      </c>
      <c r="G66" s="7">
        <f>Parameters!$J$27*G65+F66</f>
        <v>0.0</v>
      </c>
      <c r="H66" s="7">
        <f>IF(AND(Parameters!$J$5=1,Parameters!$J$26=1),SUMPRODUCT(--($A$45:A66&lt;A66),--(MOD(A66-$A$45:A66,Parameters!$J$28)=0),$F$45:F66,POWER(Parameters!$J$27,IF(A66-$A$45:A66=0,1,A66-$A$45:A66))),0)</f>
        <v>0.0</v>
      </c>
      <c r="I66" s="7">
        <f>Parameters!$J$23*I65+B66*Parameters!$J$22</f>
        <v>0.0</v>
      </c>
      <c r="J66" s="7">
        <f>E66*Parameters!$J$14*(1-Parameters!$J$15)</f>
        <v>0.039258583105245826</v>
      </c>
      <c r="K66" s="7">
        <f>H66*Parameters!$J$29</f>
        <v>0.0</v>
      </c>
      <c r="L66" s="7">
        <f>I66*Parameters!$J$24</f>
        <v>0.0</v>
      </c>
      <c r="M66" s="7">
        <f>J66+K66+L66</f>
        <v>0.039258583105245826</v>
      </c>
      <c r="N66" s="7">
        <f>C66*Parameters!$J$17+D66*Parameters!$J$18+E66*Parameters!$J$16+I66*Parameters!$J$25+G66*Parameters!$J$30</f>
        <v>0.045745169873073685</v>
      </c>
      <c r="O66" s="7">
        <f>0</f>
        <v>0</v>
      </c>
      <c r="P66" s="7">
        <f>M66-N66-O66</f>
        <v>-0.006486586767827859</v>
      </c>
      <c r="Q66" s="7">
        <f>0</f>
        <v>0</v>
      </c>
      <c r="R66" s="7">
        <f>P66-Q66</f>
        <v>-0.006486586767827859</v>
      </c>
      <c r="S66" s="7">
        <f>IF(A66&lt;1+Parameters!$J$31,0,INDEX($M$45:$M$80,A66-Parameters!$J$31))</f>
        <v>0.043296348202448195</v>
      </c>
      <c r="T66" s="7">
        <f>T65+M66-S66</f>
        <v>0.039258583105245826</v>
      </c>
      <c r="U66" s="7">
        <f>S66-N66-O66-Q66</f>
        <v>-0.0024488216706254895</v>
      </c>
      <c r="V66" s="7">
        <f>V65+U66</f>
        <v>0.05041887953108679</v>
      </c>
      <c r="W66" s="7">
        <f>(1-Parameters!$J$7)*(C66-E66)+(1-Parameters!$J$8)*(D66+E66)</f>
        <v>0.011496425061127026</v>
      </c>
      <c r="X66" s="7">
        <f>Parameters!$J$7*(C66-E66)+Parameters!$J$8*Parameters!$J$9*(D66+E66)</f>
        <v>0.09372773952306254</v>
      </c>
      <c r="Y66" s="7">
        <f>Parameters!$J$8*(1-Parameters!$J$9)*(D66+E66)</f>
        <v>0.023458517051138075</v>
      </c>
      <c r="Z66" s="7">
        <f>POWER(1/(1+Parameters!$J$32),A66-1)*(M66-N66)</f>
        <v>-0.005263412194986526</v>
      </c>
    </row>
    <row r="67" spans="1:26">
      <c r="A67" s="7">
        <v>23</v>
      </c>
      <c r="B67" s="7">
        <f>0</f>
        <v>0</v>
      </c>
      <c r="C67" s="7">
        <f>X66+B67</f>
        <v>0.09372773952306253</v>
      </c>
      <c r="D67" s="7">
        <f>Y66</f>
        <v>0.023458517051138075</v>
      </c>
      <c r="E67" s="7">
        <f>Parameters!$J$6*C67</f>
        <v>0.0018745547904612506</v>
      </c>
      <c r="F67" s="7">
        <f>IF(Parameters!$J$5=1,E67,0)</f>
        <v>0.0</v>
      </c>
      <c r="G67" s="7">
        <f>Parameters!$J$27*G66+F67</f>
        <v>0.0</v>
      </c>
      <c r="H67" s="7">
        <f>IF(AND(Parameters!$J$5=1,Parameters!$J$26=1),SUMPRODUCT(--($A$45:A67&lt;A67),--(MOD(A67-$A$45:A67,Parameters!$J$28)=0),$F$45:F67,POWER(Parameters!$J$27,IF(A67-$A$45:A67=0,1,A67-$A$45:A67))),0)</f>
        <v>0.0</v>
      </c>
      <c r="I67" s="7">
        <f>Parameters!$J$23*I66+B67*Parameters!$J$22</f>
        <v>0.0</v>
      </c>
      <c r="J67" s="7">
        <f>E67*Parameters!$J$14*(1-Parameters!$J$15)</f>
        <v>0.035616541018763756</v>
      </c>
      <c r="K67" s="7">
        <f>H67*Parameters!$J$29</f>
        <v>0.0</v>
      </c>
      <c r="L67" s="7">
        <f>I67*Parameters!$J$24</f>
        <v>0.0</v>
      </c>
      <c r="M67" s="7">
        <f>J67+K67+L67</f>
        <v>0.035616541018763756</v>
      </c>
      <c r="N67" s="7">
        <f>C67*Parameters!$J$17+D67*Parameters!$J$18+E67*Parameters!$J$16+I67*Parameters!$J$25+G67*Parameters!$J$30</f>
        <v>0.041722135172949044</v>
      </c>
      <c r="O67" s="7">
        <f>0</f>
        <v>0</v>
      </c>
      <c r="P67" s="7">
        <f>M67-N67-O67</f>
        <v>-0.0061055941541852884</v>
      </c>
      <c r="Q67" s="7">
        <f>0</f>
        <v>0</v>
      </c>
      <c r="R67" s="7">
        <f>P67-Q67</f>
        <v>-0.0061055941541852884</v>
      </c>
      <c r="S67" s="7">
        <f>IF(A67&lt;1+Parameters!$J$31,0,INDEX($M$45:$M$80,A67-Parameters!$J$31))</f>
        <v>0.039258583105245826</v>
      </c>
      <c r="T67" s="7">
        <f>T66+M67-S67</f>
        <v>0.035616541018763756</v>
      </c>
      <c r="U67" s="7">
        <f>S67-N67-O67-Q67</f>
        <v>-0.002463552067703219</v>
      </c>
      <c r="V67" s="7">
        <f>V66+U67</f>
        <v>0.047955327463383574</v>
      </c>
      <c r="W67" s="7">
        <f>(1-Parameters!$J$7)*(C67-E67)+(1-Parameters!$J$8)*(D67+E67)</f>
        <v>0.010451972065340093</v>
      </c>
      <c r="X67" s="7">
        <f>Parameters!$J$7*(C67-E67)+Parameters!$J$8*Parameters!$J$9*(D67+E67)</f>
        <v>0.0850745080842931</v>
      </c>
      <c r="Y67" s="7">
        <f>Parameters!$J$8*(1-Parameters!$J$9)*(D67+E67)</f>
        <v>0.02165977642456742</v>
      </c>
      <c r="Z67" s="7">
        <f>POWER(1/(1+Parameters!$J$32),A67-1)*(M67-N67)</f>
        <v>-0.0049052111824196346</v>
      </c>
    </row>
    <row r="68" spans="1:26">
      <c r="A68" s="7">
        <v>24</v>
      </c>
      <c r="B68" s="7">
        <f>0</f>
        <v>0</v>
      </c>
      <c r="C68" s="7">
        <f>X67+B68</f>
        <v>0.08507450808429308</v>
      </c>
      <c r="D68" s="7">
        <f>Y67</f>
        <v>0.021659776424567425</v>
      </c>
      <c r="E68" s="7">
        <f>Parameters!$J$6*C68</f>
        <v>0.0017014901616858617</v>
      </c>
      <c r="F68" s="7">
        <f>IF(Parameters!$J$5=1,E68,0)</f>
        <v>0.0</v>
      </c>
      <c r="G68" s="7">
        <f>Parameters!$J$27*G67+F68</f>
        <v>0.0</v>
      </c>
      <c r="H68" s="7">
        <f>IF(AND(Parameters!$J$5=1,Parameters!$J$26=1),SUMPRODUCT(--($A$45:A68&lt;A68),--(MOD(A68-$A$45:A68,Parameters!$J$28)=0),$F$45:F68,POWER(Parameters!$J$27,IF(A68-$A$45:A68=0,1,A68-$A$45:A68))),0)</f>
        <v>0.0</v>
      </c>
      <c r="I68" s="7">
        <f>Parameters!$J$23*I67+B68*Parameters!$J$22</f>
        <v>0.0</v>
      </c>
      <c r="J68" s="7">
        <f>E68*Parameters!$J$14*(1-Parameters!$J$15)</f>
        <v>0.03232831307203137</v>
      </c>
      <c r="K68" s="7">
        <f>H68*Parameters!$J$29</f>
        <v>0.0</v>
      </c>
      <c r="L68" s="7">
        <f>I68*Parameters!$J$24</f>
        <v>0.0</v>
      </c>
      <c r="M68" s="7">
        <f>J68+K68+L68</f>
        <v>0.03232831307203137</v>
      </c>
      <c r="N68" s="7">
        <f>C68*Parameters!$J$17+D68*Parameters!$J$18+E68*Parameters!$J$16+I68*Parameters!$J$25+G68*Parameters!$J$30</f>
        <v>0.038053730799257494</v>
      </c>
      <c r="O68" s="7">
        <f>0</f>
        <v>0</v>
      </c>
      <c r="P68" s="7">
        <f>M68-N68-O68</f>
        <v>-0.005725417727226123</v>
      </c>
      <c r="Q68" s="7">
        <f>0</f>
        <v>0</v>
      </c>
      <c r="R68" s="7">
        <f>P68-Q68</f>
        <v>-0.005725417727226123</v>
      </c>
      <c r="S68" s="7">
        <f>IF(A68&lt;1+Parameters!$J$31,0,INDEX($M$45:$M$80,A68-Parameters!$J$31))</f>
        <v>0.035616541018763756</v>
      </c>
      <c r="T68" s="7">
        <f>T67+M68-S68</f>
        <v>0.03232831307203137</v>
      </c>
      <c r="U68" s="7">
        <f>S68-N68-O68-Q68</f>
        <v>-0.0024371897804937384</v>
      </c>
      <c r="V68" s="7">
        <f>V67+U68</f>
        <v>0.045518137682889835</v>
      </c>
      <c r="W68" s="7">
        <f>(1-Parameters!$J$7)*(C68-E68)+(1-Parameters!$J$8)*(D68+E68)</f>
        <v>0.009505365121573387</v>
      </c>
      <c r="X68" s="7">
        <f>Parameters!$J$7*(C68-E68)+Parameters!$J$8*Parameters!$J$9*(D68+E68)</f>
        <v>0.07725503645604057</v>
      </c>
      <c r="Y68" s="7">
        <f>Parameters!$J$8*(1-Parameters!$J$9)*(D68+E68)</f>
        <v>0.01997388293124656</v>
      </c>
      <c r="Z68" s="7">
        <f>POWER(1/(1+Parameters!$J$32),A68-1)*(M68-N68)</f>
        <v>-0.004554236517987748</v>
      </c>
    </row>
    <row r="69" spans="1:26">
      <c r="A69" s="7">
        <v>25</v>
      </c>
      <c r="B69" s="7">
        <f>0</f>
        <v>0</v>
      </c>
      <c r="C69" s="7">
        <f>X68+B69</f>
        <v>0.07725503645604055</v>
      </c>
      <c r="D69" s="7">
        <f>Y68</f>
        <v>0.01997388293124656</v>
      </c>
      <c r="E69" s="7">
        <f>Parameters!$J$6*C69</f>
        <v>0.001545100729120811</v>
      </c>
      <c r="F69" s="7">
        <f>IF(Parameters!$J$5=1,E69,0)</f>
        <v>0.0</v>
      </c>
      <c r="G69" s="7">
        <f>Parameters!$J$27*G68+F69</f>
        <v>0.0</v>
      </c>
      <c r="H69" s="7">
        <f>IF(AND(Parameters!$J$5=1,Parameters!$J$26=1),SUMPRODUCT(--($A$45:A69&lt;A69),--(MOD(A69-$A$45:A69,Parameters!$J$28)=0),$F$45:F69,POWER(Parameters!$J$27,IF(A69-$A$45:A69=0,1,A69-$A$45:A69))),0)</f>
        <v>0.0</v>
      </c>
      <c r="I69" s="7">
        <f>Parameters!$J$23*I68+B69*Parameters!$J$22</f>
        <v>0.0</v>
      </c>
      <c r="J69" s="7">
        <f>E69*Parameters!$J$14*(1-Parameters!$J$15)</f>
        <v>0.02935691385329541</v>
      </c>
      <c r="K69" s="7">
        <f>H69*Parameters!$J$29</f>
        <v>0.0</v>
      </c>
      <c r="L69" s="7">
        <f>I69*Parameters!$J$24</f>
        <v>0.0</v>
      </c>
      <c r="M69" s="7">
        <f>J69+K69+L69</f>
        <v>0.02935691385329541</v>
      </c>
      <c r="N69" s="7">
        <f>C69*Parameters!$J$17+D69*Parameters!$J$18+E69*Parameters!$J$16+I69*Parameters!$J$25+G69*Parameters!$J$30</f>
        <v>0.034708553131556255</v>
      </c>
      <c r="O69" s="7">
        <f>0</f>
        <v>0</v>
      </c>
      <c r="P69" s="7">
        <f>M69-N69-O69</f>
        <v>-0.005351639278260847</v>
      </c>
      <c r="Q69" s="7">
        <f>0</f>
        <v>0</v>
      </c>
      <c r="R69" s="7">
        <f>P69-Q69</f>
        <v>-0.005351639278260847</v>
      </c>
      <c r="S69" s="7">
        <f>IF(A69&lt;1+Parameters!$J$31,0,INDEX($M$45:$M$80,A69-Parameters!$J$31))</f>
        <v>0.03232831307203137</v>
      </c>
      <c r="T69" s="7">
        <f>T68+M69-S69</f>
        <v>0.02935691385329541</v>
      </c>
      <c r="U69" s="7">
        <f>S69-N69-O69-Q69</f>
        <v>-0.0023802400595248838</v>
      </c>
      <c r="V69" s="7">
        <f>V68+U69</f>
        <v>0.04313789762336495</v>
      </c>
      <c r="W69" s="7">
        <f>(1-Parameters!$J$7)*(C69-E69)+(1-Parameters!$J$8)*(D69+E69)</f>
        <v>0.008646942755710341</v>
      </c>
      <c r="X69" s="7">
        <f>Parameters!$J$7*(C69-E69)+Parameters!$J$8*Parameters!$J$9*(D69+E69)</f>
        <v>0.07018324560196267</v>
      </c>
      <c r="Y69" s="7">
        <f>Parameters!$J$8*(1-Parameters!$J$9)*(D69+E69)</f>
        <v>0.0183987310296141</v>
      </c>
      <c r="Z69" s="7">
        <f>POWER(1/(1+Parameters!$J$32),A69-1)*(M69-N69)</f>
        <v>-0.004214769821748574</v>
      </c>
    </row>
    <row r="70" spans="1:26">
      <c r="A70" s="7">
        <v>26</v>
      </c>
      <c r="B70" s="7">
        <f>0</f>
        <v>0</v>
      </c>
      <c r="C70" s="7">
        <f>X69+B70</f>
        <v>0.07018324560196267</v>
      </c>
      <c r="D70" s="7">
        <f>Y69</f>
        <v>0.018398731029614104</v>
      </c>
      <c r="E70" s="7">
        <f>Parameters!$J$6*C70</f>
        <v>0.0014036649120392534</v>
      </c>
      <c r="F70" s="7">
        <f>IF(Parameters!$J$5=1,E70,0)</f>
        <v>0.0</v>
      </c>
      <c r="G70" s="7">
        <f>Parameters!$J$27*G69+F70</f>
        <v>0.0</v>
      </c>
      <c r="H70" s="7">
        <f>IF(AND(Parameters!$J$5=1,Parameters!$J$26=1),SUMPRODUCT(--($A$45:A70&lt;A70),--(MOD(A70-$A$45:A70,Parameters!$J$28)=0),$F$45:F70,POWER(Parameters!$J$27,IF(A70-$A$45:A70=0,1,A70-$A$45:A70))),0)</f>
        <v>0.0</v>
      </c>
      <c r="I70" s="7">
        <f>Parameters!$J$23*I69+B70*Parameters!$J$22</f>
        <v>0.0</v>
      </c>
      <c r="J70" s="7">
        <f>E70*Parameters!$J$14*(1-Parameters!$J$15)</f>
        <v>0.026669633328745813</v>
      </c>
      <c r="K70" s="7">
        <f>H70*Parameters!$J$29</f>
        <v>0.0</v>
      </c>
      <c r="L70" s="7">
        <f>I70*Parameters!$J$24</f>
        <v>0.0</v>
      </c>
      <c r="M70" s="7">
        <f>J70+K70+L70</f>
        <v>0.026669633328745813</v>
      </c>
      <c r="N70" s="7">
        <f>C70*Parameters!$J$17+D70*Parameters!$J$18+E70*Parameters!$J$16+I70*Parameters!$J$25+G70*Parameters!$J$30</f>
        <v>0.031658004107435106</v>
      </c>
      <c r="O70" s="7">
        <f>0</f>
        <v>0</v>
      </c>
      <c r="P70" s="7">
        <f>M70-N70-O70</f>
        <v>-0.0049883707786892925</v>
      </c>
      <c r="Q70" s="7">
        <f>0</f>
        <v>0</v>
      </c>
      <c r="R70" s="7">
        <f>P70-Q70</f>
        <v>-0.0049883707786892925</v>
      </c>
      <c r="S70" s="7">
        <f>IF(A70&lt;1+Parameters!$J$31,0,INDEX($M$45:$M$80,A70-Parameters!$J$31))</f>
        <v>0.02935691385329541</v>
      </c>
      <c r="T70" s="7">
        <f>T69+M70-S70</f>
        <v>0.026669633328745813</v>
      </c>
      <c r="U70" s="7">
        <f>S70-N70-O70-Q70</f>
        <v>-0.0023010902541396976</v>
      </c>
      <c r="V70" s="7">
        <f>V69+U70</f>
        <v>0.04083680736922525</v>
      </c>
      <c r="W70" s="7">
        <f>(1-Parameters!$J$7)*(C70-E70)+(1-Parameters!$J$8)*(D70+E70)</f>
        <v>0.00786807786607501</v>
      </c>
      <c r="X70" s="7">
        <f>Parameters!$J$7*(C70-E70)+Parameters!$J$8*Parameters!$J$9*(D70+E70)</f>
        <v>0.06378285023538814</v>
      </c>
      <c r="Y70" s="7">
        <f>Parameters!$J$8*(1-Parameters!$J$9)*(D70+E70)</f>
        <v>0.01693104853011362</v>
      </c>
      <c r="Z70" s="7">
        <f>POWER(1/(1+Parameters!$J$32),A70-1)*(M70-N70)</f>
        <v>-0.003889774115174237</v>
      </c>
    </row>
    <row r="71" spans="1:26">
      <c r="A71" s="7">
        <v>27</v>
      </c>
      <c r="B71" s="7">
        <f>0</f>
        <v>0</v>
      </c>
      <c r="C71" s="7">
        <f>X70+B71</f>
        <v>0.06378285023538814</v>
      </c>
      <c r="D71" s="7">
        <f>Y70</f>
        <v>0.016931048530113624</v>
      </c>
      <c r="E71" s="7">
        <f>Parameters!$J$6*C71</f>
        <v>0.001275657004707763</v>
      </c>
      <c r="F71" s="7">
        <f>IF(Parameters!$J$5=1,E71,0)</f>
        <v>0.0</v>
      </c>
      <c r="G71" s="7">
        <f>Parameters!$J$27*G70+F71</f>
        <v>0.0</v>
      </c>
      <c r="H71" s="7">
        <f>IF(AND(Parameters!$J$5=1,Parameters!$J$26=1),SUMPRODUCT(--($A$45:A71&lt;A71),--(MOD(A71-$A$45:A71,Parameters!$J$28)=0),$F$45:F71,POWER(Parameters!$J$27,IF(A71-$A$45:A71=0,1,A71-$A$45:A71))),0)</f>
        <v>0.0</v>
      </c>
      <c r="I71" s="7">
        <f>Parameters!$J$23*I70+B71*Parameters!$J$22</f>
        <v>0.0</v>
      </c>
      <c r="J71" s="7">
        <f>E71*Parameters!$J$14*(1-Parameters!$J$15)</f>
        <v>0.024237483089447495</v>
      </c>
      <c r="K71" s="7">
        <f>H71*Parameters!$J$29</f>
        <v>0.0</v>
      </c>
      <c r="L71" s="7">
        <f>I71*Parameters!$J$24</f>
        <v>0.0</v>
      </c>
      <c r="M71" s="7">
        <f>J71+K71+L71</f>
        <v>0.024237483089447495</v>
      </c>
      <c r="N71" s="7">
        <f>C71*Parameters!$J$17+D71*Parameters!$J$18+E71*Parameters!$J$16+I71*Parameters!$J$25+G71*Parameters!$J$30</f>
        <v>0.028876036340381016</v>
      </c>
      <c r="O71" s="7">
        <f>0</f>
        <v>0</v>
      </c>
      <c r="P71" s="7">
        <f>M71-N71-O71</f>
        <v>-0.004638553250933521</v>
      </c>
      <c r="Q71" s="7">
        <f>0</f>
        <v>0</v>
      </c>
      <c r="R71" s="7">
        <f>P71-Q71</f>
        <v>-0.004638553250933521</v>
      </c>
      <c r="S71" s="7">
        <f>IF(A71&lt;1+Parameters!$J$31,0,INDEX($M$45:$M$80,A71-Parameters!$J$31))</f>
        <v>0.026669633328745813</v>
      </c>
      <c r="T71" s="7">
        <f>T70+M71-S71</f>
        <v>0.024237483089447495</v>
      </c>
      <c r="U71" s="7">
        <f>S71-N71-O71-Q71</f>
        <v>-0.0022064030116352024</v>
      </c>
      <c r="V71" s="7">
        <f>V70+U71</f>
        <v>0.03863040435759005</v>
      </c>
      <c r="W71" s="7">
        <f>(1-Parameters!$J$7)*(C71-E71)+(1-Parameters!$J$8)*(D71+E71)</f>
        <v>0.007161054599809107</v>
      </c>
      <c r="X71" s="7">
        <f>Parameters!$J$7*(C71-E71)+Parameters!$J$8*Parameters!$J$9*(D71+E71)</f>
        <v>0.05798611093342037</v>
      </c>
      <c r="Y71" s="7">
        <f>Parameters!$J$8*(1-Parameters!$J$9)*(D71+E71)</f>
        <v>0.015566733232272284</v>
      </c>
      <c r="Z71" s="7">
        <f>POWER(1/(1+Parameters!$J$32),A71-1)*(M71-N71)</f>
        <v>-0.003581185590320974</v>
      </c>
    </row>
    <row r="72" spans="1:26">
      <c r="A72" s="7">
        <v>28</v>
      </c>
      <c r="B72" s="7">
        <f>0</f>
        <v>0</v>
      </c>
      <c r="C72" s="7">
        <f>X71+B72</f>
        <v>0.057986110933420376</v>
      </c>
      <c r="D72" s="7">
        <f>Y71</f>
        <v>0.015566733232272284</v>
      </c>
      <c r="E72" s="7">
        <f>Parameters!$J$6*C72</f>
        <v>0.0011597222186684076</v>
      </c>
      <c r="F72" s="7">
        <f>IF(Parameters!$J$5=1,E72,0)</f>
        <v>0.0</v>
      </c>
      <c r="G72" s="7">
        <f>Parameters!$J$27*G71+F72</f>
        <v>0.0</v>
      </c>
      <c r="H72" s="7">
        <f>IF(AND(Parameters!$J$5=1,Parameters!$J$26=1),SUMPRODUCT(--($A$45:A72&lt;A72),--(MOD(A72-$A$45:A72,Parameters!$J$28)=0),$F$45:F72,POWER(Parameters!$J$27,IF(A72-$A$45:A72=0,1,A72-$A$45:A72))),0)</f>
        <v>0.0</v>
      </c>
      <c r="I72" s="7">
        <f>Parameters!$J$23*I71+B72*Parameters!$J$22</f>
        <v>0.0</v>
      </c>
      <c r="J72" s="7">
        <f>E72*Parameters!$J$14*(1-Parameters!$J$15)</f>
        <v>0.022034722154699742</v>
      </c>
      <c r="K72" s="7">
        <f>H72*Parameters!$J$29</f>
        <v>0.0</v>
      </c>
      <c r="L72" s="7">
        <f>I72*Parameters!$J$24</f>
        <v>0.0</v>
      </c>
      <c r="M72" s="7">
        <f>J72+K72+L72</f>
        <v>0.022034722154699742</v>
      </c>
      <c r="N72" s="7">
        <f>C72*Parameters!$J$17+D72*Parameters!$J$18+E72*Parameters!$J$16+I72*Parameters!$J$25+G72*Parameters!$J$30</f>
        <v>0.026338922114830663</v>
      </c>
      <c r="O72" s="7">
        <f>0</f>
        <v>0</v>
      </c>
      <c r="P72" s="7">
        <f>M72-N72-O72</f>
        <v>-0.004304199960130921</v>
      </c>
      <c r="Q72" s="7">
        <f>0</f>
        <v>0</v>
      </c>
      <c r="R72" s="7">
        <f>P72-Q72</f>
        <v>-0.004304199960130921</v>
      </c>
      <c r="S72" s="7">
        <f>IF(A72&lt;1+Parameters!$J$31,0,INDEX($M$45:$M$80,A72-Parameters!$J$31))</f>
        <v>0.024237483089447495</v>
      </c>
      <c r="T72" s="7">
        <f>T71+M72-S72</f>
        <v>0.022034722154699742</v>
      </c>
      <c r="U72" s="7">
        <f>S72-N72-O72-Q72</f>
        <v>-0.002101439025383168</v>
      </c>
      <c r="V72" s="7">
        <f>V71+U72</f>
        <v>0.036528965332206884</v>
      </c>
      <c r="W72" s="7">
        <f>(1-Parameters!$J$7)*(C72-E72)+(1-Parameters!$J$8)*(D72+E72)</f>
        <v>0.006518961644022232</v>
      </c>
      <c r="X72" s="7">
        <f>Parameters!$J$7*(C72-E72)+Parameters!$J$8*Parameters!$J$9*(D72+E72)</f>
        <v>0.052732763111116146</v>
      </c>
      <c r="Y72" s="7">
        <f>Parameters!$J$8*(1-Parameters!$J$9)*(D72+E72)</f>
        <v>0.014301119410554291</v>
      </c>
      <c r="Z72" s="7">
        <f>POWER(1/(1+Parameters!$J$32),A72-1)*(M72-N72)</f>
        <v>-0.0032901473397168837</v>
      </c>
    </row>
    <row r="73" spans="1:26">
      <c r="A73" s="7">
        <v>29</v>
      </c>
      <c r="B73" s="7">
        <f>0</f>
        <v>0</v>
      </c>
      <c r="C73" s="7">
        <f>X72+B73</f>
        <v>0.05273276311111614</v>
      </c>
      <c r="D73" s="7">
        <f>Y72</f>
        <v>0.014301119410554291</v>
      </c>
      <c r="E73" s="7">
        <f>Parameters!$J$6*C73</f>
        <v>0.001054655262222323</v>
      </c>
      <c r="F73" s="7">
        <f>IF(Parameters!$J$5=1,E73,0)</f>
        <v>0.0</v>
      </c>
      <c r="G73" s="7">
        <f>Parameters!$J$27*G72+F73</f>
        <v>0.0</v>
      </c>
      <c r="H73" s="7">
        <f>IF(AND(Parameters!$J$5=1,Parameters!$J$26=1),SUMPRODUCT(--($A$45:A73&lt;A73),--(MOD(A73-$A$45:A73,Parameters!$J$28)=0),$F$45:F73,POWER(Parameters!$J$27,IF(A73-$A$45:A73=0,1,A73-$A$45:A73))),0)</f>
        <v>0.0</v>
      </c>
      <c r="I73" s="7">
        <f>Parameters!$J$23*I72+B73*Parameters!$J$22</f>
        <v>0.0</v>
      </c>
      <c r="J73" s="7">
        <f>E73*Parameters!$J$14*(1-Parameters!$J$15)</f>
        <v>0.02003844998222413</v>
      </c>
      <c r="K73" s="7">
        <f>H73*Parameters!$J$29</f>
        <v>0.0</v>
      </c>
      <c r="L73" s="7">
        <f>I73*Parameters!$J$24</f>
        <v>0.0</v>
      </c>
      <c r="M73" s="7">
        <f>J73+K73+L73</f>
        <v>0.02003844998222413</v>
      </c>
      <c r="N73" s="7">
        <f>C73*Parameters!$J$17+D73*Parameters!$J$18+E73*Parameters!$J$16+I73*Parameters!$J$25+G73*Parameters!$J$30</f>
        <v>0.02402504390083431</v>
      </c>
      <c r="O73" s="7">
        <f>0</f>
        <v>0</v>
      </c>
      <c r="P73" s="7">
        <f>M73-N73-O73</f>
        <v>-0.003986593918610178</v>
      </c>
      <c r="Q73" s="7">
        <f>0</f>
        <v>0</v>
      </c>
      <c r="R73" s="7">
        <f>P73-Q73</f>
        <v>-0.003986593918610178</v>
      </c>
      <c r="S73" s="7">
        <f>IF(A73&lt;1+Parameters!$J$31,0,INDEX($M$45:$M$80,A73-Parameters!$J$31))</f>
        <v>0.022034722154699742</v>
      </c>
      <c r="T73" s="7">
        <f>T72+M73-S73</f>
        <v>0.02003844998222413</v>
      </c>
      <c r="U73" s="7">
        <f>S73-N73-O73-Q73</f>
        <v>-0.001990321746134567</v>
      </c>
      <c r="V73" s="7">
        <f>V72+U73</f>
        <v>0.034538643586072316</v>
      </c>
      <c r="W73" s="7">
        <f>(1-Parameters!$J$7)*(C73-E73)+(1-Parameters!$J$8)*(D73+E73)</f>
        <v>0.005935599518528211</v>
      </c>
      <c r="X73" s="7">
        <f>Parameters!$J$7*(C73-E73)+Parameters!$J$8*Parameters!$J$9*(D73+E73)</f>
        <v>0.047969095657918216</v>
      </c>
      <c r="Y73" s="7">
        <f>Parameters!$J$8*(1-Parameters!$J$9)*(D73+E73)</f>
        <v>0.013129187345224006</v>
      </c>
      <c r="Z73" s="7">
        <f>POWER(1/(1+Parameters!$J$32),A73-1)*(M73-N73)</f>
        <v>-0.0030171960745094335</v>
      </c>
    </row>
    <row r="74" spans="1:26">
      <c r="A74" s="7">
        <v>30</v>
      </c>
      <c r="B74" s="7">
        <f>0</f>
        <v>0</v>
      </c>
      <c r="C74" s="7">
        <f>X73+B74</f>
        <v>0.047969095657918216</v>
      </c>
      <c r="D74" s="7">
        <f>Y73</f>
        <v>0.013129187345224004</v>
      </c>
      <c r="E74" s="7">
        <f>Parameters!$J$6*C74</f>
        <v>0.0009593819131583644</v>
      </c>
      <c r="F74" s="7">
        <f>IF(Parameters!$J$5=1,E74,0)</f>
        <v>0.0</v>
      </c>
      <c r="G74" s="7">
        <f>Parameters!$J$27*G73+F74</f>
        <v>0.0</v>
      </c>
      <c r="H74" s="7">
        <f>IF(AND(Parameters!$J$5=1,Parameters!$J$26=1),SUMPRODUCT(--($A$45:A74&lt;A74),--(MOD(A74-$A$45:A74,Parameters!$J$28)=0),$F$45:F74,POWER(Parameters!$J$27,IF(A74-$A$45:A74=0,1,A74-$A$45:A74))),0)</f>
        <v>0.0</v>
      </c>
      <c r="I74" s="7">
        <f>Parameters!$J$23*I73+B74*Parameters!$J$22</f>
        <v>0.0</v>
      </c>
      <c r="J74" s="7">
        <f>E74*Parameters!$J$14*(1-Parameters!$J$15)</f>
        <v>0.018228256350008923</v>
      </c>
      <c r="K74" s="7">
        <f>H74*Parameters!$J$29</f>
        <v>0.0</v>
      </c>
      <c r="L74" s="7">
        <f>I74*Parameters!$J$24</f>
        <v>0.0</v>
      </c>
      <c r="M74" s="7">
        <f>J74+K74+L74</f>
        <v>0.018228256350008923</v>
      </c>
      <c r="N74" s="7">
        <f>C74*Parameters!$J$17+D74*Parameters!$J$18+E74*Parameters!$J$16+I74*Parameters!$J$25+G74*Parameters!$J$30</f>
        <v>0.02191470428314583</v>
      </c>
      <c r="O74" s="7">
        <f>0</f>
        <v>0</v>
      </c>
      <c r="P74" s="7">
        <f>M74-N74-O74</f>
        <v>-0.003686447933136907</v>
      </c>
      <c r="Q74" s="7">
        <f>0</f>
        <v>0</v>
      </c>
      <c r="R74" s="7">
        <f>P74-Q74</f>
        <v>-0.003686447933136907</v>
      </c>
      <c r="S74" s="7">
        <f>IF(A74&lt;1+Parameters!$J$31,0,INDEX($M$45:$M$80,A74-Parameters!$J$31))</f>
        <v>0.02003844998222413</v>
      </c>
      <c r="T74" s="7">
        <f>T73+M74-S74</f>
        <v>0.018228256350008923</v>
      </c>
      <c r="U74" s="7">
        <f>S74-N74-O74-Q74</f>
        <v>-0.001876254300921698</v>
      </c>
      <c r="V74" s="7">
        <f>V73+U74</f>
        <v>0.03266238928515062</v>
      </c>
      <c r="W74" s="7">
        <f>(1-Parameters!$J$7)*(C74-E74)+(1-Parameters!$J$8)*(D74+E74)</f>
        <v>0.005405399837395103</v>
      </c>
      <c r="X74" s="7">
        <f>Parameters!$J$7*(C74-E74)+Parameters!$J$8*Parameters!$J$9*(D74+E74)</f>
        <v>0.04364715644983019</v>
      </c>
      <c r="Y74" s="7">
        <f>Parameters!$J$8*(1-Parameters!$J$9)*(D74+E74)</f>
        <v>0.012045726715916924</v>
      </c>
      <c r="Z74" s="7">
        <f>POWER(1/(1+Parameters!$J$32),A74-1)*(M74-N74)</f>
        <v>-0.0027624108088914793</v>
      </c>
    </row>
    <row r="75" spans="1:26">
      <c r="A75" s="7">
        <v>31</v>
      </c>
      <c r="B75" s="7">
        <f>0</f>
        <v>0</v>
      </c>
      <c r="C75" s="7">
        <f>X74+B75</f>
        <v>0.04364715644983019</v>
      </c>
      <c r="D75" s="7">
        <f>Y74</f>
        <v>0.012045726715916924</v>
      </c>
      <c r="E75" s="7">
        <f>Parameters!$J$6*C75</f>
        <v>0.0008729431289966039</v>
      </c>
      <c r="F75" s="7">
        <f>IF(Parameters!$J$5=1,E75,0)</f>
        <v>0.0</v>
      </c>
      <c r="G75" s="7">
        <f>Parameters!$J$27*G74+F75</f>
        <v>0.0</v>
      </c>
      <c r="H75" s="7">
        <f>IF(AND(Parameters!$J$5=1,Parameters!$J$26=1),SUMPRODUCT(--($A$45:A75&lt;A75),--(MOD(A75-$A$45:A75,Parameters!$J$28)=0),$F$45:F75,POWER(Parameters!$J$27,IF(A75-$A$45:A75=0,1,A75-$A$45:A75))),0)</f>
        <v>0.0</v>
      </c>
      <c r="I75" s="7">
        <f>Parameters!$J$23*I74+B75*Parameters!$J$22</f>
        <v>0.0</v>
      </c>
      <c r="J75" s="7">
        <f>E75*Parameters!$J$14*(1-Parameters!$J$15)</f>
        <v>0.016585919450935474</v>
      </c>
      <c r="K75" s="7">
        <f>H75*Parameters!$J$29</f>
        <v>0.0</v>
      </c>
      <c r="L75" s="7">
        <f>I75*Parameters!$J$24</f>
        <v>0.0</v>
      </c>
      <c r="M75" s="7">
        <f>J75+K75+L75</f>
        <v>0.016585919450935474</v>
      </c>
      <c r="N75" s="7">
        <f>C75*Parameters!$J$17+D75*Parameters!$J$18+E75*Parameters!$J$16+I75*Parameters!$J$25+G75*Parameters!$J$30</f>
        <v>0.019989953421904124</v>
      </c>
      <c r="O75" s="7">
        <f>0</f>
        <v>0</v>
      </c>
      <c r="P75" s="7">
        <f>M75-N75-O75</f>
        <v>-0.00340403397096865</v>
      </c>
      <c r="Q75" s="7">
        <f>0</f>
        <v>0</v>
      </c>
      <c r="R75" s="7">
        <f>P75-Q75</f>
        <v>-0.00340403397096865</v>
      </c>
      <c r="S75" s="7">
        <f>IF(A75&lt;1+Parameters!$J$31,0,INDEX($M$45:$M$80,A75-Parameters!$J$31))</f>
        <v>0.018228256350008923</v>
      </c>
      <c r="T75" s="7">
        <f>T74+M75-S75</f>
        <v>0.016585919450935474</v>
      </c>
      <c r="U75" s="7">
        <f>S75-N75-O75-Q75</f>
        <v>-0.0017616970718952012</v>
      </c>
      <c r="V75" s="7">
        <f>V74+U75</f>
        <v>0.030900692213255417</v>
      </c>
      <c r="W75" s="7">
        <f>(1-Parameters!$J$7)*(C75-E75)+(1-Parameters!$J$8)*(D75+E75)</f>
        <v>0.004923354824329035</v>
      </c>
      <c r="X75" s="7">
        <f>Parameters!$J$7*(C75-E75)+Parameters!$J$8*Parameters!$J$9*(D75+E75)</f>
        <v>0.039724065624017015</v>
      </c>
      <c r="Y75" s="7">
        <f>Parameters!$J$8*(1-Parameters!$J$9)*(D75+E75)</f>
        <v>0.011045462717401066</v>
      </c>
      <c r="Z75" s="7">
        <f>POWER(1/(1+Parameters!$J$32),A75-1)*(M75-N75)</f>
        <v>-0.002525530815987551</v>
      </c>
    </row>
    <row r="76" spans="1:26">
      <c r="A76" s="7">
        <v>32</v>
      </c>
      <c r="B76" s="7">
        <f>0</f>
        <v>0</v>
      </c>
      <c r="C76" s="7">
        <f>X75+B76</f>
        <v>0.039724065624017015</v>
      </c>
      <c r="D76" s="7">
        <f>Y75</f>
        <v>0.011045462717401066</v>
      </c>
      <c r="E76" s="7">
        <f>Parameters!$J$6*C76</f>
        <v>0.0007944813124803403</v>
      </c>
      <c r="F76" s="7">
        <f>IF(Parameters!$J$5=1,E76,0)</f>
        <v>0.0</v>
      </c>
      <c r="G76" s="7">
        <f>Parameters!$J$27*G75+F76</f>
        <v>0.0</v>
      </c>
      <c r="H76" s="7">
        <f>IF(AND(Parameters!$J$5=1,Parameters!$J$26=1),SUMPRODUCT(--($A$45:A76&lt;A76),--(MOD(A76-$A$45:A76,Parameters!$J$28)=0),$F$45:F76,POWER(Parameters!$J$27,IF(A76-$A$45:A76=0,1,A76-$A$45:A76))),0)</f>
        <v>0.0</v>
      </c>
      <c r="I76" s="7">
        <f>Parameters!$J$23*I75+B76*Parameters!$J$22</f>
        <v>0.0</v>
      </c>
      <c r="J76" s="7">
        <f>E76*Parameters!$J$14*(1-Parameters!$J$15)</f>
        <v>0.015095144937126463</v>
      </c>
      <c r="K76" s="7">
        <f>H76*Parameters!$J$29</f>
        <v>0.0</v>
      </c>
      <c r="L76" s="7">
        <f>I76*Parameters!$J$24</f>
        <v>0.0</v>
      </c>
      <c r="M76" s="7">
        <f>J76+K76+L76</f>
        <v>0.015095144937126463</v>
      </c>
      <c r="N76" s="7">
        <f>C76*Parameters!$J$17+D76*Parameters!$J$18+E76*Parameters!$J$16+I76*Parameters!$J$25+G76*Parameters!$J$30</f>
        <v>0.018234432358385975</v>
      </c>
      <c r="O76" s="7">
        <f>0</f>
        <v>0</v>
      </c>
      <c r="P76" s="7">
        <f>M76-N76-O76</f>
        <v>-0.0031392874212595127</v>
      </c>
      <c r="Q76" s="7">
        <f>0</f>
        <v>0</v>
      </c>
      <c r="R76" s="7">
        <f>P76-Q76</f>
        <v>-0.0031392874212595127</v>
      </c>
      <c r="S76" s="7">
        <f>IF(A76&lt;1+Parameters!$J$31,0,INDEX($M$45:$M$80,A76-Parameters!$J$31))</f>
        <v>0.016585919450935474</v>
      </c>
      <c r="T76" s="7">
        <f>T75+M76-S76</f>
        <v>0.015095144937126463</v>
      </c>
      <c r="U76" s="7">
        <f>S76-N76-O76-Q76</f>
        <v>-0.0016485129074505014</v>
      </c>
      <c r="V76" s="7">
        <f>V75+U76</f>
        <v>0.029252179305804916</v>
      </c>
      <c r="W76" s="7">
        <f>(1-Parameters!$J$7)*(C76-E76)+(1-Parameters!$J$8)*(D76+E76)</f>
        <v>0.004484955632647738</v>
      </c>
      <c r="X76" s="7">
        <f>Parameters!$J$7*(C76-E76)+Parameters!$J$8*Parameters!$J$9*(D76+E76)</f>
        <v>0.03616142056322175</v>
      </c>
      <c r="Y76" s="7">
        <f>Parameters!$J$8*(1-Parameters!$J$9)*(D76+E76)</f>
        <v>0.010123152145548603</v>
      </c>
      <c r="Z76" s="7">
        <f>POWER(1/(1+Parameters!$J$32),A76-1)*(M76-N76)</f>
        <v>-0.0023060487953992814</v>
      </c>
    </row>
    <row r="77" spans="1:26">
      <c r="A77" s="7">
        <v>33</v>
      </c>
      <c r="B77" s="7">
        <f>0</f>
        <v>0</v>
      </c>
      <c r="C77" s="7">
        <f>X76+B77</f>
        <v>0.03616142056322174</v>
      </c>
      <c r="D77" s="7">
        <f>Y76</f>
        <v>0.010123152145548603</v>
      </c>
      <c r="E77" s="7">
        <f>Parameters!$J$6*C77</f>
        <v>0.0007232284112644349</v>
      </c>
      <c r="F77" s="7">
        <f>IF(Parameters!$J$5=1,E77,0)</f>
        <v>0.0</v>
      </c>
      <c r="G77" s="7">
        <f>Parameters!$J$27*G76+F77</f>
        <v>0.0</v>
      </c>
      <c r="H77" s="7">
        <f>IF(AND(Parameters!$J$5=1,Parameters!$J$26=1),SUMPRODUCT(--($A$45:A77&lt;A77),--(MOD(A77-$A$45:A77,Parameters!$J$28)=0),$F$45:F77,POWER(Parameters!$J$27,IF(A77-$A$45:A77=0,1,A77-$A$45:A77))),0)</f>
        <v>0.0</v>
      </c>
      <c r="I77" s="7">
        <f>Parameters!$J$23*I76+B77*Parameters!$J$22</f>
        <v>0.0</v>
      </c>
      <c r="J77" s="7">
        <f>E77*Parameters!$J$14*(1-Parameters!$J$15)</f>
        <v>0.013741339814024263</v>
      </c>
      <c r="K77" s="7">
        <f>H77*Parameters!$J$29</f>
        <v>0.0</v>
      </c>
      <c r="L77" s="7">
        <f>I77*Parameters!$J$24</f>
        <v>0.0</v>
      </c>
      <c r="M77" s="7">
        <f>J77+K77+L77</f>
        <v>0.013741339814024263</v>
      </c>
      <c r="N77" s="7">
        <f>C77*Parameters!$J$17+D77*Parameters!$J$18+E77*Parameters!$J$16+I77*Parameters!$J$25+G77*Parameters!$J$30</f>
        <v>0.016633230653005256</v>
      </c>
      <c r="O77" s="7">
        <f>0</f>
        <v>0</v>
      </c>
      <c r="P77" s="7">
        <f>M77-N77-O77</f>
        <v>-0.0028918908389809934</v>
      </c>
      <c r="Q77" s="7">
        <f>0</f>
        <v>0</v>
      </c>
      <c r="R77" s="7">
        <f>P77-Q77</f>
        <v>-0.0028918908389809934</v>
      </c>
      <c r="S77" s="7">
        <f>IF(A77&lt;1+Parameters!$J$31,0,INDEX($M$45:$M$80,A77-Parameters!$J$31))</f>
        <v>0.015095144937126463</v>
      </c>
      <c r="T77" s="7">
        <f>T76+M77-S77</f>
        <v>0.013741339814024263</v>
      </c>
      <c r="U77" s="7">
        <f>S77-N77-O77-Q77</f>
        <v>-0.0015380857158787935</v>
      </c>
      <c r="V77" s="7">
        <f>V76+U77</f>
        <v>0.027714093589926124</v>
      </c>
      <c r="W77" s="7">
        <f>(1-Parameters!$J$7)*(C77-E77)+(1-Parameters!$J$8)*(D77+E77)</f>
        <v>0.004086138243036382</v>
      </c>
      <c r="X77" s="7">
        <f>Parameters!$J$7*(C77-E77)+Parameters!$J$8*Parameters!$J$9*(D77+E77)</f>
        <v>0.032924779089658816</v>
      </c>
      <c r="Y77" s="7">
        <f>Parameters!$J$8*(1-Parameters!$J$9)*(D77+E77)</f>
        <v>0.009273655376075147</v>
      </c>
      <c r="Z77" s="7">
        <f>POWER(1/(1+Parameters!$J$32),A77-1)*(M77-N77)</f>
        <v>-0.0021032840791869747</v>
      </c>
    </row>
    <row r="78" spans="1:26">
      <c r="A78" s="7">
        <v>34</v>
      </c>
      <c r="B78" s="7">
        <f>0</f>
        <v>0</v>
      </c>
      <c r="C78" s="7">
        <f>X77+B78</f>
        <v>0.032924779089658816</v>
      </c>
      <c r="D78" s="7">
        <f>Y77</f>
        <v>0.009273655376075145</v>
      </c>
      <c r="E78" s="7">
        <f>Parameters!$J$6*C78</f>
        <v>0.0006584955817931763</v>
      </c>
      <c r="F78" s="7">
        <f>IF(Parameters!$J$5=1,E78,0)</f>
        <v>0.0</v>
      </c>
      <c r="G78" s="7">
        <f>Parameters!$J$27*G77+F78</f>
        <v>0.0</v>
      </c>
      <c r="H78" s="7">
        <f>IF(AND(Parameters!$J$5=1,Parameters!$J$26=1),SUMPRODUCT(--($A$45:A78&lt;A78),--(MOD(A78-$A$45:A78,Parameters!$J$28)=0),$F$45:F78,POWER(Parameters!$J$27,IF(A78-$A$45:A78=0,1,A78-$A$45:A78))),0)</f>
        <v>0.0</v>
      </c>
      <c r="I78" s="7">
        <f>Parameters!$J$23*I77+B78*Parameters!$J$22</f>
        <v>0.0</v>
      </c>
      <c r="J78" s="7">
        <f>E78*Parameters!$J$14*(1-Parameters!$J$15)</f>
        <v>0.01251141605407035</v>
      </c>
      <c r="K78" s="7">
        <f>H78*Parameters!$J$29</f>
        <v>0.0</v>
      </c>
      <c r="L78" s="7">
        <f>I78*Parameters!$J$24</f>
        <v>0.0</v>
      </c>
      <c r="M78" s="7">
        <f>J78+K78+L78</f>
        <v>0.01251141605407035</v>
      </c>
      <c r="N78" s="7">
        <f>C78*Parameters!$J$17+D78*Parameters!$J$18+E78*Parameters!$J$16+I78*Parameters!$J$25+G78*Parameters!$J$30</f>
        <v>0.015172756996728393</v>
      </c>
      <c r="O78" s="7">
        <f>0</f>
        <v>0</v>
      </c>
      <c r="P78" s="7">
        <f>M78-N78-O78</f>
        <v>-0.0026613409426580435</v>
      </c>
      <c r="Q78" s="7">
        <f>0</f>
        <v>0</v>
      </c>
      <c r="R78" s="7">
        <f>P78-Q78</f>
        <v>-0.0026613409426580435</v>
      </c>
      <c r="S78" s="7">
        <f>IF(A78&lt;1+Parameters!$J$31,0,INDEX($M$45:$M$80,A78-Parameters!$J$31))</f>
        <v>0.013741339814024263</v>
      </c>
      <c r="T78" s="7">
        <f>T77+M78-S78</f>
        <v>0.01251141605407035</v>
      </c>
      <c r="U78" s="7">
        <f>S78-N78-O78-Q78</f>
        <v>-0.0014314171827041304</v>
      </c>
      <c r="V78" s="7">
        <f>V77+U78</f>
        <v>0.026282676407221994</v>
      </c>
      <c r="W78" s="7">
        <f>(1-Parameters!$J$7)*(C78-E78)+(1-Parameters!$J$8)*(D78+E78)</f>
        <v>0.0037232358986799795</v>
      </c>
      <c r="X78" s="7">
        <f>Parameters!$J$7*(C78-E78)+Parameters!$J$8*Parameters!$J$9*(D78+E78)</f>
        <v>0.029983209498076566</v>
      </c>
      <c r="Y78" s="7">
        <f>Parameters!$J$8*(1-Parameters!$J$9)*(D78+E78)</f>
        <v>0.008491989068977414</v>
      </c>
      <c r="Z78" s="7">
        <f>POWER(1/(1+Parameters!$J$32),A78-1)*(M78-N78)</f>
        <v>-0.0019164397951697523</v>
      </c>
    </row>
    <row r="79" spans="1:26">
      <c r="A79" s="7">
        <v>35</v>
      </c>
      <c r="B79" s="7">
        <f>0</f>
        <v>0</v>
      </c>
      <c r="C79" s="7">
        <f>X78+B79</f>
        <v>0.029983209498076566</v>
      </c>
      <c r="D79" s="7">
        <f>Y78</f>
        <v>0.008491989068977416</v>
      </c>
      <c r="E79" s="7">
        <f>Parameters!$J$6*C79</f>
        <v>0.0005996641899615314</v>
      </c>
      <c r="F79" s="7">
        <f>IF(Parameters!$J$5=1,E79,0)</f>
        <v>0.0</v>
      </c>
      <c r="G79" s="7">
        <f>Parameters!$J$27*G78+F79</f>
        <v>0.0</v>
      </c>
      <c r="H79" s="7">
        <f>IF(AND(Parameters!$J$5=1,Parameters!$J$26=1),SUMPRODUCT(--($A$45:A79&lt;A79),--(MOD(A79-$A$45:A79,Parameters!$J$28)=0),$F$45:F79,POWER(Parameters!$J$27,IF(A79-$A$45:A79=0,1,A79-$A$45:A79))),0)</f>
        <v>0.0</v>
      </c>
      <c r="I79" s="7">
        <f>Parameters!$J$23*I78+B79*Parameters!$J$22</f>
        <v>0.0</v>
      </c>
      <c r="J79" s="7">
        <f>E79*Parameters!$J$14*(1-Parameters!$J$15)</f>
        <v>0.011393619609269096</v>
      </c>
      <c r="K79" s="7">
        <f>H79*Parameters!$J$29</f>
        <v>0.0</v>
      </c>
      <c r="L79" s="7">
        <f>I79*Parameters!$J$24</f>
        <v>0.0</v>
      </c>
      <c r="M79" s="7">
        <f>J79+K79+L79</f>
        <v>0.011393619609269096</v>
      </c>
      <c r="N79" s="7">
        <f>C79*Parameters!$J$17+D79*Parameters!$J$18+E79*Parameters!$J$16+I79*Parameters!$J$25+G79*Parameters!$J$30</f>
        <v>0.013840621573873209</v>
      </c>
      <c r="O79" s="7">
        <f>0</f>
        <v>0</v>
      </c>
      <c r="P79" s="7">
        <f>M79-N79-O79</f>
        <v>-0.0024470019646041126</v>
      </c>
      <c r="Q79" s="7">
        <f>0</f>
        <v>0</v>
      </c>
      <c r="R79" s="7">
        <f>P79-Q79</f>
        <v>-0.0024470019646041126</v>
      </c>
      <c r="S79" s="7">
        <f>IF(A79&lt;1+Parameters!$J$31,0,INDEX($M$45:$M$80,A79-Parameters!$J$31))</f>
        <v>0.01251141605407035</v>
      </c>
      <c r="T79" s="7">
        <f>T78+M79-S79</f>
        <v>0.011393619609269096</v>
      </c>
      <c r="U79" s="7">
        <f>S79-N79-O79-Q79</f>
        <v>-0.0013292055198028587</v>
      </c>
      <c r="V79" s="7">
        <f>V78+U79</f>
        <v>0.024953470887419137</v>
      </c>
      <c r="W79" s="7">
        <f>(1-Parameters!$J$7)*(C79-E79)+(1-Parameters!$J$8)*(D79+E79)</f>
        <v>0.00339293719375845</v>
      </c>
      <c r="X79" s="7">
        <f>Parameters!$J$7*(C79-E79)+Parameters!$J$8*Parameters!$J$9*(D79+E79)</f>
        <v>0.02730889783690273</v>
      </c>
      <c r="Y79" s="7">
        <f>Parameters!$J$8*(1-Parameters!$J$9)*(D79+E79)</f>
        <v>0.007773363536392799</v>
      </c>
      <c r="Z79" s="7">
        <f>POWER(1/(1+Parameters!$J$32),A79-1)*(M79-N79)</f>
        <v>-0.0017446471664181922</v>
      </c>
    </row>
    <row r="80" spans="1:26">
      <c r="A80" s="7">
        <v>36</v>
      </c>
      <c r="B80" s="7">
        <f>0</f>
        <v>0</v>
      </c>
      <c r="C80" s="7">
        <f>X79+B80</f>
        <v>0.027308897836902733</v>
      </c>
      <c r="D80" s="7">
        <f>Y79</f>
        <v>0.0077733635363928</v>
      </c>
      <c r="E80" s="7">
        <f>Parameters!$J$6*C80</f>
        <v>0.0005461779567380547</v>
      </c>
      <c r="F80" s="7">
        <f>IF(Parameters!$J$5=1,E80,0)</f>
        <v>0.0</v>
      </c>
      <c r="G80" s="7">
        <f>Parameters!$J$27*G79+F80</f>
        <v>0.0</v>
      </c>
      <c r="H80" s="7">
        <f>IF(AND(Parameters!$J$5=1,Parameters!$J$26=1),SUMPRODUCT(--($A$45:A80&lt;A80),--(MOD(A80-$A$45:A80,Parameters!$J$28)=0),$F$45:F80,POWER(Parameters!$J$27,IF(A80-$A$45:A80=0,1,A80-$A$45:A80))),0)</f>
        <v>0.0</v>
      </c>
      <c r="I80" s="7">
        <f>Parameters!$J$23*I79+B80*Parameters!$J$22</f>
        <v>0.0</v>
      </c>
      <c r="J80" s="7">
        <f>E80*Parameters!$J$14*(1-Parameters!$J$15)</f>
        <v>0.010377381178023039</v>
      </c>
      <c r="K80" s="7">
        <f>H80*Parameters!$J$29</f>
        <v>0.0</v>
      </c>
      <c r="L80" s="7">
        <f>I80*Parameters!$J$24</f>
        <v>0.0</v>
      </c>
      <c r="M80" s="7">
        <f>J80+K80+L80</f>
        <v>0.010377381178023039</v>
      </c>
      <c r="N80" s="7">
        <f>C80*Parameters!$J$17+D80*Parameters!$J$18+E80*Parameters!$J$16+I80*Parameters!$J$25+G80*Parameters!$J$30</f>
        <v>0.012625529076005275</v>
      </c>
      <c r="O80" s="7">
        <f>0</f>
        <v>0</v>
      </c>
      <c r="P80" s="7">
        <f>M80-N80-O80</f>
        <v>-0.002248147897982236</v>
      </c>
      <c r="Q80" s="7">
        <f>0</f>
        <v>0</v>
      </c>
      <c r="R80" s="7">
        <f>P80-Q80</f>
        <v>-0.002248147897982236</v>
      </c>
      <c r="S80" s="7">
        <f>IF(A80&lt;1+Parameters!$J$31,0,INDEX($M$45:$M$80,A80-Parameters!$J$31))</f>
        <v>0.011393619609269096</v>
      </c>
      <c r="T80" s="7">
        <f>T79+M80-S80</f>
        <v>0.010377381178023039</v>
      </c>
      <c r="U80" s="7">
        <f>S80-N80-O80-Q80</f>
        <v>-0.001231909466736179</v>
      </c>
      <c r="V80" s="7">
        <f>V79+U80</f>
        <v>0.023721561420682956</v>
      </c>
      <c r="W80" s="7">
        <f>(1-Parameters!$J$7)*(C80-E80)+(1-Parameters!$J$8)*(D80+E80)</f>
        <v>0.0030922490626730105</v>
      </c>
      <c r="X80" s="7">
        <f>Parameters!$J$7*(C80-E80)+Parameters!$J$8*Parameters!$J$9*(D80+E80)</f>
        <v>0.024876804333995643</v>
      </c>
      <c r="Y80" s="7">
        <f>Parameters!$J$8*(1-Parameters!$J$9)*(D80+E80)</f>
        <v>0.007113207976626881</v>
      </c>
      <c r="Z80" s="7">
        <f>POWER(1/(1+Parameters!$J$32),A80-1)*(M80-N80)</f>
        <v>-0.0015869995229153807</v>
      </c>
    </row>
  </sheetData>
  <mergeCells count="3">
    <mergeCell ref="A1:Z1"/>
    <mergeCell ref="A2:Z2"/>
    <mergeCell ref="A43:Z4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Z80"/>
  <sheetViews>
    <sheetView showGridLines="0" zoomScale="85" zoomScaleNormal="85" workbookViewId="0">
      <pane xSplit="4" ySplit="4" topLeftCell="E5" activePane="bottomRight" state="frozen"/>
      <selection pane="topRight" activeCell="E1" sqref="E1"/>
      <selection pane="bottomLeft" activeCell="A5" sqref="A5"/>
      <selection pane="bottomRight"/>
    </sheetView>
  </sheetViews>
  <sheetFormatPr defaultRowHeight="15"/>
  <cols>
    <col min="1" max="1" width="10.7109375" customWidth="1"/>
    <col min="2" max="9" width="19.7109375" customWidth="1"/>
    <col min="10" max="26" width="22.7109375" customWidth="1"/>
  </cols>
  <sheetData>
    <row r="1" spans="1:26">
      <c r="A1" s="1" t="s">
        <v>203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3" t="s">
        <v>163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4" spans="1:26" ht="45" customHeight="1">
      <c r="A4" s="4" t="s">
        <v>164</v>
      </c>
      <c r="B4" s="4" t="s">
        <v>165</v>
      </c>
      <c r="C4" s="4" t="s">
        <v>166</v>
      </c>
      <c r="D4" s="4" t="s">
        <v>167</v>
      </c>
      <c r="E4" s="4" t="s">
        <v>168</v>
      </c>
      <c r="F4" s="4" t="s">
        <v>169</v>
      </c>
      <c r="G4" s="4" t="s">
        <v>170</v>
      </c>
      <c r="H4" s="4" t="s">
        <v>171</v>
      </c>
      <c r="I4" s="4" t="s">
        <v>172</v>
      </c>
      <c r="J4" s="4" t="s">
        <v>173</v>
      </c>
      <c r="K4" s="4" t="s">
        <v>174</v>
      </c>
      <c r="L4" s="4" t="s">
        <v>175</v>
      </c>
      <c r="M4" s="4" t="s">
        <v>176</v>
      </c>
      <c r="N4" s="4" t="s">
        <v>177</v>
      </c>
      <c r="O4" s="4" t="s">
        <v>99</v>
      </c>
      <c r="P4" s="4" t="s">
        <v>178</v>
      </c>
      <c r="Q4" s="4" t="s">
        <v>179</v>
      </c>
      <c r="R4" s="4" t="s">
        <v>180</v>
      </c>
      <c r="S4" s="4" t="s">
        <v>181</v>
      </c>
      <c r="T4" s="4" t="s">
        <v>182</v>
      </c>
      <c r="U4" s="4" t="s">
        <v>183</v>
      </c>
      <c r="V4" s="4" t="s">
        <v>184</v>
      </c>
      <c r="W4" s="4" t="s">
        <v>185</v>
      </c>
      <c r="X4" s="4" t="s">
        <v>186</v>
      </c>
      <c r="Y4" s="4" t="s">
        <v>187</v>
      </c>
      <c r="Z4" s="4" t="s">
        <v>188</v>
      </c>
    </row>
    <row r="5" spans="1:26">
      <c r="A5" s="7">
        <v>1</v>
      </c>
      <c r="B5" s="7">
        <f>Parameters!$K$20</f>
        <v>1000</v>
      </c>
      <c r="C5" s="7">
        <f>B5</f>
        <v>1000</v>
      </c>
      <c r="D5" s="7">
        <f>0</f>
        <v>0.0</v>
      </c>
      <c r="E5" s="7">
        <f>Parameters!$K$6*C5</f>
        <v>20.0</v>
      </c>
      <c r="F5" s="7">
        <f>IF(Parameters!$K$5=1,E5,0)</f>
        <v>0.0</v>
      </c>
      <c r="G5" s="7">
        <f>F5</f>
        <v>0.0</v>
      </c>
      <c r="H5" s="7">
        <f>IF(AND(Parameters!$K$5=1,Parameters!$K$26=1),SUMPRODUCT(--($A$5:A5&lt;A5),--(MOD(A5-$A$5:A5,Parameters!$K$28)=0),$F$5:F5,POWER(Parameters!$K$27,IF(A5-$A$5:A5=0,1,A5-$A$5:A5))),0)</f>
        <v>0.0</v>
      </c>
      <c r="I5" s="7">
        <f>B5*Parameters!$K$22</f>
        <v>50.0</v>
      </c>
      <c r="J5" s="7">
        <f>E5*Parameters!$K$14*(1-Parameters!$K$15)</f>
        <v>380.0</v>
      </c>
      <c r="K5" s="7">
        <f>H5*Parameters!$K$29</f>
        <v>0.0</v>
      </c>
      <c r="L5" s="7">
        <f>I5*Parameters!$K$24</f>
        <v>150.0</v>
      </c>
      <c r="M5" s="7">
        <f>J5+K5+L5</f>
        <v>530.0</v>
      </c>
      <c r="N5" s="7">
        <f>C5*Parameters!$K$17+D5*Parameters!$K$18+E5*Parameters!$K$16+I5*Parameters!$K$25+G5*Parameters!$K$30</f>
        <v>345.0</v>
      </c>
      <c r="O5" s="7">
        <f>B5*Parameters!$K$19</f>
        <v>4000</v>
      </c>
      <c r="P5" s="7">
        <f>M5-N5-O5</f>
        <v>-3815.0</v>
      </c>
      <c r="Q5" s="7">
        <f>Parameters!$K$21</f>
        <v>1000</v>
      </c>
      <c r="R5" s="7">
        <f>P5-Q5</f>
        <v>-4815.0</v>
      </c>
      <c r="S5" s="7">
        <f>IF(A5&lt;1+Parameters!$K$31,0,INDEX($M$5:$M$40,A5-Parameters!$K$31))</f>
        <v>0.0</v>
      </c>
      <c r="T5" s="7">
        <f>M5-S5</f>
        <v>530.0</v>
      </c>
      <c r="U5" s="7">
        <f>S5-N5-O5-Q5</f>
        <v>-5345.0</v>
      </c>
      <c r="V5" s="7">
        <f>U5</f>
        <v>-5345.0</v>
      </c>
      <c r="W5" s="7">
        <f>(1-Parameters!$K$7)*(C5-E5)+(1-Parameters!$K$8)*(D5+E5)</f>
        <v>98.99999999999997</v>
      </c>
      <c r="X5" s="7">
        <f>Parameters!$K$7*(C5-E5)+Parameters!$K$8*Parameters!$K$9*(D5+E5)</f>
        <v>882.0</v>
      </c>
      <c r="Y5" s="7">
        <f>Parameters!$K$8*(1-Parameters!$K$9)*(D5+E5)</f>
        <v>19.0</v>
      </c>
      <c r="Z5" s="7">
        <f>POWER(1/(1+Parameters!$K$32),A5-1)*(M5-N5)</f>
        <v>185.0</v>
      </c>
    </row>
    <row r="6" spans="1:26">
      <c r="A6" s="7">
        <v>2</v>
      </c>
      <c r="B6" s="7">
        <f>Parameters!$K$20</f>
        <v>1000</v>
      </c>
      <c r="C6" s="7">
        <f>X5+B6</f>
        <v>1882.0</v>
      </c>
      <c r="D6" s="7">
        <f>Y5</f>
        <v>19.0</v>
      </c>
      <c r="E6" s="7">
        <f>Parameters!$K$6*C6</f>
        <v>37.64</v>
      </c>
      <c r="F6" s="7">
        <f>IF(Parameters!$K$5=1,E6,0)</f>
        <v>0.0</v>
      </c>
      <c r="G6" s="7">
        <f>Parameters!$K$27*G5+F6</f>
        <v>0.0</v>
      </c>
      <c r="H6" s="7">
        <f>IF(AND(Parameters!$K$5=1,Parameters!$K$26=1),SUMPRODUCT(--($A$5:A6&lt;A6),--(MOD(A6-$A$5:A6,Parameters!$K$28)=0),$F$5:F6,POWER(Parameters!$K$27,IF(A6-$A$5:A6=0,1,A6-$A$5:A6))),0)</f>
        <v>0.0</v>
      </c>
      <c r="I6" s="7">
        <f>Parameters!$K$23*I5+B6*Parameters!$K$22</f>
        <v>97.5</v>
      </c>
      <c r="J6" s="7">
        <f>E6*Parameters!$K$14*(1-Parameters!$K$15)</f>
        <v>715.16</v>
      </c>
      <c r="K6" s="7">
        <f>H6*Parameters!$K$29</f>
        <v>0.0</v>
      </c>
      <c r="L6" s="7">
        <f>I6*Parameters!$K$24</f>
        <v>292.5</v>
      </c>
      <c r="M6" s="7">
        <f>J6+K6+L6</f>
        <v>1007.66</v>
      </c>
      <c r="N6" s="7">
        <f>C6*Parameters!$K$17+D6*Parameters!$K$18+E6*Parameters!$K$16+I6*Parameters!$K$25+G6*Parameters!$K$30</f>
        <v>660.49</v>
      </c>
      <c r="O6" s="7">
        <f>B6*Parameters!$K$19</f>
        <v>4000</v>
      </c>
      <c r="P6" s="7">
        <f>M6-N6-O6</f>
        <v>-3652.83</v>
      </c>
      <c r="Q6" s="7">
        <f>Parameters!$K$21</f>
        <v>1000</v>
      </c>
      <c r="R6" s="7">
        <f>P6-Q6</f>
        <v>-4652.83</v>
      </c>
      <c r="S6" s="7">
        <f>IF(A6&lt;1+Parameters!$K$31,0,INDEX($M$5:$M$40,A6-Parameters!$K$31))</f>
        <v>530.0</v>
      </c>
      <c r="T6" s="7">
        <f>T5+M6-S6</f>
        <v>1007.66</v>
      </c>
      <c r="U6" s="7">
        <f>S6-N6-O6-Q6</f>
        <v>-5130.49</v>
      </c>
      <c r="V6" s="7">
        <f>V5+U6</f>
        <v>-10475.49</v>
      </c>
      <c r="W6" s="7">
        <f>(1-Parameters!$K$7)*(C6-E6)+(1-Parameters!$K$8)*(D6+E6)</f>
        <v>187.26799999999997</v>
      </c>
      <c r="X6" s="7">
        <f>Parameters!$K$7*(C6-E6)+Parameters!$K$8*Parameters!$K$9*(D6+E6)</f>
        <v>1659.924</v>
      </c>
      <c r="Y6" s="7">
        <f>Parameters!$K$8*(1-Parameters!$K$9)*(D6+E6)</f>
        <v>53.808</v>
      </c>
      <c r="Z6" s="7">
        <f>POWER(1/(1+Parameters!$K$32),A6-1)*(M6-N6)</f>
        <v>343.7326732673267</v>
      </c>
    </row>
    <row r="7" spans="1:26">
      <c r="A7" s="7">
        <v>3</v>
      </c>
      <c r="B7" s="7">
        <f>Parameters!$K$20</f>
        <v>1000</v>
      </c>
      <c r="C7" s="7">
        <f>X6+B7</f>
        <v>2659.924</v>
      </c>
      <c r="D7" s="7">
        <f>Y6</f>
        <v>53.808</v>
      </c>
      <c r="E7" s="7">
        <f>Parameters!$K$6*C7</f>
        <v>53.19848</v>
      </c>
      <c r="F7" s="7">
        <f>IF(Parameters!$K$5=1,E7,0)</f>
        <v>0.0</v>
      </c>
      <c r="G7" s="7">
        <f>Parameters!$K$27*G6+F7</f>
        <v>0.0</v>
      </c>
      <c r="H7" s="7">
        <f>IF(AND(Parameters!$K$5=1,Parameters!$K$26=1),SUMPRODUCT(--($A$5:A7&lt;A7),--(MOD(A7-$A$5:A7,Parameters!$K$28)=0),$F$5:F7,POWER(Parameters!$K$27,IF(A7-$A$5:A7=0,1,A7-$A$5:A7))),0)</f>
        <v>0.0</v>
      </c>
      <c r="I7" s="7">
        <f>Parameters!$K$23*I6+B7*Parameters!$K$22</f>
        <v>142.625</v>
      </c>
      <c r="J7" s="7">
        <f>E7*Parameters!$K$14*(1-Parameters!$K$15)</f>
        <v>1010.7711200000001</v>
      </c>
      <c r="K7" s="7">
        <f>H7*Parameters!$K$29</f>
        <v>0.0</v>
      </c>
      <c r="L7" s="7">
        <f>I7*Parameters!$K$24</f>
        <v>427.875</v>
      </c>
      <c r="M7" s="7">
        <f>J7+K7+L7</f>
        <v>1438.64612</v>
      </c>
      <c r="N7" s="7">
        <f>C7*Parameters!$K$17+D7*Parameters!$K$18+E7*Parameters!$K$16+I7*Parameters!$K$25+G7*Parameters!$K$30</f>
        <v>949.3921799999999</v>
      </c>
      <c r="O7" s="7">
        <f>B7*Parameters!$K$19</f>
        <v>4000</v>
      </c>
      <c r="P7" s="7">
        <f>M7-N7-O7</f>
        <v>-3510.74606</v>
      </c>
      <c r="Q7" s="7">
        <f>Parameters!$K$21</f>
        <v>1000</v>
      </c>
      <c r="R7" s="7">
        <f>P7-Q7</f>
        <v>-4510.7460599999995</v>
      </c>
      <c r="S7" s="7">
        <f>IF(A7&lt;1+Parameters!$K$31,0,INDEX($M$5:$M$40,A7-Parameters!$K$31))</f>
        <v>1007.66</v>
      </c>
      <c r="T7" s="7">
        <f>T6+M7-S7</f>
        <v>1438.64612</v>
      </c>
      <c r="U7" s="7">
        <f>S7-N7-O7-Q7</f>
        <v>-4941.73218</v>
      </c>
      <c r="V7" s="7">
        <f>V6+U7</f>
        <v>-15417.22218</v>
      </c>
      <c r="W7" s="7">
        <f>(1-Parameters!$K$7)*(C7-E7)+(1-Parameters!$K$8)*(D7+E7)</f>
        <v>266.02287599999994</v>
      </c>
      <c r="X7" s="7">
        <f>Parameters!$K$7*(C7-E7)+Parameters!$K$8*Parameters!$K$9*(D7+E7)</f>
        <v>2346.052968</v>
      </c>
      <c r="Y7" s="7">
        <f>Parameters!$K$8*(1-Parameters!$K$9)*(D7+E7)</f>
        <v>101.65615600000001</v>
      </c>
      <c r="Z7" s="7">
        <f>POWER(1/(1+Parameters!$K$32),A7-1)*(M7-N7)</f>
        <v>479.61370453877083</v>
      </c>
    </row>
    <row r="8" spans="1:26">
      <c r="A8" s="7">
        <v>4</v>
      </c>
      <c r="B8" s="7">
        <f>Parameters!$K$20</f>
        <v>1000</v>
      </c>
      <c r="C8" s="7">
        <f>X7+B8</f>
        <v>3346.052968</v>
      </c>
      <c r="D8" s="7">
        <f>Y7</f>
        <v>101.656156</v>
      </c>
      <c r="E8" s="7">
        <f>Parameters!$K$6*C8</f>
        <v>66.92105936</v>
      </c>
      <c r="F8" s="7">
        <f>IF(Parameters!$K$5=1,E8,0)</f>
        <v>0.0</v>
      </c>
      <c r="G8" s="7">
        <f>Parameters!$K$27*G7+F8</f>
        <v>0.0</v>
      </c>
      <c r="H8" s="7">
        <f>IF(AND(Parameters!$K$5=1,Parameters!$K$26=1),SUMPRODUCT(--($A$5:A8&lt;A8),--(MOD(A8-$A$5:A8,Parameters!$K$28)=0),$F$5:F8,POWER(Parameters!$K$27,IF(A8-$A$5:A8=0,1,A8-$A$5:A8))),0)</f>
        <v>0.0</v>
      </c>
      <c r="I8" s="7">
        <f>Parameters!$K$23*I7+B8*Parameters!$K$22</f>
        <v>185.49375</v>
      </c>
      <c r="J8" s="7">
        <f>E8*Parameters!$K$14*(1-Parameters!$K$15)</f>
        <v>1271.50012784</v>
      </c>
      <c r="K8" s="7">
        <f>H8*Parameters!$K$29</f>
        <v>0.0</v>
      </c>
      <c r="L8" s="7">
        <f>I8*Parameters!$K$24</f>
        <v>556.48125</v>
      </c>
      <c r="M8" s="7">
        <f>J8+K8+L8</f>
        <v>1827.98137784</v>
      </c>
      <c r="N8" s="7">
        <f>C8*Parameters!$K$17+D8*Parameters!$K$18+E8*Parameters!$K$16+I8*Parameters!$K$25+G8*Parameters!$K$30</f>
        <v>1214.31190276</v>
      </c>
      <c r="O8" s="7">
        <f>B8*Parameters!$K$19</f>
        <v>4000</v>
      </c>
      <c r="P8" s="7">
        <f>M8-N8-O8</f>
        <v>-3386.3305249200002</v>
      </c>
      <c r="Q8" s="7">
        <f>Parameters!$K$21</f>
        <v>1000</v>
      </c>
      <c r="R8" s="7">
        <f>P8-Q8</f>
        <v>-4386.33052492</v>
      </c>
      <c r="S8" s="7">
        <f>IF(A8&lt;1+Parameters!$K$31,0,INDEX($M$5:$M$40,A8-Parameters!$K$31))</f>
        <v>1438.64612</v>
      </c>
      <c r="T8" s="7">
        <f>T7+M8-S8</f>
        <v>1827.98137784</v>
      </c>
      <c r="U8" s="7">
        <f>S8-N8-O8-Q8</f>
        <v>-4775.66578276</v>
      </c>
      <c r="V8" s="7">
        <f>V7+U8</f>
        <v>-20192.88796276</v>
      </c>
      <c r="W8" s="7">
        <f>(1-Parameters!$K$7)*(C8-E8)+(1-Parameters!$K$8)*(D8+E8)</f>
        <v>336.3420516319999</v>
      </c>
      <c r="X8" s="7">
        <f>Parameters!$K$7*(C8-E8)+Parameters!$K$8*Parameters!$K$9*(D8+E8)</f>
        <v>2951.218717776</v>
      </c>
      <c r="Y8" s="7">
        <f>Parameters!$K$8*(1-Parameters!$K$9)*(D8+E8)</f>
        <v>160.14835459199998</v>
      </c>
      <c r="Z8" s="7">
        <f>POWER(1/(1+Parameters!$K$32),A8-1)*(M8-N8)</f>
        <v>595.6215465965771</v>
      </c>
    </row>
    <row r="9" spans="1:26">
      <c r="A9" s="7">
        <v>5</v>
      </c>
      <c r="B9" s="7">
        <f>Parameters!$K$20</f>
        <v>1000</v>
      </c>
      <c r="C9" s="7">
        <f>X8+B9</f>
        <v>3951.2187177759997</v>
      </c>
      <c r="D9" s="7">
        <f>Y8</f>
        <v>160.14835459199998</v>
      </c>
      <c r="E9" s="7">
        <f>Parameters!$K$6*C9</f>
        <v>79.02437435552</v>
      </c>
      <c r="F9" s="7">
        <f>IF(Parameters!$K$5=1,E9,0)</f>
        <v>0.0</v>
      </c>
      <c r="G9" s="7">
        <f>Parameters!$K$27*G8+F9</f>
        <v>0.0</v>
      </c>
      <c r="H9" s="7">
        <f>IF(AND(Parameters!$K$5=1,Parameters!$K$26=1),SUMPRODUCT(--($A$5:A9&lt;A9),--(MOD(A9-$A$5:A9,Parameters!$K$28)=0),$F$5:F9,POWER(Parameters!$K$27,IF(A9-$A$5:A9=0,1,A9-$A$5:A9))),0)</f>
        <v>0.0</v>
      </c>
      <c r="I9" s="7">
        <f>Parameters!$K$23*I8+B9*Parameters!$K$22</f>
        <v>226.2190625</v>
      </c>
      <c r="J9" s="7">
        <f>E9*Parameters!$K$14*(1-Parameters!$K$15)</f>
        <v>1501.4631127548798</v>
      </c>
      <c r="K9" s="7">
        <f>H9*Parameters!$K$29</f>
        <v>0.0</v>
      </c>
      <c r="L9" s="7">
        <f>I9*Parameters!$K$24</f>
        <v>678.6571875</v>
      </c>
      <c r="M9" s="7">
        <f>J9+K9+L9</f>
        <v>2180.12030025488</v>
      </c>
      <c r="N9" s="7">
        <f>C9*Parameters!$K$17+D9*Parameters!$K$18+E9*Parameters!$K$16+I9*Parameters!$K$25+G9*Parameters!$K$30</f>
        <v>1457.5736982343199</v>
      </c>
      <c r="O9" s="7">
        <f>B9*Parameters!$K$19</f>
        <v>4000</v>
      </c>
      <c r="P9" s="7">
        <f>M9-N9-O9</f>
        <v>-3277.4533979794396</v>
      </c>
      <c r="Q9" s="7">
        <f>Parameters!$K$21</f>
        <v>1000</v>
      </c>
      <c r="R9" s="7">
        <f>P9-Q9</f>
        <v>-4277.45339797944</v>
      </c>
      <c r="S9" s="7">
        <f>IF(A9&lt;1+Parameters!$K$31,0,INDEX($M$5:$M$40,A9-Parameters!$K$31))</f>
        <v>1827.98137784</v>
      </c>
      <c r="T9" s="7">
        <f>T8+M9-S9</f>
        <v>2180.12030025488</v>
      </c>
      <c r="U9" s="7">
        <f>S9-N9-O9-Q9</f>
        <v>-4629.59232039432</v>
      </c>
      <c r="V9" s="7">
        <f>V8+U9</f>
        <v>-24822.48028315432</v>
      </c>
      <c r="W9" s="7">
        <f>(1-Parameters!$K$7)*(C9-E9)+(1-Parameters!$K$8)*(D9+E9)</f>
        <v>399.17807078942394</v>
      </c>
      <c r="X9" s="7">
        <f>Parameters!$K$7*(C9-E9)+Parameters!$K$8*Parameters!$K$9*(D9+E9)</f>
        <v>3484.9749090784317</v>
      </c>
      <c r="Y9" s="7">
        <f>Parameters!$K$8*(1-Parameters!$K$9)*(D9+E9)</f>
        <v>227.21409250014395</v>
      </c>
      <c r="Z9" s="7">
        <f>POWER(1/(1+Parameters!$K$32),A9-1)*(M9-N9)</f>
        <v>694.3530825146062</v>
      </c>
    </row>
    <row r="10" spans="1:26">
      <c r="A10" s="7">
        <v>6</v>
      </c>
      <c r="B10" s="7">
        <f>Parameters!$K$20</f>
        <v>1000</v>
      </c>
      <c r="C10" s="7">
        <f>X9+B10</f>
        <v>4484.974909078432</v>
      </c>
      <c r="D10" s="7">
        <f>Y9</f>
        <v>227.21409250014398</v>
      </c>
      <c r="E10" s="7">
        <f>Parameters!$K$6*C10</f>
        <v>89.69949818156864</v>
      </c>
      <c r="F10" s="7">
        <f>IF(Parameters!$K$5=1,E10,0)</f>
        <v>0.0</v>
      </c>
      <c r="G10" s="7">
        <f>Parameters!$K$27*G9+F10</f>
        <v>0.0</v>
      </c>
      <c r="H10" s="7">
        <f>IF(AND(Parameters!$K$5=1,Parameters!$K$26=1),SUMPRODUCT(--($A$5:A10&lt;A10),--(MOD(A10-$A$5:A10,Parameters!$K$28)=0),$F$5:F10,POWER(Parameters!$K$27,IF(A10-$A$5:A10=0,1,A10-$A$5:A10))),0)</f>
        <v>0.0</v>
      </c>
      <c r="I10" s="7">
        <f>Parameters!$K$23*I9+B10*Parameters!$K$22</f>
        <v>264.908109375</v>
      </c>
      <c r="J10" s="7">
        <f>E10*Parameters!$K$14*(1-Parameters!$K$15)</f>
        <v>1704.290465449804</v>
      </c>
      <c r="K10" s="7">
        <f>H10*Parameters!$K$29</f>
        <v>0.0</v>
      </c>
      <c r="L10" s="7">
        <f>I10*Parameters!$K$24</f>
        <v>794.7243281249999</v>
      </c>
      <c r="M10" s="7">
        <f>J10+K10+L10</f>
        <v>2499.014793574804</v>
      </c>
      <c r="N10" s="7">
        <f>C10*Parameters!$K$17+D10*Parameters!$K$18+E10*Parameters!$K$16+I10*Parameters!$K$25+G10*Parameters!$K$30</f>
        <v>1681.2530718426704</v>
      </c>
      <c r="O10" s="7">
        <f>B10*Parameters!$K$19</f>
        <v>4000</v>
      </c>
      <c r="P10" s="7">
        <f>M10-N10-O10</f>
        <v>-3182.238278267866</v>
      </c>
      <c r="Q10" s="7">
        <f>Parameters!$K$21</f>
        <v>1000</v>
      </c>
      <c r="R10" s="7">
        <f>P10-Q10</f>
        <v>-4182.238278267866</v>
      </c>
      <c r="S10" s="7">
        <f>IF(A10&lt;1+Parameters!$K$31,0,INDEX($M$5:$M$40,A10-Parameters!$K$31))</f>
        <v>2180.12030025488</v>
      </c>
      <c r="T10" s="7">
        <f>T9+M10-S10</f>
        <v>2499.014793574804</v>
      </c>
      <c r="U10" s="7">
        <f>S10-N10-O10-Q10</f>
        <v>-4501.132771587791</v>
      </c>
      <c r="V10" s="7">
        <f>V9+U10</f>
        <v>-29323.613054742113</v>
      </c>
      <c r="W10" s="7">
        <f>(1-Parameters!$K$7)*(C10-E10)+(1-Parameters!$K$8)*(D10+E10)</f>
        <v>455.3732206237719</v>
      </c>
      <c r="X10" s="7">
        <f>Parameters!$K$7*(C10-E10)+Parameters!$K$8*Parameters!$K$9*(D10+E10)</f>
        <v>3955.747869807177</v>
      </c>
      <c r="Y10" s="7">
        <f>Parameters!$K$8*(1-Parameters!$K$9)*(D10+E10)</f>
        <v>301.06791114762694</v>
      </c>
      <c r="Z10" s="7">
        <f>POWER(1/(1+Parameters!$K$32),A10-1)*(M10-N10)</f>
        <v>778.0722188663434</v>
      </c>
    </row>
    <row r="11" spans="1:26">
      <c r="A11" s="7">
        <v>7</v>
      </c>
      <c r="B11" s="7">
        <f>Parameters!$K$20</f>
        <v>1000</v>
      </c>
      <c r="C11" s="7">
        <f>X10+B11</f>
        <v>4955.747869807177</v>
      </c>
      <c r="D11" s="7">
        <f>Y10</f>
        <v>301.067911147627</v>
      </c>
      <c r="E11" s="7">
        <f>Parameters!$K$6*C11</f>
        <v>99.11495739614354</v>
      </c>
      <c r="F11" s="7">
        <f>IF(Parameters!$K$5=1,E11,0)</f>
        <v>0.0</v>
      </c>
      <c r="G11" s="7">
        <f>Parameters!$K$27*G10+F11</f>
        <v>0.0</v>
      </c>
      <c r="H11" s="7">
        <f>IF(AND(Parameters!$K$5=1,Parameters!$K$26=1),SUMPRODUCT(--($A$5:A11&lt;A11),--(MOD(A11-$A$5:A11,Parameters!$K$28)=0),$F$5:F11,POWER(Parameters!$K$27,IF(A11-$A$5:A11=0,1,A11-$A$5:A11))),0)</f>
        <v>0.0</v>
      </c>
      <c r="I11" s="7">
        <f>Parameters!$K$23*I10+B11*Parameters!$K$22</f>
        <v>301.66270390624993</v>
      </c>
      <c r="J11" s="7">
        <f>E11*Parameters!$K$14*(1-Parameters!$K$15)</f>
        <v>1883.1841905267272</v>
      </c>
      <c r="K11" s="7">
        <f>H11*Parameters!$K$29</f>
        <v>0.0</v>
      </c>
      <c r="L11" s="7">
        <f>I11*Parameters!$K$24</f>
        <v>904.9881117187498</v>
      </c>
      <c r="M11" s="7">
        <f>J11+K11+L11</f>
        <v>2788.172302245477</v>
      </c>
      <c r="N11" s="7">
        <f>C11*Parameters!$K$17+D11*Parameters!$K$18+E11*Parameters!$K$16+I11*Parameters!$K$25+G11*Parameters!$K$30</f>
        <v>1887.2046258652354</v>
      </c>
      <c r="O11" s="7">
        <f>B11*Parameters!$K$19</f>
        <v>4000</v>
      </c>
      <c r="P11" s="7">
        <f>M11-N11-O11</f>
        <v>-3099.0323236197582</v>
      </c>
      <c r="Q11" s="7">
        <f>Parameters!$K$21</f>
        <v>1000</v>
      </c>
      <c r="R11" s="7">
        <f>P11-Q11</f>
        <v>-4099.032323619758</v>
      </c>
      <c r="S11" s="7">
        <f>IF(A11&lt;1+Parameters!$K$31,0,INDEX($M$5:$M$40,A11-Parameters!$K$31))</f>
        <v>2499.014793574804</v>
      </c>
      <c r="T11" s="7">
        <f>T10+M11-S11</f>
        <v>2788.172302245477</v>
      </c>
      <c r="U11" s="7">
        <f>S11-N11-O11-Q11</f>
        <v>-4388.189832290431</v>
      </c>
      <c r="V11" s="7">
        <f>V10+U11</f>
        <v>-33711.80288703254</v>
      </c>
      <c r="W11" s="7">
        <f>(1-Parameters!$K$7)*(C11-E11)+(1-Parameters!$K$8)*(D11+E11)</f>
        <v>505.67243466829177</v>
      </c>
      <c r="X11" s="7">
        <f>Parameters!$K$7*(C11-E11)+Parameters!$K$8*Parameters!$K$9*(D11+E11)</f>
        <v>4370.96962116993</v>
      </c>
      <c r="Y11" s="7">
        <f>Parameters!$K$8*(1-Parameters!$K$9)*(D11+E11)</f>
        <v>380.17372511658203</v>
      </c>
      <c r="Z11" s="7">
        <f>POWER(1/(1+Parameters!$K$32),A11-1)*(M11-N11)</f>
        <v>848.7523066520608</v>
      </c>
    </row>
    <row r="12" spans="1:26">
      <c r="A12" s="7">
        <v>8</v>
      </c>
      <c r="B12" s="7">
        <f>Parameters!$K$20</f>
        <v>1000</v>
      </c>
      <c r="C12" s="7">
        <f>X11+B12</f>
        <v>5370.96962116993</v>
      </c>
      <c r="D12" s="7">
        <f>Y11</f>
        <v>380.173725116582</v>
      </c>
      <c r="E12" s="7">
        <f>Parameters!$K$6*C12</f>
        <v>107.4193924233986</v>
      </c>
      <c r="F12" s="7">
        <f>IF(Parameters!$K$5=1,E12,0)</f>
        <v>0.0</v>
      </c>
      <c r="G12" s="7">
        <f>Parameters!$K$27*G11+F12</f>
        <v>0.0</v>
      </c>
      <c r="H12" s="7">
        <f>IF(AND(Parameters!$K$5=1,Parameters!$K$26=1),SUMPRODUCT(--($A$5:A12&lt;A12),--(MOD(A12-$A$5:A12,Parameters!$K$28)=0),$F$5:F12,POWER(Parameters!$K$27,IF(A12-$A$5:A12=0,1,A12-$A$5:A12))),0)</f>
        <v>0.0</v>
      </c>
      <c r="I12" s="7">
        <f>Parameters!$K$23*I11+B12*Parameters!$K$22</f>
        <v>336.5795687109374</v>
      </c>
      <c r="J12" s="7">
        <f>E12*Parameters!$K$14*(1-Parameters!$K$15)</f>
        <v>2040.9684560445735</v>
      </c>
      <c r="K12" s="7">
        <f>H12*Parameters!$K$29</f>
        <v>0.0</v>
      </c>
      <c r="L12" s="7">
        <f>I12*Parameters!$K$24</f>
        <v>1009.7387061328122</v>
      </c>
      <c r="M12" s="7">
        <f>J12+K12+L12</f>
        <v>3050.7071621773857</v>
      </c>
      <c r="N12" s="7">
        <f>C12*Parameters!$K$17+D12*Parameters!$K$18+E12*Parameters!$K$16+I12*Parameters!$K$25+G12*Parameters!$K$30</f>
        <v>2077.0869256881374</v>
      </c>
      <c r="O12" s="7">
        <f>B12*Parameters!$K$19</f>
        <v>4000</v>
      </c>
      <c r="P12" s="7">
        <f>M12-N12-O12</f>
        <v>-3026.3797635107517</v>
      </c>
      <c r="Q12" s="7">
        <f>Parameters!$K$21</f>
        <v>1000</v>
      </c>
      <c r="R12" s="7">
        <f>P12-Q12</f>
        <v>-4026.3797635107517</v>
      </c>
      <c r="S12" s="7">
        <f>IF(A12&lt;1+Parameters!$K$31,0,INDEX($M$5:$M$40,A12-Parameters!$K$31))</f>
        <v>2788.172302245477</v>
      </c>
      <c r="T12" s="7">
        <f>T11+M12-S12</f>
        <v>3050.7071621773857</v>
      </c>
      <c r="U12" s="7">
        <f>S12-N12-O12-Q12</f>
        <v>-4288.914623442661</v>
      </c>
      <c r="V12" s="7">
        <f>V11+U12</f>
        <v>-38000.7175104752</v>
      </c>
      <c r="W12" s="7">
        <f>(1-Parameters!$K$7)*(C12-E12)+(1-Parameters!$K$8)*(D12+E12)</f>
        <v>550.734678751652</v>
      </c>
      <c r="X12" s="7">
        <f>Parameters!$K$7*(C12-E12)+Parameters!$K$8*Parameters!$K$9*(D12+E12)</f>
        <v>4737.195205871879</v>
      </c>
      <c r="Y12" s="7">
        <f>Parameters!$K$8*(1-Parameters!$K$9)*(D12+E12)</f>
        <v>463.21346166298156</v>
      </c>
      <c r="Z12" s="7">
        <f>POWER(1/(1+Parameters!$K$32),A12-1)*(M12-N12)</f>
        <v>908.1131730017528</v>
      </c>
    </row>
    <row r="13" spans="1:26">
      <c r="A13" s="7">
        <v>9</v>
      </c>
      <c r="B13" s="7">
        <f>Parameters!$K$20</f>
        <v>1000</v>
      </c>
      <c r="C13" s="7">
        <f>X12+B13</f>
        <v>5737.195205871878</v>
      </c>
      <c r="D13" s="7">
        <f>Y12</f>
        <v>463.21346166298156</v>
      </c>
      <c r="E13" s="7">
        <f>Parameters!$K$6*C13</f>
        <v>114.74390411743757</v>
      </c>
      <c r="F13" s="7">
        <f>IF(Parameters!$K$5=1,E13,0)</f>
        <v>0.0</v>
      </c>
      <c r="G13" s="7">
        <f>Parameters!$K$27*G12+F13</f>
        <v>0.0</v>
      </c>
      <c r="H13" s="7">
        <f>IF(AND(Parameters!$K$5=1,Parameters!$K$26=1),SUMPRODUCT(--($A$5:A13&lt;A13),--(MOD(A13-$A$5:A13,Parameters!$K$28)=0),$F$5:F13,POWER(Parameters!$K$27,IF(A13-$A$5:A13=0,1,A13-$A$5:A13))),0)</f>
        <v>0.0</v>
      </c>
      <c r="I13" s="7">
        <f>Parameters!$K$23*I12+B13*Parameters!$K$22</f>
        <v>369.7505902753905</v>
      </c>
      <c r="J13" s="7">
        <f>E13*Parameters!$K$14*(1-Parameters!$K$15)</f>
        <v>2180.134178231314</v>
      </c>
      <c r="K13" s="7">
        <f>H13*Parameters!$K$29</f>
        <v>0.0</v>
      </c>
      <c r="L13" s="7">
        <f>I13*Parameters!$K$24</f>
        <v>1109.2517708261714</v>
      </c>
      <c r="M13" s="7">
        <f>J13+K13+L13</f>
        <v>3289.385949057485</v>
      </c>
      <c r="N13" s="7">
        <f>C13*Parameters!$K$17+D13*Parameters!$K$18+E13*Parameters!$K$16+I13*Parameters!$K$25+G13*Parameters!$K$30</f>
        <v>2252.384491848187</v>
      </c>
      <c r="O13" s="7">
        <f>B13*Parameters!$K$19</f>
        <v>4000</v>
      </c>
      <c r="P13" s="7">
        <f>M13-N13-O13</f>
        <v>-2962.998542790702</v>
      </c>
      <c r="Q13" s="7">
        <f>Parameters!$K$21</f>
        <v>1000</v>
      </c>
      <c r="R13" s="7">
        <f>P13-Q13</f>
        <v>-3962.998542790702</v>
      </c>
      <c r="S13" s="7">
        <f>IF(A13&lt;1+Parameters!$K$31,0,INDEX($M$5:$M$40,A13-Parameters!$K$31))</f>
        <v>3050.7071621773857</v>
      </c>
      <c r="T13" s="7">
        <f>T12+M13-S13</f>
        <v>3289.385949057485</v>
      </c>
      <c r="U13" s="7">
        <f>S13-N13-O13-Q13</f>
        <v>-4201.677329670802</v>
      </c>
      <c r="V13" s="7">
        <f>V12+U13</f>
        <v>-42202.39484014601</v>
      </c>
      <c r="W13" s="7">
        <f>(1-Parameters!$K$7)*(C13-E13)+(1-Parameters!$K$8)*(D13+E13)</f>
        <v>591.1429984644649</v>
      </c>
      <c r="X13" s="7">
        <f>Parameters!$K$7*(C13-E13)+Parameters!$K$8*Parameters!$K$9*(D13+E13)</f>
        <v>5060.206171578997</v>
      </c>
      <c r="Y13" s="7">
        <f>Parameters!$K$8*(1-Parameters!$K$9)*(D13+E13)</f>
        <v>549.0594974913981</v>
      </c>
      <c r="Z13" s="7">
        <f>POWER(1/(1+Parameters!$K$32),A13-1)*(M13-N13)</f>
        <v>957.6534474224962</v>
      </c>
    </row>
    <row r="14" spans="1:26">
      <c r="A14" s="7">
        <v>10</v>
      </c>
      <c r="B14" s="7">
        <f>Parameters!$K$20</f>
        <v>1000</v>
      </c>
      <c r="C14" s="7">
        <f>X13+B14</f>
        <v>6060.206171578997</v>
      </c>
      <c r="D14" s="7">
        <f>Y13</f>
        <v>549.0594974913981</v>
      </c>
      <c r="E14" s="7">
        <f>Parameters!$K$6*C14</f>
        <v>121.20412343157993</v>
      </c>
      <c r="F14" s="7">
        <f>IF(Parameters!$K$5=1,E14,0)</f>
        <v>0.0</v>
      </c>
      <c r="G14" s="7">
        <f>Parameters!$K$27*G13+F14</f>
        <v>0.0</v>
      </c>
      <c r="H14" s="7">
        <f>IF(AND(Parameters!$K$5=1,Parameters!$K$26=1),SUMPRODUCT(--($A$5:A14&lt;A14),--(MOD(A14-$A$5:A14,Parameters!$K$28)=0),$F$5:F14,POWER(Parameters!$K$27,IF(A14-$A$5:A14=0,1,A14-$A$5:A14))),0)</f>
        <v>0.0</v>
      </c>
      <c r="I14" s="7">
        <f>Parameters!$K$23*I13+B14*Parameters!$K$22</f>
        <v>401.263060761621</v>
      </c>
      <c r="J14" s="7">
        <f>E14*Parameters!$K$14*(1-Parameters!$K$15)</f>
        <v>2302.8783452000184</v>
      </c>
      <c r="K14" s="7">
        <f>H14*Parameters!$K$29</f>
        <v>0.0</v>
      </c>
      <c r="L14" s="7">
        <f>I14*Parameters!$K$24</f>
        <v>1203.7891822848628</v>
      </c>
      <c r="M14" s="7">
        <f>J14+K14+L14</f>
        <v>3506.6675274848812</v>
      </c>
      <c r="N14" s="7">
        <f>C14*Parameters!$K$17+D14*Parameters!$K$18+E14*Parameters!$K$16+I14*Parameters!$K$25+G14*Parameters!$K$30</f>
        <v>2414.4272540317884</v>
      </c>
      <c r="O14" s="7">
        <f>B14*Parameters!$K$19</f>
        <v>4000</v>
      </c>
      <c r="P14" s="7">
        <f>M14-N14-O14</f>
        <v>-2907.759726546907</v>
      </c>
      <c r="Q14" s="7">
        <f>Parameters!$K$21</f>
        <v>1000</v>
      </c>
      <c r="R14" s="7">
        <f>P14-Q14</f>
        <v>-3907.759726546907</v>
      </c>
      <c r="S14" s="7">
        <f>IF(A14&lt;1+Parameters!$K$31,0,INDEX($M$5:$M$40,A14-Parameters!$K$31))</f>
        <v>3289.385949057485</v>
      </c>
      <c r="T14" s="7">
        <f>T13+M14-S14</f>
        <v>3506.6675274848812</v>
      </c>
      <c r="U14" s="7">
        <f>S14-N14-O14-Q14</f>
        <v>-4125.041304974304</v>
      </c>
      <c r="V14" s="7">
        <f>V13+U14</f>
        <v>-46327.436145120315</v>
      </c>
      <c r="W14" s="7">
        <f>(1-Parameters!$K$7)*(C14-E14)+(1-Parameters!$K$8)*(D14+E14)</f>
        <v>627.4133858608905</v>
      </c>
      <c r="X14" s="7">
        <f>Parameters!$K$7*(C14-E14)+Parameters!$K$8*Parameters!$K$9*(D14+E14)</f>
        <v>5345.101843332675</v>
      </c>
      <c r="Y14" s="7">
        <f>Parameters!$K$8*(1-Parameters!$K$9)*(D14+E14)</f>
        <v>636.7504398768291</v>
      </c>
      <c r="Z14" s="7">
        <f>POWER(1/(1+Parameters!$K$32),A14-1)*(M14-N14)</f>
        <v>998.6787796568555</v>
      </c>
    </row>
    <row r="15" spans="1:26">
      <c r="A15" s="7">
        <v>11</v>
      </c>
      <c r="B15" s="7">
        <f>Parameters!$K$20</f>
        <v>1000</v>
      </c>
      <c r="C15" s="7">
        <f>X14+B15</f>
        <v>6345.101843332674</v>
      </c>
      <c r="D15" s="7">
        <f>Y14</f>
        <v>636.7504398768291</v>
      </c>
      <c r="E15" s="7">
        <f>Parameters!$K$6*C15</f>
        <v>126.9020368666535</v>
      </c>
      <c r="F15" s="7">
        <f>IF(Parameters!$K$5=1,E15,0)</f>
        <v>0.0</v>
      </c>
      <c r="G15" s="7">
        <f>Parameters!$K$27*G14+F15</f>
        <v>0.0</v>
      </c>
      <c r="H15" s="7">
        <f>IF(AND(Parameters!$K$5=1,Parameters!$K$26=1),SUMPRODUCT(--($A$5:A15&lt;A15),--(MOD(A15-$A$5:A15,Parameters!$K$28)=0),$F$5:F15,POWER(Parameters!$K$27,IF(A15-$A$5:A15=0,1,A15-$A$5:A15))),0)</f>
        <v>0.0</v>
      </c>
      <c r="I15" s="7">
        <f>Parameters!$K$23*I14+B15*Parameters!$K$22</f>
        <v>431.1999077235399</v>
      </c>
      <c r="J15" s="7">
        <f>E15*Parameters!$K$14*(1-Parameters!$K$15)</f>
        <v>2411.138700466416</v>
      </c>
      <c r="K15" s="7">
        <f>H15*Parameters!$K$29</f>
        <v>0.0</v>
      </c>
      <c r="L15" s="7">
        <f>I15*Parameters!$K$24</f>
        <v>1293.5997231706197</v>
      </c>
      <c r="M15" s="7">
        <f>J15+K15+L15</f>
        <v>3704.738423637036</v>
      </c>
      <c r="N15" s="7">
        <f>C15*Parameters!$K$17+D15*Parameters!$K$18+E15*Parameters!$K$16+I15*Parameters!$K$25+G15*Parameters!$K$30</f>
        <v>2564.4077636666398</v>
      </c>
      <c r="O15" s="7">
        <f>B15*Parameters!$K$19</f>
        <v>4000</v>
      </c>
      <c r="P15" s="7">
        <f>M15-N15-O15</f>
        <v>-2859.669340029604</v>
      </c>
      <c r="Q15" s="7">
        <f>Parameters!$K$21</f>
        <v>1000</v>
      </c>
      <c r="R15" s="7">
        <f>P15-Q15</f>
        <v>-3859.669340029604</v>
      </c>
      <c r="S15" s="7">
        <f>IF(A15&lt;1+Parameters!$K$31,0,INDEX($M$5:$M$40,A15-Parameters!$K$31))</f>
        <v>3506.6675274848812</v>
      </c>
      <c r="T15" s="7">
        <f>T14+M15-S15</f>
        <v>3704.738423637036</v>
      </c>
      <c r="U15" s="7">
        <f>S15-N15-O15-Q15</f>
        <v>-4057.7402361817585</v>
      </c>
      <c r="V15" s="7">
        <f>V14+U15</f>
        <v>-50385.17638130207</v>
      </c>
      <c r="W15" s="7">
        <f>(1-Parameters!$K$7)*(C15-E15)+(1-Parameters!$K$8)*(D15+E15)</f>
        <v>660.0026044837762</v>
      </c>
      <c r="X15" s="7">
        <f>Parameters!$K$7*(C15-E15)+Parameters!$K$8*Parameters!$K$9*(D15+E15)</f>
        <v>5596.379825819419</v>
      </c>
      <c r="Y15" s="7">
        <f>Parameters!$K$8*(1-Parameters!$K$9)*(D15+E15)</f>
        <v>725.4698529063085</v>
      </c>
      <c r="Z15" s="7">
        <f>POWER(1/(1+Parameters!$K$32),A15-1)*(M15-N15)</f>
        <v>1032.3264705076397</v>
      </c>
    </row>
    <row r="16" spans="1:26">
      <c r="A16" s="7">
        <v>12</v>
      </c>
      <c r="B16" s="7">
        <f>Parameters!$K$20</f>
        <v>1000</v>
      </c>
      <c r="C16" s="7">
        <f>X15+B16</f>
        <v>6596.379825819419</v>
      </c>
      <c r="D16" s="7">
        <f>Y15</f>
        <v>725.4698529063085</v>
      </c>
      <c r="E16" s="7">
        <f>Parameters!$K$6*C16</f>
        <v>131.92759651638838</v>
      </c>
      <c r="F16" s="7">
        <f>IF(Parameters!$K$5=1,E16,0)</f>
        <v>0.0</v>
      </c>
      <c r="G16" s="7">
        <f>Parameters!$K$27*G15+F16</f>
        <v>0.0</v>
      </c>
      <c r="H16" s="7">
        <f>IF(AND(Parameters!$K$5=1,Parameters!$K$26=1),SUMPRODUCT(--($A$5:A16&lt;A16),--(MOD(A16-$A$5:A16,Parameters!$K$28)=0),$F$5:F16,POWER(Parameters!$K$27,IF(A16-$A$5:A16=0,1,A16-$A$5:A16))),0)</f>
        <v>0.0</v>
      </c>
      <c r="I16" s="7">
        <f>Parameters!$K$23*I15+B16*Parameters!$K$22</f>
        <v>459.6399123373629</v>
      </c>
      <c r="J16" s="7">
        <f>E16*Parameters!$K$14*(1-Parameters!$K$15)</f>
        <v>2506.624333811379</v>
      </c>
      <c r="K16" s="7">
        <f>H16*Parameters!$K$29</f>
        <v>0.0</v>
      </c>
      <c r="L16" s="7">
        <f>I16*Parameters!$K$24</f>
        <v>1378.9197370120887</v>
      </c>
      <c r="M16" s="7">
        <f>J16+K16+L16</f>
        <v>3885.544070823468</v>
      </c>
      <c r="N16" s="7">
        <f>C16*Parameters!$K$17+D16*Parameters!$K$18+E16*Parameters!$K$16+I16*Parameters!$K$25+G16*Parameters!$K$30</f>
        <v>2703.3964268840496</v>
      </c>
      <c r="O16" s="7">
        <f>B16*Parameters!$K$19</f>
        <v>4000</v>
      </c>
      <c r="P16" s="7">
        <f>M16-N16-O16</f>
        <v>-2817.8523560605818</v>
      </c>
      <c r="Q16" s="7">
        <f>Parameters!$K$21</f>
        <v>1000</v>
      </c>
      <c r="R16" s="7">
        <f>P16-Q16</f>
        <v>-3817.8523560605818</v>
      </c>
      <c r="S16" s="7">
        <f>IF(A16&lt;1+Parameters!$K$31,0,INDEX($M$5:$M$40,A16-Parameters!$K$31))</f>
        <v>3704.738423637036</v>
      </c>
      <c r="T16" s="7">
        <f>T15+M16-S16</f>
        <v>3885.544070823468</v>
      </c>
      <c r="U16" s="7">
        <f>S16-N16-O16-Q16</f>
        <v>-3998.6580032470138</v>
      </c>
      <c r="V16" s="7">
        <f>V15+U16</f>
        <v>-54383.83438454909</v>
      </c>
      <c r="W16" s="7">
        <f>(1-Parameters!$K$7)*(C16-E16)+(1-Parameters!$K$8)*(D16+E16)</f>
        <v>689.3150954014378</v>
      </c>
      <c r="X16" s="7">
        <f>Parameters!$K$7*(C16-E16)+Parameters!$K$8*Parameters!$K$9*(D16+E16)</f>
        <v>5818.007006372727</v>
      </c>
      <c r="Y16" s="7">
        <f>Parameters!$K$8*(1-Parameters!$K$9)*(D16+E16)</f>
        <v>814.527576951562</v>
      </c>
      <c r="Z16" s="7">
        <f>POWER(1/(1+Parameters!$K$32),A16-1)*(M16-N16)</f>
        <v>1059.586970870694</v>
      </c>
    </row>
    <row r="17" spans="1:26">
      <c r="A17" s="7">
        <v>13</v>
      </c>
      <c r="B17" s="7">
        <f>Parameters!$K$20</f>
        <v>1000</v>
      </c>
      <c r="C17" s="7">
        <f>X16+B17</f>
        <v>6818.007006372728</v>
      </c>
      <c r="D17" s="7">
        <f>Y16</f>
        <v>814.527576951562</v>
      </c>
      <c r="E17" s="7">
        <f>Parameters!$K$6*C17</f>
        <v>136.36014012745454</v>
      </c>
      <c r="F17" s="7">
        <f>IF(Parameters!$K$5=1,E17,0)</f>
        <v>0.0</v>
      </c>
      <c r="G17" s="7">
        <f>Parameters!$K$27*G16+F17</f>
        <v>0.0</v>
      </c>
      <c r="H17" s="7">
        <f>IF(AND(Parameters!$K$5=1,Parameters!$K$26=1),SUMPRODUCT(--($A$5:A17&lt;A17),--(MOD(A17-$A$5:A17,Parameters!$K$28)=0),$F$5:F17,POWER(Parameters!$K$27,IF(A17-$A$5:A17=0,1,A17-$A$5:A17))),0)</f>
        <v>0.0</v>
      </c>
      <c r="I17" s="7">
        <f>Parameters!$K$23*I16+B17*Parameters!$K$22</f>
        <v>486.6579167204947</v>
      </c>
      <c r="J17" s="7">
        <f>E17*Parameters!$K$14*(1-Parameters!$K$15)</f>
        <v>2590.8426624216363</v>
      </c>
      <c r="K17" s="7">
        <f>H17*Parameters!$K$29</f>
        <v>0.0</v>
      </c>
      <c r="L17" s="7">
        <f>I17*Parameters!$K$24</f>
        <v>1459.973750161484</v>
      </c>
      <c r="M17" s="7">
        <f>J17+K17+L17</f>
        <v>4050.8164125831204</v>
      </c>
      <c r="N17" s="7">
        <f>C17*Parameters!$K$17+D17*Parameters!$K$18+E17*Parameters!$K$16+I17*Parameters!$K$25+G17*Parameters!$K$30</f>
        <v>2832.3549888753014</v>
      </c>
      <c r="O17" s="7">
        <f>B17*Parameters!$K$19</f>
        <v>4000</v>
      </c>
      <c r="P17" s="7">
        <f>M17-N17-O17</f>
        <v>-2781.538576292181</v>
      </c>
      <c r="Q17" s="7">
        <f>Parameters!$K$21</f>
        <v>1000</v>
      </c>
      <c r="R17" s="7">
        <f>P17-Q17</f>
        <v>-3781.538576292181</v>
      </c>
      <c r="S17" s="7">
        <f>IF(A17&lt;1+Parameters!$K$31,0,INDEX($M$5:$M$40,A17-Parameters!$K$31))</f>
        <v>3885.544070823468</v>
      </c>
      <c r="T17" s="7">
        <f>T16+M17-S17</f>
        <v>4050.8164125831204</v>
      </c>
      <c r="U17" s="7">
        <f>S17-N17-O17-Q17</f>
        <v>-3946.8109180518336</v>
      </c>
      <c r="V17" s="7">
        <f>V16+U17</f>
        <v>-58330.645302600926</v>
      </c>
      <c r="W17" s="7">
        <f>(1-Parameters!$K$7)*(C17-E17)+(1-Parameters!$K$8)*(D17+E17)</f>
        <v>715.7090724784781</v>
      </c>
      <c r="X17" s="7">
        <f>Parameters!$K$7*(C17-E17)+Parameters!$K$8*Parameters!$K$9*(D17+E17)</f>
        <v>6013.482179620746</v>
      </c>
      <c r="Y17" s="7">
        <f>Parameters!$K$8*(1-Parameters!$K$9)*(D17+E17)</f>
        <v>903.3433312250656</v>
      </c>
      <c r="Z17" s="7">
        <f>POWER(1/(1+Parameters!$K$32),A17-1)*(M17-N17)</f>
        <v>1081.32264648498</v>
      </c>
    </row>
    <row r="18" spans="1:26">
      <c r="A18" s="7">
        <v>14</v>
      </c>
      <c r="B18" s="7">
        <f>Parameters!$K$20</f>
        <v>1000</v>
      </c>
      <c r="C18" s="7">
        <f>X17+B18</f>
        <v>7013.482179620746</v>
      </c>
      <c r="D18" s="7">
        <f>Y17</f>
        <v>903.3433312250656</v>
      </c>
      <c r="E18" s="7">
        <f>Parameters!$K$6*C18</f>
        <v>140.26964359241492</v>
      </c>
      <c r="F18" s="7">
        <f>IF(Parameters!$K$5=1,E18,0)</f>
        <v>0.0</v>
      </c>
      <c r="G18" s="7">
        <f>Parameters!$K$27*G17+F18</f>
        <v>0.0</v>
      </c>
      <c r="H18" s="7">
        <f>IF(AND(Parameters!$K$5=1,Parameters!$K$26=1),SUMPRODUCT(--($A$5:A18&lt;A18),--(MOD(A18-$A$5:A18,Parameters!$K$28)=0),$F$5:F18,POWER(Parameters!$K$27,IF(A18-$A$5:A18=0,1,A18-$A$5:A18))),0)</f>
        <v>0.0</v>
      </c>
      <c r="I18" s="7">
        <f>Parameters!$K$23*I17+B18*Parameters!$K$22</f>
        <v>512.32502088447</v>
      </c>
      <c r="J18" s="7">
        <f>E18*Parameters!$K$14*(1-Parameters!$K$15)</f>
        <v>2665.1232282558835</v>
      </c>
      <c r="K18" s="7">
        <f>H18*Parameters!$K$29</f>
        <v>0.0</v>
      </c>
      <c r="L18" s="7">
        <f>I18*Parameters!$K$24</f>
        <v>1536.9750626534099</v>
      </c>
      <c r="M18" s="7">
        <f>J18+K18+L18</f>
        <v>4202.098290909294</v>
      </c>
      <c r="N18" s="7">
        <f>C18*Parameters!$K$17+D18*Parameters!$K$18+E18*Parameters!$K$16+I18*Parameters!$K$25+G18*Parameters!$K$30</f>
        <v>2952.1484735334066</v>
      </c>
      <c r="O18" s="7">
        <f>B18*Parameters!$K$19</f>
        <v>4000</v>
      </c>
      <c r="P18" s="7">
        <f>M18-N18-O18</f>
        <v>-2750.050182624113</v>
      </c>
      <c r="Q18" s="7">
        <f>Parameters!$K$21</f>
        <v>1000</v>
      </c>
      <c r="R18" s="7">
        <f>P18-Q18</f>
        <v>-3750.050182624113</v>
      </c>
      <c r="S18" s="7">
        <f>IF(A18&lt;1+Parameters!$K$31,0,INDEX($M$5:$M$40,A18-Parameters!$K$31))</f>
        <v>4050.8164125831204</v>
      </c>
      <c r="T18" s="7">
        <f>T17+M18-S18</f>
        <v>4202.098290909294</v>
      </c>
      <c r="U18" s="7">
        <f>S18-N18-O18-Q18</f>
        <v>-3901.332060950286</v>
      </c>
      <c r="V18" s="7">
        <f>V17+U18</f>
        <v>-62231.97736355121</v>
      </c>
      <c r="W18" s="7">
        <f>(1-Parameters!$K$7)*(C18-E18)+(1-Parameters!$K$8)*(D18+E18)</f>
        <v>739.5019023437071</v>
      </c>
      <c r="X18" s="7">
        <f>Parameters!$K$7*(C18-E18)+Parameters!$K$8*Parameters!$K$9*(D18+E18)</f>
        <v>6185.8912824254985</v>
      </c>
      <c r="Y18" s="7">
        <f>Parameters!$K$8*(1-Parameters!$K$9)*(D18+E18)</f>
        <v>991.4323260766065</v>
      </c>
      <c r="Z18" s="7">
        <f>POWER(1/(1+Parameters!$K$32),A18-1)*(M18-N18)</f>
        <v>1098.2841554955953</v>
      </c>
    </row>
    <row r="19" spans="1:26">
      <c r="A19" s="7">
        <v>15</v>
      </c>
      <c r="B19" s="7">
        <f>Parameters!$K$20</f>
        <v>1000</v>
      </c>
      <c r="C19" s="7">
        <f>X18+B19</f>
        <v>7185.891282425498</v>
      </c>
      <c r="D19" s="7">
        <f>Y18</f>
        <v>991.4323260766065</v>
      </c>
      <c r="E19" s="7">
        <f>Parameters!$K$6*C19</f>
        <v>143.71782564850994</v>
      </c>
      <c r="F19" s="7">
        <f>IF(Parameters!$K$5=1,E19,0)</f>
        <v>0.0</v>
      </c>
      <c r="G19" s="7">
        <f>Parameters!$K$27*G18+F19</f>
        <v>0.0</v>
      </c>
      <c r="H19" s="7">
        <f>IF(AND(Parameters!$K$5=1,Parameters!$K$26=1),SUMPRODUCT(--($A$5:A19&lt;A19),--(MOD(A19-$A$5:A19,Parameters!$K$28)=0),$F$5:F19,POWER(Parameters!$K$27,IF(A19-$A$5:A19=0,1,A19-$A$5:A19))),0)</f>
        <v>0.0</v>
      </c>
      <c r="I19" s="7">
        <f>Parameters!$K$23*I18+B19*Parameters!$K$22</f>
        <v>536.7087698402464</v>
      </c>
      <c r="J19" s="7">
        <f>E19*Parameters!$K$14*(1-Parameters!$K$15)</f>
        <v>2730.638687321689</v>
      </c>
      <c r="K19" s="7">
        <f>H19*Parameters!$K$29</f>
        <v>0.0</v>
      </c>
      <c r="L19" s="7">
        <f>I19*Parameters!$K$24</f>
        <v>1610.1263095207391</v>
      </c>
      <c r="M19" s="7">
        <f>J19+K19+L19</f>
        <v>4340.764996842428</v>
      </c>
      <c r="N19" s="7">
        <f>C19*Parameters!$K$17+D19*Parameters!$K$18+E19*Parameters!$K$16+I19*Parameters!$K$25+G19*Parameters!$K$30</f>
        <v>3063.555758334586</v>
      </c>
      <c r="O19" s="7">
        <f>B19*Parameters!$K$19</f>
        <v>4000</v>
      </c>
      <c r="P19" s="7">
        <f>M19-N19-O19</f>
        <v>-2722.7907614921573</v>
      </c>
      <c r="Q19" s="7">
        <f>Parameters!$K$21</f>
        <v>1000</v>
      </c>
      <c r="R19" s="7">
        <f>P19-Q19</f>
        <v>-3722.7907614921573</v>
      </c>
      <c r="S19" s="7">
        <f>IF(A19&lt;1+Parameters!$K$31,0,INDEX($M$5:$M$40,A19-Parameters!$K$31))</f>
        <v>4202.098290909294</v>
      </c>
      <c r="T19" s="7">
        <f>T18+M19-S19</f>
        <v>4340.764996842428</v>
      </c>
      <c r="U19" s="7">
        <f>S19-N19-O19-Q19</f>
        <v>-3861.457467425292</v>
      </c>
      <c r="V19" s="7">
        <f>V18+U19</f>
        <v>-66093.4348309765</v>
      </c>
      <c r="W19" s="7">
        <f>(1-Parameters!$K$7)*(C19-E19)+(1-Parameters!$K$8)*(D19+E19)</f>
        <v>760.9748532639546</v>
      </c>
      <c r="X19" s="7">
        <f>Parameters!$K$7*(C19-E19)+Parameters!$K$8*Parameters!$K$9*(D19+E19)</f>
        <v>6337.956111099289</v>
      </c>
      <c r="Y19" s="7">
        <f>Parameters!$K$8*(1-Parameters!$K$9)*(D19+E19)</f>
        <v>1078.3926441388608</v>
      </c>
      <c r="Z19" s="7">
        <f>POWER(1/(1+Parameters!$K$32),A19-1)*(M19-N19)</f>
        <v>1111.1247419030308</v>
      </c>
    </row>
    <row r="20" spans="1:26">
      <c r="A20" s="7">
        <v>16</v>
      </c>
      <c r="B20" s="7">
        <f>Parameters!$K$20</f>
        <v>1000</v>
      </c>
      <c r="C20" s="7">
        <f>X19+B20</f>
        <v>7337.956111099289</v>
      </c>
      <c r="D20" s="7">
        <f>Y19</f>
        <v>1078.3926441388605</v>
      </c>
      <c r="E20" s="7">
        <f>Parameters!$K$6*C20</f>
        <v>146.7591222219858</v>
      </c>
      <c r="F20" s="7">
        <f>IF(Parameters!$K$5=1,E20,0)</f>
        <v>0.0</v>
      </c>
      <c r="G20" s="7">
        <f>Parameters!$K$27*G19+F20</f>
        <v>0.0</v>
      </c>
      <c r="H20" s="7">
        <f>IF(AND(Parameters!$K$5=1,Parameters!$K$26=1),SUMPRODUCT(--($A$5:A20&lt;A20),--(MOD(A20-$A$5:A20,Parameters!$K$28)=0),$F$5:F20,POWER(Parameters!$K$27,IF(A20-$A$5:A20=0,1,A20-$A$5:A20))),0)</f>
        <v>0.0</v>
      </c>
      <c r="I20" s="7">
        <f>Parameters!$K$23*I19+B20*Parameters!$K$22</f>
        <v>559.873331348234</v>
      </c>
      <c r="J20" s="7">
        <f>E20*Parameters!$K$14*(1-Parameters!$K$15)</f>
        <v>2788.42332221773</v>
      </c>
      <c r="K20" s="7">
        <f>H20*Parameters!$K$29</f>
        <v>0.0</v>
      </c>
      <c r="L20" s="7">
        <f>I20*Parameters!$K$24</f>
        <v>1679.6199940447023</v>
      </c>
      <c r="M20" s="7">
        <f>J20+K20+L20</f>
        <v>4468.043316262432</v>
      </c>
      <c r="N20" s="7">
        <f>C20*Parameters!$K$17+D20*Parameters!$K$18+E20*Parameters!$K$16+I20*Parameters!$K$25+G20*Parameters!$K$30</f>
        <v>3167.2789432953196</v>
      </c>
      <c r="O20" s="7">
        <f>B20*Parameters!$K$19</f>
        <v>4000</v>
      </c>
      <c r="P20" s="7">
        <f>M20-N20-O20</f>
        <v>-2699.2356270328874</v>
      </c>
      <c r="Q20" s="7">
        <f>Parameters!$K$21</f>
        <v>1000</v>
      </c>
      <c r="R20" s="7">
        <f>P20-Q20</f>
        <v>-3699.2356270328874</v>
      </c>
      <c r="S20" s="7">
        <f>IF(A20&lt;1+Parameters!$K$31,0,INDEX($M$5:$M$40,A20-Parameters!$K$31))</f>
        <v>4340.764996842428</v>
      </c>
      <c r="T20" s="7">
        <f>T19+M20-S20</f>
        <v>4468.043316262432</v>
      </c>
      <c r="U20" s="7">
        <f>S20-N20-O20-Q20</f>
        <v>-3826.513946452891</v>
      </c>
      <c r="V20" s="7">
        <f>V19+U20</f>
        <v>-69919.9487774294</v>
      </c>
      <c r="W20" s="7">
        <f>(1-Parameters!$K$7)*(C20-E20)+(1-Parameters!$K$8)*(D20+E20)</f>
        <v>780.3772872057725</v>
      </c>
      <c r="X20" s="7">
        <f>Parameters!$K$7*(C20-E20)+Parameters!$K$8*Parameters!$K$9*(D20+E20)</f>
        <v>6472.077289989573</v>
      </c>
      <c r="Y20" s="7">
        <f>Parameters!$K$8*(1-Parameters!$K$9)*(D20+E20)</f>
        <v>1163.894178042804</v>
      </c>
      <c r="Z20" s="7">
        <f>POWER(1/(1+Parameters!$K$32),A20-1)*(M20-N20)</f>
        <v>1120.412709530688</v>
      </c>
    </row>
    <row r="21" spans="1:26">
      <c r="A21" s="7">
        <v>17</v>
      </c>
      <c r="B21" s="7">
        <f>Parameters!$K$20</f>
        <v>1000</v>
      </c>
      <c r="C21" s="7">
        <f>X20+B21</f>
        <v>7472.077289989573</v>
      </c>
      <c r="D21" s="7">
        <f>Y20</f>
        <v>1163.894178042804</v>
      </c>
      <c r="E21" s="7">
        <f>Parameters!$K$6*C21</f>
        <v>149.44154579979147</v>
      </c>
      <c r="F21" s="7">
        <f>IF(Parameters!$K$5=1,E21,0)</f>
        <v>0.0</v>
      </c>
      <c r="G21" s="7">
        <f>Parameters!$K$27*G20+F21</f>
        <v>0.0</v>
      </c>
      <c r="H21" s="7">
        <f>IF(AND(Parameters!$K$5=1,Parameters!$K$26=1),SUMPRODUCT(--($A$5:A21&lt;A21),--(MOD(A21-$A$5:A21,Parameters!$K$28)=0),$F$5:F21,POWER(Parameters!$K$27,IF(A21-$A$5:A21=0,1,A21-$A$5:A21))),0)</f>
        <v>0.0</v>
      </c>
      <c r="I21" s="7">
        <f>Parameters!$K$23*I20+B21*Parameters!$K$22</f>
        <v>581.8796647808223</v>
      </c>
      <c r="J21" s="7">
        <f>E21*Parameters!$K$14*(1-Parameters!$K$15)</f>
        <v>2839.389370196038</v>
      </c>
      <c r="K21" s="7">
        <f>H21*Parameters!$K$29</f>
        <v>0.0</v>
      </c>
      <c r="L21" s="7">
        <f>I21*Parameters!$K$24</f>
        <v>1745.638994342467</v>
      </c>
      <c r="M21" s="7">
        <f>J21+K21+L21</f>
        <v>4585.028364538504</v>
      </c>
      <c r="N21" s="7">
        <f>C21*Parameters!$K$17+D21*Parameters!$K$18+E21*Parameters!$K$16+I21*Parameters!$K$25+G21*Parameters!$K$30</f>
        <v>3263.9516542084766</v>
      </c>
      <c r="O21" s="7">
        <f>B21*Parameters!$K$19</f>
        <v>4000</v>
      </c>
      <c r="P21" s="7">
        <f>M21-N21-O21</f>
        <v>-2678.9232896699723</v>
      </c>
      <c r="Q21" s="7">
        <f>Parameters!$K$21</f>
        <v>1000</v>
      </c>
      <c r="R21" s="7">
        <f>P21-Q21</f>
        <v>-3678.9232896699723</v>
      </c>
      <c r="S21" s="7">
        <f>IF(A21&lt;1+Parameters!$K$31,0,INDEX($M$5:$M$40,A21-Parameters!$K$31))</f>
        <v>4468.043316262432</v>
      </c>
      <c r="T21" s="7">
        <f>T20+M21-S21</f>
        <v>4585.028364538504</v>
      </c>
      <c r="U21" s="7">
        <f>S21-N21-O21-Q21</f>
        <v>-3795.9083379460444</v>
      </c>
      <c r="V21" s="7">
        <f>V20+U21</f>
        <v>-73715.85711537545</v>
      </c>
      <c r="W21" s="7">
        <f>(1-Parameters!$K$7)*(C21-E21)+(1-Parameters!$K$8)*(D21+E21)</f>
        <v>797.9303606111079</v>
      </c>
      <c r="X21" s="7">
        <f>Parameters!$K$7*(C21-E21)+Parameters!$K$8*Parameters!$K$9*(D21+E21)</f>
        <v>6590.372169770803</v>
      </c>
      <c r="Y21" s="7">
        <f>Parameters!$K$8*(1-Parameters!$K$9)*(D21+E21)</f>
        <v>1247.6689376504658</v>
      </c>
      <c r="Z21" s="7">
        <f>POWER(1/(1+Parameters!$K$32),A21-1)*(M21-N21)</f>
        <v>1126.6423075750215</v>
      </c>
    </row>
    <row r="22" spans="1:26">
      <c r="A22" s="7">
        <v>18</v>
      </c>
      <c r="B22" s="7">
        <f>Parameters!$K$20</f>
        <v>1000</v>
      </c>
      <c r="C22" s="7">
        <f>X21+B22</f>
        <v>7590.372169770803</v>
      </c>
      <c r="D22" s="7">
        <f>Y21</f>
        <v>1247.6689376504655</v>
      </c>
      <c r="E22" s="7">
        <f>Parameters!$K$6*C22</f>
        <v>151.80744339541607</v>
      </c>
      <c r="F22" s="7">
        <f>IF(Parameters!$K$5=1,E22,0)</f>
        <v>0.0</v>
      </c>
      <c r="G22" s="7">
        <f>Parameters!$K$27*G21+F22</f>
        <v>0.0</v>
      </c>
      <c r="H22" s="7">
        <f>IF(AND(Parameters!$K$5=1,Parameters!$K$26=1),SUMPRODUCT(--($A$5:A22&lt;A22),--(MOD(A22-$A$5:A22,Parameters!$K$28)=0),$F$5:F22,POWER(Parameters!$K$27,IF(A22-$A$5:A22=0,1,A22-$A$5:A22))),0)</f>
        <v>0.0</v>
      </c>
      <c r="I22" s="7">
        <f>Parameters!$K$23*I21+B22*Parameters!$K$22</f>
        <v>602.7856815417812</v>
      </c>
      <c r="J22" s="7">
        <f>E22*Parameters!$K$14*(1-Parameters!$K$15)</f>
        <v>2884.341424512905</v>
      </c>
      <c r="K22" s="7">
        <f>H22*Parameters!$K$29</f>
        <v>0.0</v>
      </c>
      <c r="L22" s="7">
        <f>I22*Parameters!$K$24</f>
        <v>1808.3570446253434</v>
      </c>
      <c r="M22" s="7">
        <f>J22+K22+L22</f>
        <v>4692.698469138249</v>
      </c>
      <c r="N22" s="7">
        <f>C22*Parameters!$K$17+D22*Parameters!$K$18+E22*Parameters!$K$16+I22*Parameters!$K$25+G22*Parameters!$K$30</f>
        <v>3354.1464039227803</v>
      </c>
      <c r="O22" s="7">
        <f>B22*Parameters!$K$19</f>
        <v>4000</v>
      </c>
      <c r="P22" s="7">
        <f>M22-N22-O22</f>
        <v>-2661.4479347845318</v>
      </c>
      <c r="Q22" s="7">
        <f>Parameters!$K$21</f>
        <v>1000</v>
      </c>
      <c r="R22" s="7">
        <f>P22-Q22</f>
        <v>-3661.4479347845318</v>
      </c>
      <c r="S22" s="7">
        <f>IF(A22&lt;1+Parameters!$K$31,0,INDEX($M$5:$M$40,A22-Parameters!$K$31))</f>
        <v>4585.028364538504</v>
      </c>
      <c r="T22" s="7">
        <f>T21+M22-S22</f>
        <v>4692.698469138249</v>
      </c>
      <c r="U22" s="7">
        <f>S22-N22-O22-Q22</f>
        <v>-3769.118039384276</v>
      </c>
      <c r="V22" s="7">
        <f>V21+U22</f>
        <v>-77484.97515475973</v>
      </c>
      <c r="W22" s="7">
        <f>(1-Parameters!$K$7)*(C22-E22)+(1-Parameters!$K$8)*(D22+E22)</f>
        <v>813.8302916898327</v>
      </c>
      <c r="X22" s="7">
        <f>Parameters!$K$7*(C22-E22)+Parameters!$K$8*Parameters!$K$9*(D22+E22)</f>
        <v>6694.708253737848</v>
      </c>
      <c r="Y22" s="7">
        <f>Parameters!$K$8*(1-Parameters!$K$9)*(D22+E22)</f>
        <v>1329.5025619935875</v>
      </c>
      <c r="Z22" s="7">
        <f>POWER(1/(1+Parameters!$K$32),A22-1)*(M22-N22)</f>
        <v>1130.243229491016</v>
      </c>
    </row>
    <row r="23" spans="1:26">
      <c r="A23" s="7">
        <v>19</v>
      </c>
      <c r="B23" s="7">
        <f>Parameters!$K$20</f>
        <v>1000</v>
      </c>
      <c r="C23" s="7">
        <f>X22+B23</f>
        <v>7694.708253737848</v>
      </c>
      <c r="D23" s="7">
        <f>Y22</f>
        <v>1329.5025619935875</v>
      </c>
      <c r="E23" s="7">
        <f>Parameters!$K$6*C23</f>
        <v>153.89416507475696</v>
      </c>
      <c r="F23" s="7">
        <f>IF(Parameters!$K$5=1,E23,0)</f>
        <v>0.0</v>
      </c>
      <c r="G23" s="7">
        <f>Parameters!$K$27*G22+F23</f>
        <v>0.0</v>
      </c>
      <c r="H23" s="7">
        <f>IF(AND(Parameters!$K$5=1,Parameters!$K$26=1),SUMPRODUCT(--($A$5:A23&lt;A23),--(MOD(A23-$A$5:A23,Parameters!$K$28)=0),$F$5:F23,POWER(Parameters!$K$27,IF(A23-$A$5:A23=0,1,A23-$A$5:A23))),0)</f>
        <v>0.0</v>
      </c>
      <c r="I23" s="7">
        <f>Parameters!$K$23*I22+B23*Parameters!$K$22</f>
        <v>622.6463974646921</v>
      </c>
      <c r="J23" s="7">
        <f>E23*Parameters!$K$14*(1-Parameters!$K$15)</f>
        <v>2923.9891364203822</v>
      </c>
      <c r="K23" s="7">
        <f>H23*Parameters!$K$29</f>
        <v>0.0</v>
      </c>
      <c r="L23" s="7">
        <f>I23*Parameters!$K$24</f>
        <v>1867.9391923940761</v>
      </c>
      <c r="M23" s="7">
        <f>J23+K23+L23</f>
        <v>4791.928328814458</v>
      </c>
      <c r="N23" s="7">
        <f>C23*Parameters!$K$17+D23*Parameters!$K$18+E23*Parameters!$K$16+I23*Parameters!$K$25+G23*Parameters!$K$30</f>
        <v>3438.3811209252513</v>
      </c>
      <c r="O23" s="7">
        <f>B23*Parameters!$K$19</f>
        <v>4000</v>
      </c>
      <c r="P23" s="7">
        <f>M23-N23-O23</f>
        <v>-2646.4527921107933</v>
      </c>
      <c r="Q23" s="7">
        <f>Parameters!$K$21</f>
        <v>1000</v>
      </c>
      <c r="R23" s="7">
        <f>P23-Q23</f>
        <v>-3646.4527921107933</v>
      </c>
      <c r="S23" s="7">
        <f>IF(A23&lt;1+Parameters!$K$31,0,INDEX($M$5:$M$40,A23-Parameters!$K$31))</f>
        <v>4692.698469138249</v>
      </c>
      <c r="T23" s="7">
        <f>T22+M23-S23</f>
        <v>4791.928328814458</v>
      </c>
      <c r="U23" s="7">
        <f>S23-N23-O23-Q23</f>
        <v>-3745.6826517870027</v>
      </c>
      <c r="V23" s="7">
        <f>V22+U23</f>
        <v>-81230.65780654673</v>
      </c>
      <c r="W23" s="7">
        <f>(1-Parameters!$K$7)*(C23-E23)+(1-Parameters!$K$8)*(D23+E23)</f>
        <v>828.2512452197262</v>
      </c>
      <c r="X23" s="7">
        <f>Parameters!$K$7*(C23-E23)+Parameters!$K$8*Parameters!$K$9*(D23+E23)</f>
        <v>6786.732679796783</v>
      </c>
      <c r="Y23" s="7">
        <f>Parameters!$K$8*(1-Parameters!$K$9)*(D23+E23)</f>
        <v>1409.226890714927</v>
      </c>
      <c r="Z23" s="7">
        <f>POWER(1/(1+Parameters!$K$32),A23-1)*(M23-N23)</f>
        <v>1131.5889013703634</v>
      </c>
    </row>
    <row r="24" spans="1:26">
      <c r="A24" s="7">
        <v>20</v>
      </c>
      <c r="B24" s="7">
        <f>Parameters!$K$20</f>
        <v>1000</v>
      </c>
      <c r="C24" s="7">
        <f>X23+B24</f>
        <v>7786.732679796783</v>
      </c>
      <c r="D24" s="7">
        <f>Y23</f>
        <v>1409.2268907149273</v>
      </c>
      <c r="E24" s="7">
        <f>Parameters!$K$6*C24</f>
        <v>155.73465359593564</v>
      </c>
      <c r="F24" s="7">
        <f>IF(Parameters!$K$5=1,E24,0)</f>
        <v>0.0</v>
      </c>
      <c r="G24" s="7">
        <f>Parameters!$K$27*G23+F24</f>
        <v>0.0</v>
      </c>
      <c r="H24" s="7">
        <f>IF(AND(Parameters!$K$5=1,Parameters!$K$26=1),SUMPRODUCT(--($A$5:A24&lt;A24),--(MOD(A24-$A$5:A24,Parameters!$K$28)=0),$F$5:F24,POWER(Parameters!$K$27,IF(A24-$A$5:A24=0,1,A24-$A$5:A24))),0)</f>
        <v>0.0</v>
      </c>
      <c r="I24" s="7">
        <f>Parameters!$K$23*I23+B24*Parameters!$K$22</f>
        <v>641.5140775914574</v>
      </c>
      <c r="J24" s="7">
        <f>E24*Parameters!$K$14*(1-Parameters!$K$15)</f>
        <v>2958.958418322777</v>
      </c>
      <c r="K24" s="7">
        <f>H24*Parameters!$K$29</f>
        <v>0.0</v>
      </c>
      <c r="L24" s="7">
        <f>I24*Parameters!$K$24</f>
        <v>1924.5422327743722</v>
      </c>
      <c r="M24" s="7">
        <f>J24+K24+L24</f>
        <v>4883.500651097149</v>
      </c>
      <c r="N24" s="7">
        <f>C24*Parameters!$K$17+D24*Parameters!$K$18+E24*Parameters!$K$16+I24*Parameters!$K$25+G24*Parameters!$K$30</f>
        <v>3517.124941688163</v>
      </c>
      <c r="O24" s="7">
        <f>B24*Parameters!$K$19</f>
        <v>4000</v>
      </c>
      <c r="P24" s="7">
        <f>M24-N24-O24</f>
        <v>-2633.624290591014</v>
      </c>
      <c r="Q24" s="7">
        <f>Parameters!$K$21</f>
        <v>1000</v>
      </c>
      <c r="R24" s="7">
        <f>P24-Q24</f>
        <v>-3633.624290591014</v>
      </c>
      <c r="S24" s="7">
        <f>IF(A24&lt;1+Parameters!$K$31,0,INDEX($M$5:$M$40,A24-Parameters!$K$31))</f>
        <v>4791.928328814458</v>
      </c>
      <c r="T24" s="7">
        <f>T23+M24-S24</f>
        <v>4883.500651097149</v>
      </c>
      <c r="U24" s="7">
        <f>S24-N24-O24-Q24</f>
        <v>-3725.196612873705</v>
      </c>
      <c r="V24" s="7">
        <f>V23+U24</f>
        <v>-84955.85441942044</v>
      </c>
      <c r="W24" s="7">
        <f>(1-Parameters!$K$7)*(C24-E24)+(1-Parameters!$K$8)*(D24+E24)</f>
        <v>841.3478798356277</v>
      </c>
      <c r="X24" s="7">
        <f>Parameters!$K$7*(C24-E24)+Parameters!$K$8*Parameters!$K$9*(D24+E24)</f>
        <v>6867.8982235807625</v>
      </c>
      <c r="Y24" s="7">
        <f>Parameters!$K$8*(1-Parameters!$K$9)*(D24+E24)</f>
        <v>1486.7134670953199</v>
      </c>
      <c r="Z24" s="7">
        <f>POWER(1/(1+Parameters!$K$32),A24-1)*(M24-N24)</f>
        <v>1131.003713619827</v>
      </c>
    </row>
    <row r="25" spans="1:26">
      <c r="A25" s="7">
        <v>21</v>
      </c>
      <c r="B25" s="7">
        <f>Parameters!$K$20</f>
        <v>1000</v>
      </c>
      <c r="C25" s="7">
        <f>X24+B25</f>
        <v>7867.898223580762</v>
      </c>
      <c r="D25" s="7">
        <f>Y24</f>
        <v>1486.7134670953196</v>
      </c>
      <c r="E25" s="7">
        <f>Parameters!$K$6*C25</f>
        <v>157.35796447161525</v>
      </c>
      <c r="F25" s="7">
        <f>IF(Parameters!$K$5=1,E25,0)</f>
        <v>0.0</v>
      </c>
      <c r="G25" s="7">
        <f>Parameters!$K$27*G24+F25</f>
        <v>0.0</v>
      </c>
      <c r="H25" s="7">
        <f>IF(AND(Parameters!$K$5=1,Parameters!$K$26=1),SUMPRODUCT(--($A$5:A25&lt;A25),--(MOD(A25-$A$5:A25,Parameters!$K$28)=0),$F$5:F25,POWER(Parameters!$K$27,IF(A25-$A$5:A25=0,1,A25-$A$5:A25))),0)</f>
        <v>0.0</v>
      </c>
      <c r="I25" s="7">
        <f>Parameters!$K$23*I24+B25*Parameters!$K$22</f>
        <v>659.4383737118845</v>
      </c>
      <c r="J25" s="7">
        <f>E25*Parameters!$K$14*(1-Parameters!$K$15)</f>
        <v>2989.8013249606893</v>
      </c>
      <c r="K25" s="7">
        <f>H25*Parameters!$K$29</f>
        <v>0.0</v>
      </c>
      <c r="L25" s="7">
        <f>I25*Parameters!$K$24</f>
        <v>1978.3151211356535</v>
      </c>
      <c r="M25" s="7">
        <f>J25+K25+L25</f>
        <v>4968.116446096343</v>
      </c>
      <c r="N25" s="7">
        <f>C25*Parameters!$K$17+D25*Parameters!$K$18+E25*Parameters!$K$16+I25*Parameters!$K$25+G25*Parameters!$K$30</f>
        <v>3590.803351949445</v>
      </c>
      <c r="O25" s="7">
        <f>B25*Parameters!$K$19</f>
        <v>4000</v>
      </c>
      <c r="P25" s="7">
        <f>M25-N25-O25</f>
        <v>-2622.6869058531024</v>
      </c>
      <c r="Q25" s="7">
        <f>Parameters!$K$21</f>
        <v>1000</v>
      </c>
      <c r="R25" s="7">
        <f>P25-Q25</f>
        <v>-3622.6869058531024</v>
      </c>
      <c r="S25" s="7">
        <f>IF(A25&lt;1+Parameters!$K$31,0,INDEX($M$5:$M$40,A25-Parameters!$K$31))</f>
        <v>4883.500651097149</v>
      </c>
      <c r="T25" s="7">
        <f>T24+M25-S25</f>
        <v>4968.116446096343</v>
      </c>
      <c r="U25" s="7">
        <f>S25-N25-O25-Q25</f>
        <v>-3707.3027008522963</v>
      </c>
      <c r="V25" s="7">
        <f>V24+U25</f>
        <v>-88663.15712027274</v>
      </c>
      <c r="W25" s="7">
        <f>(1-Parameters!$K$7)*(C25-E25)+(1-Parameters!$K$8)*(D25+E25)</f>
        <v>853.2575974892613</v>
      </c>
      <c r="X25" s="7">
        <f>Parameters!$K$7*(C25-E25)+Parameters!$K$8*Parameters!$K$9*(D25+E25)</f>
        <v>6939.486233198231</v>
      </c>
      <c r="Y25" s="7">
        <f>Parameters!$K$8*(1-Parameters!$K$9)*(D25+E25)</f>
        <v>1561.8678599885882</v>
      </c>
      <c r="Z25" s="7">
        <f>POWER(1/(1+Parameters!$K$32),A25-1)*(M25-N25)</f>
        <v>1128.7693302312407</v>
      </c>
    </row>
    <row r="26" spans="1:26">
      <c r="A26" s="7">
        <v>22</v>
      </c>
      <c r="B26" s="7">
        <f>Parameters!$K$20</f>
        <v>1000</v>
      </c>
      <c r="C26" s="7">
        <f>X25+B26</f>
        <v>7939.486233198232</v>
      </c>
      <c r="D26" s="7">
        <f>Y25</f>
        <v>1561.8678599885882</v>
      </c>
      <c r="E26" s="7">
        <f>Parameters!$K$6*C26</f>
        <v>158.78972466396465</v>
      </c>
      <c r="F26" s="7">
        <f>IF(Parameters!$K$5=1,E26,0)</f>
        <v>0.0</v>
      </c>
      <c r="G26" s="7">
        <f>Parameters!$K$27*G25+F26</f>
        <v>0.0</v>
      </c>
      <c r="H26" s="7">
        <f>IF(AND(Parameters!$K$5=1,Parameters!$K$26=1),SUMPRODUCT(--($A$5:A26&lt;A26),--(MOD(A26-$A$5:A26,Parameters!$K$28)=0),$F$5:F26,POWER(Parameters!$K$27,IF(A26-$A$5:A26=0,1,A26-$A$5:A26))),0)</f>
        <v>0.0</v>
      </c>
      <c r="I26" s="7">
        <f>Parameters!$K$23*I25+B26*Parameters!$K$22</f>
        <v>676.4664550262903</v>
      </c>
      <c r="J26" s="7">
        <f>E26*Parameters!$K$14*(1-Parameters!$K$15)</f>
        <v>3017.004768615328</v>
      </c>
      <c r="K26" s="7">
        <f>H26*Parameters!$K$29</f>
        <v>0.0</v>
      </c>
      <c r="L26" s="7">
        <f>I26*Parameters!$K$24</f>
        <v>2029.399365078871</v>
      </c>
      <c r="M26" s="7">
        <f>J26+K26+L26</f>
        <v>5046.404133694199</v>
      </c>
      <c r="N26" s="7">
        <f>C26*Parameters!$K$17+D26*Parameters!$K$18+E26*Parameters!$K$16+I26*Parameters!$K$25+G26*Parameters!$K$30</f>
        <v>3659.802752130873</v>
      </c>
      <c r="O26" s="7">
        <f>B26*Parameters!$K$19</f>
        <v>4000</v>
      </c>
      <c r="P26" s="7">
        <f>M26-N26-O26</f>
        <v>-2613.398618436674</v>
      </c>
      <c r="Q26" s="7">
        <f>Parameters!$K$21</f>
        <v>1000</v>
      </c>
      <c r="R26" s="7">
        <f>P26-Q26</f>
        <v>-3613.398618436674</v>
      </c>
      <c r="S26" s="7">
        <f>IF(A26&lt;1+Parameters!$K$31,0,INDEX($M$5:$M$40,A26-Parameters!$K$31))</f>
        <v>4968.116446096343</v>
      </c>
      <c r="T26" s="7">
        <f>T25+M26-S26</f>
        <v>5046.404133694199</v>
      </c>
      <c r="U26" s="7">
        <f>S26-N26-O26-Q26</f>
        <v>-3691.6863060345304</v>
      </c>
      <c r="V26" s="7">
        <f>V25+U26</f>
        <v>-92354.84342630727</v>
      </c>
      <c r="W26" s="7">
        <f>(1-Parameters!$K$7)*(C26-E26)+(1-Parameters!$K$8)*(D26+E26)</f>
        <v>864.1025300860542</v>
      </c>
      <c r="X26" s="7">
        <f>Parameters!$K$7*(C26-E26)+Parameters!$K$8*Parameters!$K$9*(D26+E26)</f>
        <v>7002.626857680841</v>
      </c>
      <c r="Y26" s="7">
        <f>Parameters!$K$8*(1-Parameters!$K$9)*(D26+E26)</f>
        <v>1634.6247054199252</v>
      </c>
      <c r="Z26" s="7">
        <f>POWER(1/(1+Parameters!$K$32),A26-1)*(M26-N26)</f>
        <v>1125.1301928933447</v>
      </c>
    </row>
    <row r="27" spans="1:26">
      <c r="A27" s="7">
        <v>23</v>
      </c>
      <c r="B27" s="7">
        <f>Parameters!$K$20</f>
        <v>1000</v>
      </c>
      <c r="C27" s="7">
        <f>X26+B27</f>
        <v>8002.626857680841</v>
      </c>
      <c r="D27" s="7">
        <f>Y26</f>
        <v>1634.624705419925</v>
      </c>
      <c r="E27" s="7">
        <f>Parameters!$K$6*C27</f>
        <v>160.0525371536168</v>
      </c>
      <c r="F27" s="7">
        <f>IF(Parameters!$K$5=1,E27,0)</f>
        <v>0.0</v>
      </c>
      <c r="G27" s="7">
        <f>Parameters!$K$27*G26+F27</f>
        <v>0.0</v>
      </c>
      <c r="H27" s="7">
        <f>IF(AND(Parameters!$K$5=1,Parameters!$K$26=1),SUMPRODUCT(--($A$5:A27&lt;A27),--(MOD(A27-$A$5:A27,Parameters!$K$28)=0),$F$5:F27,POWER(Parameters!$K$27,IF(A27-$A$5:A27=0,1,A27-$A$5:A27))),0)</f>
        <v>0.0</v>
      </c>
      <c r="I27" s="7">
        <f>Parameters!$K$23*I26+B27*Parameters!$K$22</f>
        <v>692.6431322749758</v>
      </c>
      <c r="J27" s="7">
        <f>E27*Parameters!$K$14*(1-Parameters!$K$15)</f>
        <v>3040.9982059187196</v>
      </c>
      <c r="K27" s="7">
        <f>H27*Parameters!$K$29</f>
        <v>0.0</v>
      </c>
      <c r="L27" s="7">
        <f>I27*Parameters!$K$24</f>
        <v>2077.929396824927</v>
      </c>
      <c r="M27" s="7">
        <f>J27+K27+L27</f>
        <v>5118.927602743646</v>
      </c>
      <c r="N27" s="7">
        <f>C27*Parameters!$K$17+D27*Parameters!$K$18+E27*Parameters!$K$16+I27*Parameters!$K$25+G27*Parameters!$K$30</f>
        <v>3724.4745133053193</v>
      </c>
      <c r="O27" s="7">
        <f>B27*Parameters!$K$19</f>
        <v>4000</v>
      </c>
      <c r="P27" s="7">
        <f>M27-N27-O27</f>
        <v>-2605.546910561673</v>
      </c>
      <c r="Q27" s="7">
        <f>Parameters!$K$21</f>
        <v>1000</v>
      </c>
      <c r="R27" s="7">
        <f>P27-Q27</f>
        <v>-3605.546910561673</v>
      </c>
      <c r="S27" s="7">
        <f>IF(A27&lt;1+Parameters!$K$31,0,INDEX($M$5:$M$40,A27-Parameters!$K$31))</f>
        <v>5046.404133694199</v>
      </c>
      <c r="T27" s="7">
        <f>T26+M27-S27</f>
        <v>5118.927602743646</v>
      </c>
      <c r="U27" s="7">
        <f>S27-N27-O27-Q27</f>
        <v>-3678.07037961112</v>
      </c>
      <c r="V27" s="7">
        <f>V26+U27</f>
        <v>-96032.91380591839</v>
      </c>
      <c r="W27" s="7">
        <f>(1-Parameters!$K$7)*(C27-E27)+(1-Parameters!$K$8)*(D27+E27)</f>
        <v>873.9912941813993</v>
      </c>
      <c r="X27" s="7">
        <f>Parameters!$K$7*(C27-E27)+Parameters!$K$8*Parameters!$K$9*(D27+E27)</f>
        <v>7058.316888474502</v>
      </c>
      <c r="Y27" s="7">
        <f>Parameters!$K$8*(1-Parameters!$K$9)*(D27+E27)</f>
        <v>1704.9433804448647</v>
      </c>
      <c r="Z27" s="7">
        <f>POWER(1/(1+Parameters!$K$32),A27-1)*(M27-N27)</f>
        <v>1120.2983223153994</v>
      </c>
    </row>
    <row r="28" spans="1:26">
      <c r="A28" s="7">
        <v>24</v>
      </c>
      <c r="B28" s="7">
        <f>Parameters!$K$20</f>
        <v>1000</v>
      </c>
      <c r="C28" s="7">
        <f>X27+B28</f>
        <v>8058.316888474501</v>
      </c>
      <c r="D28" s="7">
        <f>Y27</f>
        <v>1704.9433804448647</v>
      </c>
      <c r="E28" s="7">
        <f>Parameters!$K$6*C28</f>
        <v>161.16633776949004</v>
      </c>
      <c r="F28" s="7">
        <f>IF(Parameters!$K$5=1,E28,0)</f>
        <v>0.0</v>
      </c>
      <c r="G28" s="7">
        <f>Parameters!$K$27*G27+F28</f>
        <v>0.0</v>
      </c>
      <c r="H28" s="7">
        <f>IF(AND(Parameters!$K$5=1,Parameters!$K$26=1),SUMPRODUCT(--($A$5:A28&lt;A28),--(MOD(A28-$A$5:A28,Parameters!$K$28)=0),$F$5:F28,POWER(Parameters!$K$27,IF(A28-$A$5:A28=0,1,A28-$A$5:A28))),0)</f>
        <v>0.0</v>
      </c>
      <c r="I28" s="7">
        <f>Parameters!$K$23*I27+B28*Parameters!$K$22</f>
        <v>708.0109756612269</v>
      </c>
      <c r="J28" s="7">
        <f>E28*Parameters!$K$14*(1-Parameters!$K$15)</f>
        <v>3062.1604176203105</v>
      </c>
      <c r="K28" s="7">
        <f>H28*Parameters!$K$29</f>
        <v>0.0</v>
      </c>
      <c r="L28" s="7">
        <f>I28*Parameters!$K$24</f>
        <v>2124.0329269836807</v>
      </c>
      <c r="M28" s="7">
        <f>J28+K28+L28</f>
        <v>5186.193344603991</v>
      </c>
      <c r="N28" s="7">
        <f>C28*Parameters!$K$17+D28*Parameters!$K$18+E28*Parameters!$K$16+I28*Parameters!$K$25+G28*Parameters!$K$30</f>
        <v>3785.138582364886</v>
      </c>
      <c r="O28" s="7">
        <f>B28*Parameters!$K$19</f>
        <v>4000</v>
      </c>
      <c r="P28" s="7">
        <f>M28-N28-O28</f>
        <v>-2598.945237760895</v>
      </c>
      <c r="Q28" s="7">
        <f>Parameters!$K$21</f>
        <v>1000</v>
      </c>
      <c r="R28" s="7">
        <f>P28-Q28</f>
        <v>-3598.945237760895</v>
      </c>
      <c r="S28" s="7">
        <f>IF(A28&lt;1+Parameters!$K$31,0,INDEX($M$5:$M$40,A28-Parameters!$K$31))</f>
        <v>5118.927602743646</v>
      </c>
      <c r="T28" s="7">
        <f>T27+M28-S28</f>
        <v>5186.193344603991</v>
      </c>
      <c r="U28" s="7">
        <f>S28-N28-O28-Q28</f>
        <v>-3666.21097962124</v>
      </c>
      <c r="V28" s="7">
        <f>V27+U28</f>
        <v>-99699.12478553964</v>
      </c>
      <c r="W28" s="7">
        <f>(1-Parameters!$K$7)*(C28-E28)+(1-Parameters!$K$8)*(D28+E28)</f>
        <v>883.0205409812187</v>
      </c>
      <c r="X28" s="7">
        <f>Parameters!$K$7*(C28-E28)+Parameters!$K$8*Parameters!$K$9*(D28+E28)</f>
        <v>7107.43549563451</v>
      </c>
      <c r="Y28" s="7">
        <f>Parameters!$K$8*(1-Parameters!$K$9)*(D28+E28)</f>
        <v>1772.804232303637</v>
      </c>
      <c r="Z28" s="7">
        <f>POWER(1/(1+Parameters!$K$32),A28-1)*(M28-N28)</f>
        <v>1114.4575061392668</v>
      </c>
    </row>
    <row r="29" spans="1:26">
      <c r="A29" s="7">
        <v>25</v>
      </c>
      <c r="B29" s="7">
        <f>Parameters!$K$20</f>
        <v>1000</v>
      </c>
      <c r="C29" s="7">
        <f>X28+B29</f>
        <v>8107.4354956345105</v>
      </c>
      <c r="D29" s="7">
        <f>Y28</f>
        <v>1772.804232303637</v>
      </c>
      <c r="E29" s="7">
        <f>Parameters!$K$6*C29</f>
        <v>162.1487099126902</v>
      </c>
      <c r="F29" s="7">
        <f>IF(Parameters!$K$5=1,E29,0)</f>
        <v>0.0</v>
      </c>
      <c r="G29" s="7">
        <f>Parameters!$K$27*G28+F29</f>
        <v>0.0</v>
      </c>
      <c r="H29" s="7">
        <f>IF(AND(Parameters!$K$5=1,Parameters!$K$26=1),SUMPRODUCT(--($A$5:A29&lt;A29),--(MOD(A29-$A$5:A29,Parameters!$K$28)=0),$F$5:F29,POWER(Parameters!$K$27,IF(A29-$A$5:A29=0,1,A29-$A$5:A29))),0)</f>
        <v>0.0</v>
      </c>
      <c r="I29" s="7">
        <f>Parameters!$K$23*I28+B29*Parameters!$K$22</f>
        <v>722.6104268781655</v>
      </c>
      <c r="J29" s="7">
        <f>E29*Parameters!$K$14*(1-Parameters!$K$15)</f>
        <v>3080.825488341114</v>
      </c>
      <c r="K29" s="7">
        <f>H29*Parameters!$K$29</f>
        <v>0.0</v>
      </c>
      <c r="L29" s="7">
        <f>I29*Parameters!$K$24</f>
        <v>2167.8312806344966</v>
      </c>
      <c r="M29" s="7">
        <f>J29+K29+L29</f>
        <v>5248.65676897561</v>
      </c>
      <c r="N29" s="7">
        <f>C29*Parameters!$K$17+D29*Parameters!$K$18+E29*Parameters!$K$16+I29*Parameters!$K$25+G29*Parameters!$K$30</f>
        <v>3842.0866881939446</v>
      </c>
      <c r="O29" s="7">
        <f>B29*Parameters!$K$19</f>
        <v>4000</v>
      </c>
      <c r="P29" s="7">
        <f>M29-N29-O29</f>
        <v>-2593.4299192183344</v>
      </c>
      <c r="Q29" s="7">
        <f>Parameters!$K$21</f>
        <v>1000</v>
      </c>
      <c r="R29" s="7">
        <f>P29-Q29</f>
        <v>-3593.4299192183344</v>
      </c>
      <c r="S29" s="7">
        <f>IF(A29&lt;1+Parameters!$K$31,0,INDEX($M$5:$M$40,A29-Parameters!$K$31))</f>
        <v>5186.193344603991</v>
      </c>
      <c r="T29" s="7">
        <f>T28+M29-S29</f>
        <v>5248.65676897561</v>
      </c>
      <c r="U29" s="7">
        <f>S29-N29-O29-Q29</f>
        <v>-3655.8933435899535</v>
      </c>
      <c r="V29" s="7">
        <f>V28+U29</f>
        <v>-103355.01812912959</v>
      </c>
      <c r="W29" s="7">
        <f>(1-Parameters!$K$7)*(C29-E29)+(1-Parameters!$K$8)*(D29+E29)</f>
        <v>891.2763256829982</v>
      </c>
      <c r="X29" s="7">
        <f>Parameters!$K$7*(C29-E29)+Parameters!$K$8*Parameters!$K$9*(D29+E29)</f>
        <v>7150.758107149639</v>
      </c>
      <c r="Y29" s="7">
        <f>Parameters!$K$8*(1-Parameters!$K$9)*(D29+E29)</f>
        <v>1838.205295105511</v>
      </c>
      <c r="Z29" s="7">
        <f>POWER(1/(1+Parameters!$K$32),A29-1)*(M29-N29)</f>
        <v>1107.7669514712873</v>
      </c>
    </row>
    <row r="30" spans="1:26">
      <c r="A30" s="7">
        <v>26</v>
      </c>
      <c r="B30" s="7">
        <f>Parameters!$K$20</f>
        <v>1000</v>
      </c>
      <c r="C30" s="7">
        <f>X29+B30</f>
        <v>8150.758107149638</v>
      </c>
      <c r="D30" s="7">
        <f>Y29</f>
        <v>1838.2052951055107</v>
      </c>
      <c r="E30" s="7">
        <f>Parameters!$K$6*C30</f>
        <v>163.01516214299275</v>
      </c>
      <c r="F30" s="7">
        <f>IF(Parameters!$K$5=1,E30,0)</f>
        <v>0.0</v>
      </c>
      <c r="G30" s="7">
        <f>Parameters!$K$27*G29+F30</f>
        <v>0.0</v>
      </c>
      <c r="H30" s="7">
        <f>IF(AND(Parameters!$K$5=1,Parameters!$K$26=1),SUMPRODUCT(--($A$5:A30&lt;A30),--(MOD(A30-$A$5:A30,Parameters!$K$28)=0),$F$5:F30,POWER(Parameters!$K$27,IF(A30-$A$5:A30=0,1,A30-$A$5:A30))),0)</f>
        <v>0.0</v>
      </c>
      <c r="I30" s="7">
        <f>Parameters!$K$23*I29+B30*Parameters!$K$22</f>
        <v>736.4799055342572</v>
      </c>
      <c r="J30" s="7">
        <f>E30*Parameters!$K$14*(1-Parameters!$K$15)</f>
        <v>3097.288080716862</v>
      </c>
      <c r="K30" s="7">
        <f>H30*Parameters!$K$29</f>
        <v>0.0</v>
      </c>
      <c r="L30" s="7">
        <f>I30*Parameters!$K$24</f>
        <v>2209.4397166027716</v>
      </c>
      <c r="M30" s="7">
        <f>J30+K30+L30</f>
        <v>5306.727797319634</v>
      </c>
      <c r="N30" s="7">
        <f>C30*Parameters!$K$17+D30*Parameters!$K$18+E30*Parameters!$K$16+I30*Parameters!$K$25+G30*Parameters!$K$30</f>
        <v>3895.585194607768</v>
      </c>
      <c r="O30" s="7">
        <f>B30*Parameters!$K$19</f>
        <v>4000</v>
      </c>
      <c r="P30" s="7">
        <f>M30-N30-O30</f>
        <v>-2588.8573972881336</v>
      </c>
      <c r="Q30" s="7">
        <f>Parameters!$K$21</f>
        <v>1000</v>
      </c>
      <c r="R30" s="7">
        <f>P30-Q30</f>
        <v>-3588.8573972881336</v>
      </c>
      <c r="S30" s="7">
        <f>IF(A30&lt;1+Parameters!$K$31,0,INDEX($M$5:$M$40,A30-Parameters!$K$31))</f>
        <v>5248.65676897561</v>
      </c>
      <c r="T30" s="7">
        <f>T29+M30-S30</f>
        <v>5306.727797319634</v>
      </c>
      <c r="U30" s="7">
        <f>S30-N30-O30-Q30</f>
        <v>-3646.9284256321575</v>
      </c>
      <c r="V30" s="7">
        <f>V29+U30</f>
        <v>-107001.94655476174</v>
      </c>
      <c r="W30" s="7">
        <f>(1-Parameters!$K$7)*(C30-E30)+(1-Parameters!$K$8)*(D30+E30)</f>
        <v>898.8353173630895</v>
      </c>
      <c r="X30" s="7">
        <f>Parameters!$K$7*(C30-E30)+Parameters!$K$8*Parameters!$K$9*(D30+E30)</f>
        <v>7188.968650505981</v>
      </c>
      <c r="Y30" s="7">
        <f>Parameters!$K$8*(1-Parameters!$K$9)*(D30+E30)</f>
        <v>1901.1594343860781</v>
      </c>
      <c r="Z30" s="7">
        <f>POWER(1/(1+Parameters!$K$32),A30-1)*(M30-N30)</f>
        <v>1100.3644701588273</v>
      </c>
    </row>
    <row r="31" spans="1:26">
      <c r="A31" s="7">
        <v>27</v>
      </c>
      <c r="B31" s="7">
        <f>Parameters!$K$20</f>
        <v>1000</v>
      </c>
      <c r="C31" s="7">
        <f>X30+B31</f>
        <v>8188.968650505981</v>
      </c>
      <c r="D31" s="7">
        <f>Y30</f>
        <v>1901.1594343860781</v>
      </c>
      <c r="E31" s="7">
        <f>Parameters!$K$6*C31</f>
        <v>163.77937301011963</v>
      </c>
      <c r="F31" s="7">
        <f>IF(Parameters!$K$5=1,E31,0)</f>
        <v>0.0</v>
      </c>
      <c r="G31" s="7">
        <f>Parameters!$K$27*G30+F31</f>
        <v>0.0</v>
      </c>
      <c r="H31" s="7">
        <f>IF(AND(Parameters!$K$5=1,Parameters!$K$26=1),SUMPRODUCT(--($A$5:A31&lt;A31),--(MOD(A31-$A$5:A31,Parameters!$K$28)=0),$F$5:F31,POWER(Parameters!$K$27,IF(A31-$A$5:A31=0,1,A31-$A$5:A31))),0)</f>
        <v>0.0</v>
      </c>
      <c r="I31" s="7">
        <f>Parameters!$K$23*I30+B31*Parameters!$K$22</f>
        <v>749.6559102575443</v>
      </c>
      <c r="J31" s="7">
        <f>E31*Parameters!$K$14*(1-Parameters!$K$15)</f>
        <v>3111.8080871922725</v>
      </c>
      <c r="K31" s="7">
        <f>H31*Parameters!$K$29</f>
        <v>0.0</v>
      </c>
      <c r="L31" s="7">
        <f>I31*Parameters!$K$24</f>
        <v>2248.967730772633</v>
      </c>
      <c r="M31" s="7">
        <f>J31+K31+L31</f>
        <v>5360.775817964905</v>
      </c>
      <c r="N31" s="7">
        <f>C31*Parameters!$K$17+D31*Parameters!$K$18+E31*Parameters!$K$16+I31*Parameters!$K$25+G31*Parameters!$K$30</f>
        <v>3945.8776404837254</v>
      </c>
      <c r="O31" s="7">
        <f>B31*Parameters!$K$19</f>
        <v>4000</v>
      </c>
      <c r="P31" s="7">
        <f>M31-N31-O31</f>
        <v>-2585.10182251882</v>
      </c>
      <c r="Q31" s="7">
        <f>Parameters!$K$21</f>
        <v>1000</v>
      </c>
      <c r="R31" s="7">
        <f>P31-Q31</f>
        <v>-3585.10182251882</v>
      </c>
      <c r="S31" s="7">
        <f>IF(A31&lt;1+Parameters!$K$31,0,INDEX($M$5:$M$40,A31-Parameters!$K$31))</f>
        <v>5306.727797319634</v>
      </c>
      <c r="T31" s="7">
        <f>T30+M31-S31</f>
        <v>5360.775817964905</v>
      </c>
      <c r="U31" s="7">
        <f>S31-N31-O31-Q31</f>
        <v>-3639.149843164091</v>
      </c>
      <c r="V31" s="7">
        <f>V30+U31</f>
        <v>-110641.09639792584</v>
      </c>
      <c r="W31" s="7">
        <f>(1-Parameters!$K$7)*(C31-E31)+(1-Parameters!$K$8)*(D31+E31)</f>
        <v>905.7658681193958</v>
      </c>
      <c r="X31" s="7">
        <f>Parameters!$K$7*(C31-E31)+Parameters!$K$8*Parameters!$K$9*(D31+E31)</f>
        <v>7222.670349746276</v>
      </c>
      <c r="Y31" s="7">
        <f>Parameters!$K$8*(1-Parameters!$K$9)*(D31+E31)</f>
        <v>1961.6918670263876</v>
      </c>
      <c r="Z31" s="7">
        <f>POWER(1/(1+Parameters!$K$32),A31-1)*(M31-N31)</f>
        <v>1092.369256286378</v>
      </c>
    </row>
    <row r="32" spans="1:26">
      <c r="A32" s="7">
        <v>28</v>
      </c>
      <c r="B32" s="7">
        <f>Parameters!$K$20</f>
        <v>1000</v>
      </c>
      <c r="C32" s="7">
        <f>X31+B32</f>
        <v>8222.670349746275</v>
      </c>
      <c r="D32" s="7">
        <f>Y31</f>
        <v>1961.6918670263879</v>
      </c>
      <c r="E32" s="7">
        <f>Parameters!$K$6*C32</f>
        <v>164.4534069949255</v>
      </c>
      <c r="F32" s="7">
        <f>IF(Parameters!$K$5=1,E32,0)</f>
        <v>0.0</v>
      </c>
      <c r="G32" s="7">
        <f>Parameters!$K$27*G31+F32</f>
        <v>0.0</v>
      </c>
      <c r="H32" s="7">
        <f>IF(AND(Parameters!$K$5=1,Parameters!$K$26=1),SUMPRODUCT(--($A$5:A32&lt;A32),--(MOD(A32-$A$5:A32,Parameters!$K$28)=0),$F$5:F32,POWER(Parameters!$K$27,IF(A32-$A$5:A32=0,1,A32-$A$5:A32))),0)</f>
        <v>0.0</v>
      </c>
      <c r="I32" s="7">
        <f>Parameters!$K$23*I31+B32*Parameters!$K$22</f>
        <v>762.173114744667</v>
      </c>
      <c r="J32" s="7">
        <f>E32*Parameters!$K$14*(1-Parameters!$K$15)</f>
        <v>3124.6147329035844</v>
      </c>
      <c r="K32" s="7">
        <f>H32*Parameters!$K$29</f>
        <v>0.0</v>
      </c>
      <c r="L32" s="7">
        <f>I32*Parameters!$K$24</f>
        <v>2286.519344234001</v>
      </c>
      <c r="M32" s="7">
        <f>J32+K32+L32</f>
        <v>5411.134077137585</v>
      </c>
      <c r="N32" s="7">
        <f>C32*Parameters!$K$17+D32*Parameters!$K$18+E32*Parameters!$K$16+I32*Parameters!$K$25+G32*Parameters!$K$30</f>
        <v>3993.1870028043354</v>
      </c>
      <c r="O32" s="7">
        <f>B32*Parameters!$K$19</f>
        <v>4000</v>
      </c>
      <c r="P32" s="7">
        <f>M32-N32-O32</f>
        <v>-2582.05292566675</v>
      </c>
      <c r="Q32" s="7">
        <f>Parameters!$K$21</f>
        <v>1000</v>
      </c>
      <c r="R32" s="7">
        <f>P32-Q32</f>
        <v>-3582.05292566675</v>
      </c>
      <c r="S32" s="7">
        <f>IF(A32&lt;1+Parameters!$K$31,0,INDEX($M$5:$M$40,A32-Parameters!$K$31))</f>
        <v>5360.775817964905</v>
      </c>
      <c r="T32" s="7">
        <f>T31+M32-S32</f>
        <v>5411.134077137585</v>
      </c>
      <c r="U32" s="7">
        <f>S32-N32-O32-Q32</f>
        <v>-3632.41118483943</v>
      </c>
      <c r="V32" s="7">
        <f>V31+U32</f>
        <v>-114273.50758276526</v>
      </c>
      <c r="W32" s="7">
        <f>(1-Parameters!$K$7)*(C32-E32)+(1-Parameters!$K$8)*(D32+E32)</f>
        <v>912.1289579762005</v>
      </c>
      <c r="X32" s="7">
        <f>Parameters!$K$7*(C32-E32)+Parameters!$K$8*Parameters!$K$9*(D32+E32)</f>
        <v>7252.395248476214</v>
      </c>
      <c r="Y32" s="7">
        <f>Parameters!$K$8*(1-Parameters!$K$9)*(D32+E32)</f>
        <v>2019.8380103202478</v>
      </c>
      <c r="Z32" s="7">
        <f>POWER(1/(1+Parameters!$K$32),A32-1)*(M32-N32)</f>
        <v>1083.8843078133798</v>
      </c>
    </row>
    <row r="33" spans="1:26">
      <c r="A33" s="7">
        <v>29</v>
      </c>
      <c r="B33" s="7">
        <f>Parameters!$K$20</f>
        <v>1000</v>
      </c>
      <c r="C33" s="7">
        <f>X32+B33</f>
        <v>8252.395248476216</v>
      </c>
      <c r="D33" s="7">
        <f>Y32</f>
        <v>2019.8380103202476</v>
      </c>
      <c r="E33" s="7">
        <f>Parameters!$K$6*C33</f>
        <v>165.0479049695243</v>
      </c>
      <c r="F33" s="7">
        <f>IF(Parameters!$K$5=1,E33,0)</f>
        <v>0.0</v>
      </c>
      <c r="G33" s="7">
        <f>Parameters!$K$27*G32+F33</f>
        <v>0.0</v>
      </c>
      <c r="H33" s="7">
        <f>IF(AND(Parameters!$K$5=1,Parameters!$K$26=1),SUMPRODUCT(--($A$5:A33&lt;A33),--(MOD(A33-$A$5:A33,Parameters!$K$28)=0),$F$5:F33,POWER(Parameters!$K$27,IF(A33-$A$5:A33=0,1,A33-$A$5:A33))),0)</f>
        <v>0.0</v>
      </c>
      <c r="I33" s="7">
        <f>Parameters!$K$23*I32+B33*Parameters!$K$22</f>
        <v>774.0644590074337</v>
      </c>
      <c r="J33" s="7">
        <f>E33*Parameters!$K$14*(1-Parameters!$K$15)</f>
        <v>3135.9101944209615</v>
      </c>
      <c r="K33" s="7">
        <f>H33*Parameters!$K$29</f>
        <v>0.0</v>
      </c>
      <c r="L33" s="7">
        <f>I33*Parameters!$K$24</f>
        <v>2322.1933770223013</v>
      </c>
      <c r="M33" s="7">
        <f>J33+K33+L33</f>
        <v>5458.103571443263</v>
      </c>
      <c r="N33" s="7">
        <f>C33*Parameters!$K$17+D33*Parameters!$K$18+E33*Parameters!$K$16+I33*Parameters!$K$25+G33*Parameters!$K$30</f>
        <v>4037.7177141762295</v>
      </c>
      <c r="O33" s="7">
        <f>B33*Parameters!$K$19</f>
        <v>4000</v>
      </c>
      <c r="P33" s="7">
        <f>M33-N33-O33</f>
        <v>-2579.6141427329667</v>
      </c>
      <c r="Q33" s="7">
        <f>Parameters!$K$21</f>
        <v>1000</v>
      </c>
      <c r="R33" s="7">
        <f>P33-Q33</f>
        <v>-3579.6141427329667</v>
      </c>
      <c r="S33" s="7">
        <f>IF(A33&lt;1+Parameters!$K$31,0,INDEX($M$5:$M$40,A33-Parameters!$K$31))</f>
        <v>5411.134077137585</v>
      </c>
      <c r="T33" s="7">
        <f>T32+M33-S33</f>
        <v>5458.103571443263</v>
      </c>
      <c r="U33" s="7">
        <f>S33-N33-O33-Q33</f>
        <v>-3626.583637038644</v>
      </c>
      <c r="V33" s="7">
        <f>V32+U33</f>
        <v>-117900.0912198039</v>
      </c>
      <c r="W33" s="7">
        <f>(1-Parameters!$K$7)*(C33-E33)+(1-Parameters!$K$8)*(D33+E33)</f>
        <v>917.9790301151575</v>
      </c>
      <c r="X33" s="7">
        <f>Parameters!$K$7*(C33-E33)+Parameters!$K$8*Parameters!$K$9*(D33+E33)</f>
        <v>7278.612609156023</v>
      </c>
      <c r="Y33" s="7">
        <f>Parameters!$K$8*(1-Parameters!$K$9)*(D33+E33)</f>
        <v>2075.641619525283</v>
      </c>
      <c r="Z33" s="7">
        <f>POWER(1/(1+Parameters!$K$32),A33-1)*(M33-N33)</f>
        <v>1074.998537681226</v>
      </c>
    </row>
    <row r="34" spans="1:26">
      <c r="A34" s="7">
        <v>30</v>
      </c>
      <c r="B34" s="7">
        <f>Parameters!$K$20</f>
        <v>1000</v>
      </c>
      <c r="C34" s="7">
        <f>X33+B34</f>
        <v>8278.612609156022</v>
      </c>
      <c r="D34" s="7">
        <f>Y33</f>
        <v>2075.641619525283</v>
      </c>
      <c r="E34" s="7">
        <f>Parameters!$K$6*C34</f>
        <v>165.5722521831204</v>
      </c>
      <c r="F34" s="7">
        <f>IF(Parameters!$K$5=1,E34,0)</f>
        <v>0.0</v>
      </c>
      <c r="G34" s="7">
        <f>Parameters!$K$27*G33+F34</f>
        <v>0.0</v>
      </c>
      <c r="H34" s="7">
        <f>IF(AND(Parameters!$K$5=1,Parameters!$K$26=1),SUMPRODUCT(--($A$5:A34&lt;A34),--(MOD(A34-$A$5:A34,Parameters!$K$28)=0),$F$5:F34,POWER(Parameters!$K$27,IF(A34-$A$5:A34=0,1,A34-$A$5:A34))),0)</f>
        <v>0.0</v>
      </c>
      <c r="I34" s="7">
        <f>Parameters!$K$23*I33+B34*Parameters!$K$22</f>
        <v>785.361236057062</v>
      </c>
      <c r="J34" s="7">
        <f>E34*Parameters!$K$14*(1-Parameters!$K$15)</f>
        <v>3145.8727914792876</v>
      </c>
      <c r="K34" s="7">
        <f>H34*Parameters!$K$29</f>
        <v>0.0</v>
      </c>
      <c r="L34" s="7">
        <f>I34*Parameters!$K$24</f>
        <v>2356.083708171186</v>
      </c>
      <c r="M34" s="7">
        <f>J34+K34+L34</f>
        <v>5501.956499650474</v>
      </c>
      <c r="N34" s="7">
        <f>C34*Parameters!$K$17+D34*Parameters!$K$18+E34*Parameters!$K$16+I34*Parameters!$K$25+G34*Parameters!$K$30</f>
        <v>4079.6574627210994</v>
      </c>
      <c r="O34" s="7">
        <f>B34*Parameters!$K$19</f>
        <v>4000</v>
      </c>
      <c r="P34" s="7">
        <f>M34-N34-O34</f>
        <v>-2577.700963070625</v>
      </c>
      <c r="Q34" s="7">
        <f>Parameters!$K$21</f>
        <v>1000</v>
      </c>
      <c r="R34" s="7">
        <f>P34-Q34</f>
        <v>-3577.700963070625</v>
      </c>
      <c r="S34" s="7">
        <f>IF(A34&lt;1+Parameters!$K$31,0,INDEX($M$5:$M$40,A34-Parameters!$K$31))</f>
        <v>5458.103571443263</v>
      </c>
      <c r="T34" s="7">
        <f>T33+M34-S34</f>
        <v>5501.956499650474</v>
      </c>
      <c r="U34" s="7">
        <f>S34-N34-O34-Q34</f>
        <v>-3621.5538912778366</v>
      </c>
      <c r="V34" s="7">
        <f>V33+U34</f>
        <v>-121521.64511108174</v>
      </c>
      <c r="W34" s="7">
        <f>(1-Parameters!$K$7)*(C34-E34)+(1-Parameters!$K$8)*(D34+E34)</f>
        <v>923.3647292827101</v>
      </c>
      <c r="X34" s="7">
        <f>Parameters!$K$7*(C34-E34)+Parameters!$K$8*Parameters!$K$9*(D34+E34)</f>
        <v>7301.736321275612</v>
      </c>
      <c r="Y34" s="7">
        <f>Parameters!$K$8*(1-Parameters!$K$9)*(D34+E34)</f>
        <v>2129.1531781229833</v>
      </c>
      <c r="Z34" s="7">
        <f>POWER(1/(1+Parameters!$K$32),A34-1)*(M34-N34)</f>
        <v>1065.788613958903</v>
      </c>
    </row>
    <row r="35" spans="1:26">
      <c r="A35" s="7">
        <v>31</v>
      </c>
      <c r="B35" s="7">
        <f>Parameters!$K$20</f>
        <v>1000</v>
      </c>
      <c r="C35" s="7">
        <f>X34+B35</f>
        <v>8301.73632127561</v>
      </c>
      <c r="D35" s="7">
        <f>Y34</f>
        <v>2129.1531781229833</v>
      </c>
      <c r="E35" s="7">
        <f>Parameters!$K$6*C35</f>
        <v>166.03472642551222</v>
      </c>
      <c r="F35" s="7">
        <f>IF(Parameters!$K$5=1,E35,0)</f>
        <v>0.0</v>
      </c>
      <c r="G35" s="7">
        <f>Parameters!$K$27*G34+F35</f>
        <v>0.0</v>
      </c>
      <c r="H35" s="7">
        <f>IF(AND(Parameters!$K$5=1,Parameters!$K$26=1),SUMPRODUCT(--($A$5:A35&lt;A35),--(MOD(A35-$A$5:A35,Parameters!$K$28)=0),$F$5:F35,POWER(Parameters!$K$27,IF(A35-$A$5:A35=0,1,A35-$A$5:A35))),0)</f>
        <v>0.0</v>
      </c>
      <c r="I35" s="7">
        <f>Parameters!$K$23*I34+B35*Parameters!$K$22</f>
        <v>796.0931742542089</v>
      </c>
      <c r="J35" s="7">
        <f>E35*Parameters!$K$14*(1-Parameters!$K$15)</f>
        <v>3154.659802084732</v>
      </c>
      <c r="K35" s="7">
        <f>H35*Parameters!$K$29</f>
        <v>0.0</v>
      </c>
      <c r="L35" s="7">
        <f>I35*Parameters!$K$24</f>
        <v>2388.2795227626266</v>
      </c>
      <c r="M35" s="7">
        <f>J35+K35+L35</f>
        <v>5542.939324847359</v>
      </c>
      <c r="N35" s="7">
        <f>C35*Parameters!$K$17+D35*Parameters!$K$18+E35*Parameters!$K$16+I35*Parameters!$K$25+G35*Parameters!$K$30</f>
        <v>4119.178798996792</v>
      </c>
      <c r="O35" s="7">
        <f>B35*Parameters!$K$19</f>
        <v>4000</v>
      </c>
      <c r="P35" s="7">
        <f>M35-N35-O35</f>
        <v>-2576.2394741494327</v>
      </c>
      <c r="Q35" s="7">
        <f>Parameters!$K$21</f>
        <v>1000</v>
      </c>
      <c r="R35" s="7">
        <f>P35-Q35</f>
        <v>-3576.2394741494327</v>
      </c>
      <c r="S35" s="7">
        <f>IF(A35&lt;1+Parameters!$K$31,0,INDEX($M$5:$M$40,A35-Parameters!$K$31))</f>
        <v>5501.956499650474</v>
      </c>
      <c r="T35" s="7">
        <f>T34+M35-S35</f>
        <v>5542.939324847359</v>
      </c>
      <c r="U35" s="7">
        <f>S35-N35-O35-Q35</f>
        <v>-3617.2222993463174</v>
      </c>
      <c r="V35" s="7">
        <f>V34+U35</f>
        <v>-125138.86741042807</v>
      </c>
      <c r="W35" s="7">
        <f>(1-Parameters!$K$7)*(C35-E35)+(1-Parameters!$K$8)*(D35+E35)</f>
        <v>928.3295547124345</v>
      </c>
      <c r="X35" s="7">
        <f>Parameters!$K$7*(C35-E35)+Parameters!$K$8*Parameters!$K$9*(D35+E35)</f>
        <v>7322.131435365088</v>
      </c>
      <c r="Y35" s="7">
        <f>Parameters!$K$8*(1-Parameters!$K$9)*(D35+E35)</f>
        <v>2180.4285093210706</v>
      </c>
      <c r="Z35" s="7">
        <f>POWER(1/(1+Parameters!$K$32),A35-1)*(M35-N35)</f>
        <v>1056.320563569183</v>
      </c>
    </row>
    <row r="36" spans="1:26">
      <c r="A36" s="7">
        <v>32</v>
      </c>
      <c r="B36" s="7">
        <f>Parameters!$K$20</f>
        <v>1000</v>
      </c>
      <c r="C36" s="7">
        <f>X35+B36</f>
        <v>8322.131435365089</v>
      </c>
      <c r="D36" s="7">
        <f>Y35</f>
        <v>2180.4285093210706</v>
      </c>
      <c r="E36" s="7">
        <f>Parameters!$K$6*C36</f>
        <v>166.44262870730176</v>
      </c>
      <c r="F36" s="7">
        <f>IF(Parameters!$K$5=1,E36,0)</f>
        <v>0.0</v>
      </c>
      <c r="G36" s="7">
        <f>Parameters!$K$27*G35+F36</f>
        <v>0.0</v>
      </c>
      <c r="H36" s="7">
        <f>IF(AND(Parameters!$K$5=1,Parameters!$K$26=1),SUMPRODUCT(--($A$5:A36&lt;A36),--(MOD(A36-$A$5:A36,Parameters!$K$28)=0),$F$5:F36,POWER(Parameters!$K$27,IF(A36-$A$5:A36=0,1,A36-$A$5:A36))),0)</f>
        <v>0.0</v>
      </c>
      <c r="I36" s="7">
        <f>Parameters!$K$23*I35+B36*Parameters!$K$22</f>
        <v>806.2885155414983</v>
      </c>
      <c r="J36" s="7">
        <f>E36*Parameters!$K$14*(1-Parameters!$K$15)</f>
        <v>3162.4099454387333</v>
      </c>
      <c r="K36" s="7">
        <f>H36*Parameters!$K$29</f>
        <v>0.0</v>
      </c>
      <c r="L36" s="7">
        <f>I36*Parameters!$K$24</f>
        <v>2418.865546624495</v>
      </c>
      <c r="M36" s="7">
        <f>J36+K36+L36</f>
        <v>5581.275492063229</v>
      </c>
      <c r="N36" s="7">
        <f>C36*Parameters!$K$17+D36*Parameters!$K$18+E36*Parameters!$K$16+I36*Parameters!$K$25+G36*Parameters!$K$30</f>
        <v>4156.440571748113</v>
      </c>
      <c r="O36" s="7">
        <f>B36*Parameters!$K$19</f>
        <v>4000</v>
      </c>
      <c r="P36" s="7">
        <f>M36-N36-O36</f>
        <v>-2575.1650796848844</v>
      </c>
      <c r="Q36" s="7">
        <f>Parameters!$K$21</f>
        <v>1000</v>
      </c>
      <c r="R36" s="7">
        <f>P36-Q36</f>
        <v>-3575.1650796848844</v>
      </c>
      <c r="S36" s="7">
        <f>IF(A36&lt;1+Parameters!$K$31,0,INDEX($M$5:$M$40,A36-Parameters!$K$31))</f>
        <v>5542.939324847359</v>
      </c>
      <c r="T36" s="7">
        <f>T35+M36-S36</f>
        <v>5581.275492063229</v>
      </c>
      <c r="U36" s="7">
        <f>S36-N36-O36-Q36</f>
        <v>-3613.5012469007543</v>
      </c>
      <c r="V36" s="7">
        <f>V35+U36</f>
        <v>-128752.36865732881</v>
      </c>
      <c r="W36" s="7">
        <f>(1-Parameters!$K$7)*(C36-E36)+(1-Parameters!$K$8)*(D36+E36)</f>
        <v>932.9124375671972</v>
      </c>
      <c r="X36" s="7">
        <f>Parameters!$K$7*(C36-E36)+Parameters!$K$8*Parameters!$K$9*(D36+E36)</f>
        <v>7340.119925992009</v>
      </c>
      <c r="Y36" s="7">
        <f>Parameters!$K$8*(1-Parameters!$K$9)*(D36+E36)</f>
        <v>2229.5275811269535</v>
      </c>
      <c r="Z36" s="7">
        <f>POWER(1/(1+Parameters!$K$32),A36-1)*(M36-N36)</f>
        <v>1046.651169747698</v>
      </c>
    </row>
    <row r="37" spans="1:26">
      <c r="A37" s="7">
        <v>33</v>
      </c>
      <c r="B37" s="7">
        <f>Parameters!$K$20</f>
        <v>1000</v>
      </c>
      <c r="C37" s="7">
        <f>X36+B37</f>
        <v>8340.119925992007</v>
      </c>
      <c r="D37" s="7">
        <f>Y36</f>
        <v>2229.527581126954</v>
      </c>
      <c r="E37" s="7">
        <f>Parameters!$K$6*C37</f>
        <v>166.80239851984015</v>
      </c>
      <c r="F37" s="7">
        <f>IF(Parameters!$K$5=1,E37,0)</f>
        <v>0.0</v>
      </c>
      <c r="G37" s="7">
        <f>Parameters!$K$27*G36+F37</f>
        <v>0.0</v>
      </c>
      <c r="H37" s="7">
        <f>IF(AND(Parameters!$K$5=1,Parameters!$K$26=1),SUMPRODUCT(--($A$5:A37&lt;A37),--(MOD(A37-$A$5:A37,Parameters!$K$28)=0),$F$5:F37,POWER(Parameters!$K$27,IF(A37-$A$5:A37=0,1,A37-$A$5:A37))),0)</f>
        <v>0.0</v>
      </c>
      <c r="I37" s="7">
        <f>Parameters!$K$23*I36+B37*Parameters!$K$22</f>
        <v>815.9740897644234</v>
      </c>
      <c r="J37" s="7">
        <f>E37*Parameters!$K$14*(1-Parameters!$K$15)</f>
        <v>3169.245571876963</v>
      </c>
      <c r="K37" s="7">
        <f>H37*Parameters!$K$29</f>
        <v>0.0</v>
      </c>
      <c r="L37" s="7">
        <f>I37*Parameters!$K$24</f>
        <v>2447.9222692932703</v>
      </c>
      <c r="M37" s="7">
        <f>J37+K37+L37</f>
        <v>5617.167841170233</v>
      </c>
      <c r="N37" s="7">
        <f>C37*Parameters!$K$17+D37*Parameters!$K$18+E37*Parameters!$K$16+I37*Parameters!$K$25+G37*Parameters!$K$30</f>
        <v>4191.589211763131</v>
      </c>
      <c r="O37" s="7">
        <f>B37*Parameters!$K$19</f>
        <v>4000</v>
      </c>
      <c r="P37" s="7">
        <f>M37-N37-O37</f>
        <v>-2574.421370592898</v>
      </c>
      <c r="Q37" s="7">
        <f>Parameters!$K$21</f>
        <v>1000</v>
      </c>
      <c r="R37" s="7">
        <f>P37-Q37</f>
        <v>-3574.421370592898</v>
      </c>
      <c r="S37" s="7">
        <f>IF(A37&lt;1+Parameters!$K$31,0,INDEX($M$5:$M$40,A37-Parameters!$K$31))</f>
        <v>5581.275492063229</v>
      </c>
      <c r="T37" s="7">
        <f>T36+M37-S37</f>
        <v>5617.167841170233</v>
      </c>
      <c r="U37" s="7">
        <f>S37-N37-O37-Q37</f>
        <v>-3610.3137196999023</v>
      </c>
      <c r="V37" s="7">
        <f>V36+U37</f>
        <v>-132362.68237702872</v>
      </c>
      <c r="W37" s="7">
        <f>(1-Parameters!$K$7)*(C37-E37)+(1-Parameters!$K$8)*(D37+E37)</f>
        <v>937.1482517295564</v>
      </c>
      <c r="X37" s="7">
        <f>Parameters!$K$7*(C37-E37)+Parameters!$K$8*Parameters!$K$9*(D37+E37)</f>
        <v>7355.985774724951</v>
      </c>
      <c r="Y37" s="7">
        <f>Parameters!$K$8*(1-Parameters!$K$9)*(D37+E37)</f>
        <v>2276.513480664454</v>
      </c>
      <c r="Z37" s="7">
        <f>POWER(1/(1+Parameters!$K$32),A37-1)*(M37-N37)</f>
        <v>1036.8291895546383</v>
      </c>
    </row>
    <row r="38" spans="1:26">
      <c r="A38" s="7">
        <v>34</v>
      </c>
      <c r="B38" s="7">
        <f>Parameters!$K$20</f>
        <v>1000</v>
      </c>
      <c r="C38" s="7">
        <f>X37+B38</f>
        <v>8355.985774724952</v>
      </c>
      <c r="D38" s="7">
        <f>Y37</f>
        <v>2276.513480664454</v>
      </c>
      <c r="E38" s="7">
        <f>Parameters!$K$6*C38</f>
        <v>167.11971549449902</v>
      </c>
      <c r="F38" s="7">
        <f>IF(Parameters!$K$5=1,E38,0)</f>
        <v>0.0</v>
      </c>
      <c r="G38" s="7">
        <f>Parameters!$K$27*G37+F38</f>
        <v>0.0</v>
      </c>
      <c r="H38" s="7">
        <f>IF(AND(Parameters!$K$5=1,Parameters!$K$26=1),SUMPRODUCT(--($A$5:A38&lt;A38),--(MOD(A38-$A$5:A38,Parameters!$K$28)=0),$F$5:F38,POWER(Parameters!$K$27,IF(A38-$A$5:A38=0,1,A38-$A$5:A38))),0)</f>
        <v>0.0</v>
      </c>
      <c r="I38" s="7">
        <f>Parameters!$K$23*I37+B38*Parameters!$K$22</f>
        <v>825.1753852762022</v>
      </c>
      <c r="J38" s="7">
        <f>E38*Parameters!$K$14*(1-Parameters!$K$15)</f>
        <v>3175.274594395481</v>
      </c>
      <c r="K38" s="7">
        <f>H38*Parameters!$K$29</f>
        <v>0.0</v>
      </c>
      <c r="L38" s="7">
        <f>I38*Parameters!$K$24</f>
        <v>2475.5261558286065</v>
      </c>
      <c r="M38" s="7">
        <f>J38+K38+L38</f>
        <v>5650.800750224087</v>
      </c>
      <c r="N38" s="7">
        <f>C38*Parameters!$K$17+D38*Parameters!$K$18+E38*Parameters!$K$16+I38*Parameters!$K$25+G38*Parameters!$K$30</f>
        <v>4224.759880882312</v>
      </c>
      <c r="O38" s="7">
        <f>B38*Parameters!$K$19</f>
        <v>4000</v>
      </c>
      <c r="P38" s="7">
        <f>M38-N38-O38</f>
        <v>-2573.959130658225</v>
      </c>
      <c r="Q38" s="7">
        <f>Parameters!$K$21</f>
        <v>1000</v>
      </c>
      <c r="R38" s="7">
        <f>P38-Q38</f>
        <v>-3573.959130658225</v>
      </c>
      <c r="S38" s="7">
        <f>IF(A38&lt;1+Parameters!$K$31,0,INDEX($M$5:$M$40,A38-Parameters!$K$31))</f>
        <v>5617.167841170233</v>
      </c>
      <c r="T38" s="7">
        <f>T37+M38-S38</f>
        <v>5650.800750224087</v>
      </c>
      <c r="U38" s="7">
        <f>S38-N38-O38-Q38</f>
        <v>-3607.592039712079</v>
      </c>
      <c r="V38" s="7">
        <f>V37+U38</f>
        <v>-135970.2744167408</v>
      </c>
      <c r="W38" s="7">
        <f>(1-Parameters!$K$7)*(C38-E38)+(1-Parameters!$K$8)*(D38+E38)</f>
        <v>941.0682657309927</v>
      </c>
      <c r="X38" s="7">
        <f>Parameters!$K$7*(C38-E38)+Parameters!$K$8*Parameters!$K$9*(D38+E38)</f>
        <v>7369.979453307407</v>
      </c>
      <c r="Y38" s="7">
        <f>Parameters!$K$8*(1-Parameters!$K$9)*(D38+E38)</f>
        <v>2321.4515363510054</v>
      </c>
      <c r="Z38" s="7">
        <f>POWER(1/(1+Parameters!$K$32),A38-1)*(M38-N38)</f>
        <v>1026.8964144126198</v>
      </c>
    </row>
    <row r="39" spans="1:26">
      <c r="A39" s="7">
        <v>35</v>
      </c>
      <c r="B39" s="7">
        <f>Parameters!$K$20</f>
        <v>1000</v>
      </c>
      <c r="C39" s="7">
        <f>X38+B39</f>
        <v>8369.979453307405</v>
      </c>
      <c r="D39" s="7">
        <f>Y38</f>
        <v>2321.4515363510054</v>
      </c>
      <c r="E39" s="7">
        <f>Parameters!$K$6*C39</f>
        <v>167.39958906614814</v>
      </c>
      <c r="F39" s="7">
        <f>IF(Parameters!$K$5=1,E39,0)</f>
        <v>0.0</v>
      </c>
      <c r="G39" s="7">
        <f>Parameters!$K$27*G38+F39</f>
        <v>0.0</v>
      </c>
      <c r="H39" s="7">
        <f>IF(AND(Parameters!$K$5=1,Parameters!$K$26=1),SUMPRODUCT(--($A$5:A39&lt;A39),--(MOD(A39-$A$5:A39,Parameters!$K$28)=0),$F$5:F39,POWER(Parameters!$K$27,IF(A39-$A$5:A39=0,1,A39-$A$5:A39))),0)</f>
        <v>0.0</v>
      </c>
      <c r="I39" s="7">
        <f>Parameters!$K$23*I38+B39*Parameters!$K$22</f>
        <v>833.9166160123921</v>
      </c>
      <c r="J39" s="7">
        <f>E39*Parameters!$K$14*(1-Parameters!$K$15)</f>
        <v>3180.5921922568145</v>
      </c>
      <c r="K39" s="7">
        <f>H39*Parameters!$K$29</f>
        <v>0.0</v>
      </c>
      <c r="L39" s="7">
        <f>I39*Parameters!$K$24</f>
        <v>2501.749848037176</v>
      </c>
      <c r="M39" s="7">
        <f>J39+K39+L39</f>
        <v>5682.34204029399</v>
      </c>
      <c r="N39" s="7">
        <f>C39*Parameters!$K$17+D39*Parameters!$K$18+E39*Parameters!$K$16+I39*Parameters!$K$25+G39*Parameters!$K$30</f>
        <v>4256.077501240068</v>
      </c>
      <c r="O39" s="7">
        <f>B39*Parameters!$K$19</f>
        <v>4000</v>
      </c>
      <c r="P39" s="7">
        <f>M39-N39-O39</f>
        <v>-2573.735460946078</v>
      </c>
      <c r="Q39" s="7">
        <f>Parameters!$K$21</f>
        <v>1000</v>
      </c>
      <c r="R39" s="7">
        <f>P39-Q39</f>
        <v>-3573.735460946078</v>
      </c>
      <c r="S39" s="7">
        <f>IF(A39&lt;1+Parameters!$K$31,0,INDEX($M$5:$M$40,A39-Parameters!$K$31))</f>
        <v>5650.800750224087</v>
      </c>
      <c r="T39" s="7">
        <f>T38+M39-S39</f>
        <v>5682.34204029399</v>
      </c>
      <c r="U39" s="7">
        <f>S39-N39-O39-Q39</f>
        <v>-3605.276751015981</v>
      </c>
      <c r="V39" s="7">
        <f>V38+U39</f>
        <v>-139575.55116775678</v>
      </c>
      <c r="W39" s="7">
        <f>(1-Parameters!$K$7)*(C39-E39)+(1-Parameters!$K$8)*(D39+E39)</f>
        <v>944.7005426949834</v>
      </c>
      <c r="X39" s="7">
        <f>Parameters!$K$7*(C39-E39)+Parameters!$K$8*Parameters!$K$9*(D39+E39)</f>
        <v>7382.321877817132</v>
      </c>
      <c r="Y39" s="7">
        <f>Parameters!$K$8*(1-Parameters!$K$9)*(D39+E39)</f>
        <v>2364.4085691462956</v>
      </c>
      <c r="Z39" s="7">
        <f>POWER(1/(1+Parameters!$K$32),A39-1)*(M39-N39)</f>
        <v>1016.8885937227873</v>
      </c>
    </row>
    <row r="40" spans="1:26">
      <c r="A40" s="7">
        <v>36</v>
      </c>
      <c r="B40" s="7">
        <f>Parameters!$K$20</f>
        <v>1000</v>
      </c>
      <c r="C40" s="7">
        <f>X39+B40</f>
        <v>8382.321877817132</v>
      </c>
      <c r="D40" s="7">
        <f>Y39</f>
        <v>2364.4085691462956</v>
      </c>
      <c r="E40" s="7">
        <f>Parameters!$K$6*C40</f>
        <v>167.64643755634265</v>
      </c>
      <c r="F40" s="7">
        <f>IF(Parameters!$K$5=1,E40,0)</f>
        <v>0.0</v>
      </c>
      <c r="G40" s="7">
        <f>Parameters!$K$27*G39+F40</f>
        <v>0.0</v>
      </c>
      <c r="H40" s="7">
        <f>IF(AND(Parameters!$K$5=1,Parameters!$K$26=1),SUMPRODUCT(--($A$5:A40&lt;A40),--(MOD(A40-$A$5:A40,Parameters!$K$28)=0),$F$5:F40,POWER(Parameters!$K$27,IF(A40-$A$5:A40=0,1,A40-$A$5:A40))),0)</f>
        <v>0.0</v>
      </c>
      <c r="I40" s="7">
        <f>Parameters!$K$23*I39+B40*Parameters!$K$22</f>
        <v>842.2207852117724</v>
      </c>
      <c r="J40" s="7">
        <f>E40*Parameters!$K$14*(1-Parameters!$K$15)</f>
        <v>3185.2823135705103</v>
      </c>
      <c r="K40" s="7">
        <f>H40*Parameters!$K$29</f>
        <v>0.0</v>
      </c>
      <c r="L40" s="7">
        <f>I40*Parameters!$K$24</f>
        <v>2526.662355635317</v>
      </c>
      <c r="M40" s="7">
        <f>J40+K40+L40</f>
        <v>5711.944669205827</v>
      </c>
      <c r="N40" s="7">
        <f>C40*Parameters!$K$17+D40*Parameters!$K$18+E40*Parameters!$K$16+I40*Parameters!$K$25+G40*Parameters!$K$30</f>
        <v>4285.657678080516</v>
      </c>
      <c r="O40" s="7">
        <f>B40*Parameters!$K$19</f>
        <v>4000</v>
      </c>
      <c r="P40" s="7">
        <f>M40-N40-O40</f>
        <v>-2573.713008874689</v>
      </c>
      <c r="Q40" s="7">
        <f>Parameters!$K$21</f>
        <v>1000</v>
      </c>
      <c r="R40" s="7">
        <f>P40-Q40</f>
        <v>-3573.713008874689</v>
      </c>
      <c r="S40" s="7">
        <f>IF(A40&lt;1+Parameters!$K$31,0,INDEX($M$5:$M$40,A40-Parameters!$K$31))</f>
        <v>5682.34204029399</v>
      </c>
      <c r="T40" s="7">
        <f>T39+M40-S40</f>
        <v>5711.944669205827</v>
      </c>
      <c r="U40" s="7">
        <f>S40-N40-O40-Q40</f>
        <v>-3603.315637786526</v>
      </c>
      <c r="V40" s="7">
        <f>V39+U40</f>
        <v>-143178.8668055433</v>
      </c>
      <c r="W40" s="7">
        <f>(1-Parameters!$K$7)*(C40-E40)+(1-Parameters!$K$8)*(D40+E40)</f>
        <v>948.0702943612108</v>
      </c>
      <c r="X40" s="7">
        <f>Parameters!$K$7*(C40-E40)+Parameters!$K$8*Parameters!$K$9*(D40+E40)</f>
        <v>7393.2078962347105</v>
      </c>
      <c r="Y40" s="7">
        <f>Parameters!$K$8*(1-Parameters!$K$9)*(D40+E40)</f>
        <v>2405.4522563675064</v>
      </c>
      <c r="Z40" s="7">
        <f>POWER(1/(1+Parameters!$K$32),A40-1)*(M40-N40)</f>
        <v>1006.8362390605353</v>
      </c>
    </row>
    <row r="43" spans="1:26">
      <c r="A43" s="1" t="s">
        <v>189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45" customHeight="1">
      <c r="A44" s="4" t="s">
        <v>164</v>
      </c>
      <c r="B44" s="4" t="s">
        <v>165</v>
      </c>
      <c r="C44" s="4" t="s">
        <v>166</v>
      </c>
      <c r="D44" s="4" t="s">
        <v>167</v>
      </c>
      <c r="E44" s="4" t="s">
        <v>168</v>
      </c>
      <c r="F44" s="4" t="s">
        <v>169</v>
      </c>
      <c r="G44" s="4" t="s">
        <v>170</v>
      </c>
      <c r="H44" s="4" t="s">
        <v>171</v>
      </c>
      <c r="I44" s="4" t="s">
        <v>172</v>
      </c>
      <c r="J44" s="4" t="s">
        <v>173</v>
      </c>
      <c r="K44" s="4" t="s">
        <v>174</v>
      </c>
      <c r="L44" s="4" t="s">
        <v>175</v>
      </c>
      <c r="M44" s="4" t="s">
        <v>176</v>
      </c>
      <c r="N44" s="4" t="s">
        <v>177</v>
      </c>
      <c r="O44" s="4" t="s">
        <v>99</v>
      </c>
      <c r="P44" s="4" t="s">
        <v>178</v>
      </c>
      <c r="Q44" s="4" t="s">
        <v>179</v>
      </c>
      <c r="R44" s="4" t="s">
        <v>180</v>
      </c>
      <c r="S44" s="4" t="s">
        <v>181</v>
      </c>
      <c r="T44" s="4" t="s">
        <v>182</v>
      </c>
      <c r="U44" s="4" t="s">
        <v>183</v>
      </c>
      <c r="V44" s="4" t="s">
        <v>184</v>
      </c>
      <c r="W44" s="4" t="s">
        <v>185</v>
      </c>
      <c r="X44" s="4" t="s">
        <v>186</v>
      </c>
      <c r="Y44" s="4" t="s">
        <v>187</v>
      </c>
      <c r="Z44" s="4" t="s">
        <v>188</v>
      </c>
    </row>
    <row r="45" spans="1:26">
      <c r="A45" s="7">
        <v>1</v>
      </c>
      <c r="B45" s="7">
        <f>1</f>
        <v>1</v>
      </c>
      <c r="C45" s="7">
        <f>B45</f>
        <v>1</v>
      </c>
      <c r="D45" s="7">
        <f>0</f>
        <v>0.0</v>
      </c>
      <c r="E45" s="7">
        <f>Parameters!$K$6*C45</f>
        <v>0.02</v>
      </c>
      <c r="F45" s="7">
        <f>IF(Parameters!$K$5=1,E45,0)</f>
        <v>0.0</v>
      </c>
      <c r="G45" s="7">
        <f>F45</f>
        <v>0.0</v>
      </c>
      <c r="H45" s="7">
        <f>IF(AND(Parameters!$K$5=1,Parameters!$K$26=1),SUMPRODUCT(--($A$45:A45&lt;A45),--(MOD(A45-$A$45:A45,Parameters!$K$28)=0),$F$45:F45,POWER(Parameters!$K$27,IF(A45-$A$45:A45=0,1,A45-$A$45:A45))),0)</f>
        <v>0.0</v>
      </c>
      <c r="I45" s="7">
        <f>B45*Parameters!$K$22</f>
        <v>0.05</v>
      </c>
      <c r="J45" s="7">
        <f>E45*Parameters!$K$14*(1-Parameters!$K$15)</f>
        <v>0.38</v>
      </c>
      <c r="K45" s="7">
        <f>H45*Parameters!$K$29</f>
        <v>0.0</v>
      </c>
      <c r="L45" s="7">
        <f>I45*Parameters!$K$24</f>
        <v>0.15000000000000002</v>
      </c>
      <c r="M45" s="7">
        <f>J45+K45+L45</f>
        <v>0.53</v>
      </c>
      <c r="N45" s="7">
        <f>C45*Parameters!$K$17+D45*Parameters!$K$18+E45*Parameters!$K$16+I45*Parameters!$K$25+G45*Parameters!$K$30</f>
        <v>0.34500000000000003</v>
      </c>
      <c r="O45" s="7">
        <f>0</f>
        <v>0</v>
      </c>
      <c r="P45" s="7">
        <f>M45-N45-O45</f>
        <v>0.185</v>
      </c>
      <c r="Q45" s="7">
        <f>0</f>
        <v>0</v>
      </c>
      <c r="R45" s="7">
        <f>P45-Q45</f>
        <v>0.185</v>
      </c>
      <c r="S45" s="7">
        <f>IF(A45&lt;1+Parameters!$K$31,0,INDEX($M$45:$M$80,A45-Parameters!$K$31))</f>
        <v>0.0</v>
      </c>
      <c r="T45" s="7">
        <f>M45-S45</f>
        <v>0.53</v>
      </c>
      <c r="U45" s="7">
        <f>S45-N45-O45-Q45</f>
        <v>-0.34500000000000003</v>
      </c>
      <c r="V45" s="7">
        <f>U45</f>
        <v>-0.34500000000000003</v>
      </c>
      <c r="W45" s="7">
        <f>(1-Parameters!$K$7)*(C45-E45)+(1-Parameters!$K$8)*(D45+E45)</f>
        <v>0.09899999999999998</v>
      </c>
      <c r="X45" s="7">
        <f>Parameters!$K$7*(C45-E45)+Parameters!$K$8*Parameters!$K$9*(D45+E45)</f>
        <v>0.882</v>
      </c>
      <c r="Y45" s="7">
        <f>Parameters!$K$8*(1-Parameters!$K$9)*(D45+E45)</f>
        <v>0.019</v>
      </c>
      <c r="Z45" s="7">
        <f>POWER(1/(1+Parameters!$K$32),A45-1)*(M45-N45)</f>
        <v>0.185</v>
      </c>
    </row>
    <row r="46" spans="1:26">
      <c r="A46" s="7">
        <v>2</v>
      </c>
      <c r="B46" s="7">
        <f>0</f>
        <v>0</v>
      </c>
      <c r="C46" s="7">
        <f>X45+B46</f>
        <v>0.882</v>
      </c>
      <c r="D46" s="7">
        <f>Y45</f>
        <v>0.019</v>
      </c>
      <c r="E46" s="7">
        <f>Parameters!$K$6*C46</f>
        <v>0.01764</v>
      </c>
      <c r="F46" s="7">
        <f>IF(Parameters!$K$5=1,E46,0)</f>
        <v>0.0</v>
      </c>
      <c r="G46" s="7">
        <f>Parameters!$K$27*G45+F46</f>
        <v>0.0</v>
      </c>
      <c r="H46" s="7">
        <f>IF(AND(Parameters!$K$5=1,Parameters!$K$26=1),SUMPRODUCT(--($A$45:A46&lt;A46),--(MOD(A46-$A$45:A46,Parameters!$K$28)=0),$F$45:F46,POWER(Parameters!$K$27,IF(A46-$A$45:A46=0,1,A46-$A$45:A46))),0)</f>
        <v>0.0</v>
      </c>
      <c r="I46" s="7">
        <f>Parameters!$K$23*I45+B46*Parameters!$K$22</f>
        <v>0.0475</v>
      </c>
      <c r="J46" s="7">
        <f>E46*Parameters!$K$14*(1-Parameters!$K$15)</f>
        <v>0.33516</v>
      </c>
      <c r="K46" s="7">
        <f>H46*Parameters!$K$29</f>
        <v>0.0</v>
      </c>
      <c r="L46" s="7">
        <f>I46*Parameters!$K$24</f>
        <v>0.14250000000000002</v>
      </c>
      <c r="M46" s="7">
        <f>J46+K46+L46</f>
        <v>0.47766000000000003</v>
      </c>
      <c r="N46" s="7">
        <f>C46*Parameters!$K$17+D46*Parameters!$K$18+E46*Parameters!$K$16+I46*Parameters!$K$25+G46*Parameters!$K$30</f>
        <v>0.31549</v>
      </c>
      <c r="O46" s="7">
        <f>0</f>
        <v>0</v>
      </c>
      <c r="P46" s="7">
        <f>M46-N46-O46</f>
        <v>0.16217000000000004</v>
      </c>
      <c r="Q46" s="7">
        <f>0</f>
        <v>0</v>
      </c>
      <c r="R46" s="7">
        <f>P46-Q46</f>
        <v>0.16217000000000004</v>
      </c>
      <c r="S46" s="7">
        <f>IF(A46&lt;1+Parameters!$K$31,0,INDEX($M$45:$M$80,A46-Parameters!$K$31))</f>
        <v>0.53</v>
      </c>
      <c r="T46" s="7">
        <f>T45+M46-S46</f>
        <v>0.47766000000000003</v>
      </c>
      <c r="U46" s="7">
        <f>S46-N46-O46-Q46</f>
        <v>0.21451000000000003</v>
      </c>
      <c r="V46" s="7">
        <f>V45+U46</f>
        <v>-0.13049</v>
      </c>
      <c r="W46" s="7">
        <f>(1-Parameters!$K$7)*(C46-E46)+(1-Parameters!$K$8)*(D46+E46)</f>
        <v>0.08826799999999999</v>
      </c>
      <c r="X46" s="7">
        <f>Parameters!$K$7*(C46-E46)+Parameters!$K$8*Parameters!$K$9*(D46+E46)</f>
        <v>0.7779240000000001</v>
      </c>
      <c r="Y46" s="7">
        <f>Parameters!$K$8*(1-Parameters!$K$9)*(D46+E46)</f>
        <v>0.034808</v>
      </c>
      <c r="Z46" s="7">
        <f>POWER(1/(1+Parameters!$K$32),A46-1)*(M46-N46)</f>
        <v>0.1605643564356436</v>
      </c>
    </row>
    <row r="47" spans="1:26">
      <c r="A47" s="7">
        <v>3</v>
      </c>
      <c r="B47" s="7">
        <f>0</f>
        <v>0</v>
      </c>
      <c r="C47" s="7">
        <f>X46+B47</f>
        <v>0.7779240000000001</v>
      </c>
      <c r="D47" s="7">
        <f>Y46</f>
        <v>0.034808</v>
      </c>
      <c r="E47" s="7">
        <f>Parameters!$K$6*C47</f>
        <v>0.015558480000000001</v>
      </c>
      <c r="F47" s="7">
        <f>IF(Parameters!$K$5=1,E47,0)</f>
        <v>0.0</v>
      </c>
      <c r="G47" s="7">
        <f>Parameters!$K$27*G46+F47</f>
        <v>0.0</v>
      </c>
      <c r="H47" s="7">
        <f>IF(AND(Parameters!$K$5=1,Parameters!$K$26=1),SUMPRODUCT(--($A$45:A47&lt;A47),--(MOD(A47-$A$45:A47,Parameters!$K$28)=0),$F$45:F47,POWER(Parameters!$K$27,IF(A47-$A$45:A47=0,1,A47-$A$45:A47))),0)</f>
        <v>0.0</v>
      </c>
      <c r="I47" s="7">
        <f>Parameters!$K$23*I46+B47*Parameters!$K$22</f>
        <v>0.045125</v>
      </c>
      <c r="J47" s="7">
        <f>E47*Parameters!$K$14*(1-Parameters!$K$15)</f>
        <v>0.29561112</v>
      </c>
      <c r="K47" s="7">
        <f>H47*Parameters!$K$29</f>
        <v>0.0</v>
      </c>
      <c r="L47" s="7">
        <f>I47*Parameters!$K$24</f>
        <v>0.135375</v>
      </c>
      <c r="M47" s="7">
        <f>J47+K47+L47</f>
        <v>0.43098612000000003</v>
      </c>
      <c r="N47" s="7">
        <f>C47*Parameters!$K$17+D47*Parameters!$K$18+E47*Parameters!$K$16+I47*Parameters!$K$25+G47*Parameters!$K$30</f>
        <v>0.28890217999999995</v>
      </c>
      <c r="O47" s="7">
        <f>0</f>
        <v>0</v>
      </c>
      <c r="P47" s="7">
        <f>M47-N47-O47</f>
        <v>0.14208394000000008</v>
      </c>
      <c r="Q47" s="7">
        <f>0</f>
        <v>0</v>
      </c>
      <c r="R47" s="7">
        <f>P47-Q47</f>
        <v>0.14208394000000008</v>
      </c>
      <c r="S47" s="7">
        <f>IF(A47&lt;1+Parameters!$K$31,0,INDEX($M$45:$M$80,A47-Parameters!$K$31))</f>
        <v>0.47766000000000003</v>
      </c>
      <c r="T47" s="7">
        <f>T46+M47-S47</f>
        <v>0.43098612000000003</v>
      </c>
      <c r="U47" s="7">
        <f>S47-N47-O47-Q47</f>
        <v>0.18875782000000008</v>
      </c>
      <c r="V47" s="7">
        <f>V46+U47</f>
        <v>0.05826782000000008</v>
      </c>
      <c r="W47" s="7">
        <f>(1-Parameters!$K$7)*(C47-E47)+(1-Parameters!$K$8)*(D47+E47)</f>
        <v>0.07875487599999999</v>
      </c>
      <c r="X47" s="7">
        <f>Parameters!$K$7*(C47-E47)+Parameters!$K$8*Parameters!$K$9*(D47+E47)</f>
        <v>0.686128968</v>
      </c>
      <c r="Y47" s="7">
        <f>Parameters!$K$8*(1-Parameters!$K$9)*(D47+E47)</f>
        <v>0.047848155999999996</v>
      </c>
      <c r="Z47" s="7">
        <f>POWER(1/(1+Parameters!$K$32),A47-1)*(M47-N47)</f>
        <v>0.13928432506617006</v>
      </c>
    </row>
    <row r="48" spans="1:26">
      <c r="A48" s="7">
        <v>4</v>
      </c>
      <c r="B48" s="7">
        <f>0</f>
        <v>0</v>
      </c>
      <c r="C48" s="7">
        <f>X47+B48</f>
        <v>0.686128968</v>
      </c>
      <c r="D48" s="7">
        <f>Y47</f>
        <v>0.047848155999999996</v>
      </c>
      <c r="E48" s="7">
        <f>Parameters!$K$6*C48</f>
        <v>0.01372257936</v>
      </c>
      <c r="F48" s="7">
        <f>IF(Parameters!$K$5=1,E48,0)</f>
        <v>0.0</v>
      </c>
      <c r="G48" s="7">
        <f>Parameters!$K$27*G47+F48</f>
        <v>0.0</v>
      </c>
      <c r="H48" s="7">
        <f>IF(AND(Parameters!$K$5=1,Parameters!$K$26=1),SUMPRODUCT(--($A$45:A48&lt;A48),--(MOD(A48-$A$45:A48,Parameters!$K$28)=0),$F$45:F48,POWER(Parameters!$K$27,IF(A48-$A$45:A48=0,1,A48-$A$45:A48))),0)</f>
        <v>0.0</v>
      </c>
      <c r="I48" s="7">
        <f>Parameters!$K$23*I47+B48*Parameters!$K$22</f>
        <v>0.04286875</v>
      </c>
      <c r="J48" s="7">
        <f>E48*Parameters!$K$14*(1-Parameters!$K$15)</f>
        <v>0.26072900784</v>
      </c>
      <c r="K48" s="7">
        <f>H48*Parameters!$K$29</f>
        <v>0.0</v>
      </c>
      <c r="L48" s="7">
        <f>I48*Parameters!$K$24</f>
        <v>0.12860624999999998</v>
      </c>
      <c r="M48" s="7">
        <f>J48+K48+L48</f>
        <v>0.38933525784</v>
      </c>
      <c r="N48" s="7">
        <f>C48*Parameters!$K$17+D48*Parameters!$K$18+E48*Parameters!$K$16+I48*Parameters!$K$25+G48*Parameters!$K$30</f>
        <v>0.26491972276</v>
      </c>
      <c r="O48" s="7">
        <f>0</f>
        <v>0</v>
      </c>
      <c r="P48" s="7">
        <f>M48-N48-O48</f>
        <v>0.12441553508000003</v>
      </c>
      <c r="Q48" s="7">
        <f>0</f>
        <v>0</v>
      </c>
      <c r="R48" s="7">
        <f>P48-Q48</f>
        <v>0.12441553508000003</v>
      </c>
      <c r="S48" s="7">
        <f>IF(A48&lt;1+Parameters!$K$31,0,INDEX($M$45:$M$80,A48-Parameters!$K$31))</f>
        <v>0.43098612000000003</v>
      </c>
      <c r="T48" s="7">
        <f>T47+M48-S48</f>
        <v>0.38933525784</v>
      </c>
      <c r="U48" s="7">
        <f>S48-N48-O48-Q48</f>
        <v>0.16606639724000005</v>
      </c>
      <c r="V48" s="7">
        <f>V47+U48</f>
        <v>0.22433421724000013</v>
      </c>
      <c r="W48" s="7">
        <f>(1-Parameters!$K$7)*(C48-E48)+(1-Parameters!$K$8)*(D48+E48)</f>
        <v>0.07031917563199999</v>
      </c>
      <c r="X48" s="7">
        <f>Parameters!$K$7*(C48-E48)+Parameters!$K$8*Parameters!$K$9*(D48+E48)</f>
        <v>0.605165749776</v>
      </c>
      <c r="Y48" s="7">
        <f>Parameters!$K$8*(1-Parameters!$K$9)*(D48+E48)</f>
        <v>0.05849219859199999</v>
      </c>
      <c r="Z48" s="7">
        <f>POWER(1/(1+Parameters!$K$32),A48-1)*(M48-N48)</f>
        <v>0.12075649259779427</v>
      </c>
    </row>
    <row r="49" spans="1:26">
      <c r="A49" s="7">
        <v>5</v>
      </c>
      <c r="B49" s="7">
        <f>0</f>
        <v>0</v>
      </c>
      <c r="C49" s="7">
        <f>X48+B49</f>
        <v>0.605165749776</v>
      </c>
      <c r="D49" s="7">
        <f>Y48</f>
        <v>0.05849219859199999</v>
      </c>
      <c r="E49" s="7">
        <f>Parameters!$K$6*C49</f>
        <v>0.01210331499552</v>
      </c>
      <c r="F49" s="7">
        <f>IF(Parameters!$K$5=1,E49,0)</f>
        <v>0.0</v>
      </c>
      <c r="G49" s="7">
        <f>Parameters!$K$27*G48+F49</f>
        <v>0.0</v>
      </c>
      <c r="H49" s="7">
        <f>IF(AND(Parameters!$K$5=1,Parameters!$K$26=1),SUMPRODUCT(--($A$45:A49&lt;A49),--(MOD(A49-$A$45:A49,Parameters!$K$28)=0),$F$45:F49,POWER(Parameters!$K$27,IF(A49-$A$45:A49=0,1,A49-$A$45:A49))),0)</f>
        <v>0.0</v>
      </c>
      <c r="I49" s="7">
        <f>Parameters!$K$23*I48+B49*Parameters!$K$22</f>
        <v>0.04072531249999999</v>
      </c>
      <c r="J49" s="7">
        <f>E49*Parameters!$K$14*(1-Parameters!$K$15)</f>
        <v>0.22996298491488001</v>
      </c>
      <c r="K49" s="7">
        <f>H49*Parameters!$K$29</f>
        <v>0.0</v>
      </c>
      <c r="L49" s="7">
        <f>I49*Parameters!$K$24</f>
        <v>0.12217593749999997</v>
      </c>
      <c r="M49" s="7">
        <f>J49+K49+L49</f>
        <v>0.35213892241488</v>
      </c>
      <c r="N49" s="7">
        <f>C49*Parameters!$K$17+D49*Parameters!$K$18+E49*Parameters!$K$16+I49*Parameters!$K$25+G49*Parameters!$K$30</f>
        <v>0.24326179547432</v>
      </c>
      <c r="O49" s="7">
        <f>0</f>
        <v>0</v>
      </c>
      <c r="P49" s="7">
        <f>M49-N49-O49</f>
        <v>0.10887712694055998</v>
      </c>
      <c r="Q49" s="7">
        <f>0</f>
        <v>0</v>
      </c>
      <c r="R49" s="7">
        <f>P49-Q49</f>
        <v>0.10887712694055998</v>
      </c>
      <c r="S49" s="7">
        <f>IF(A49&lt;1+Parameters!$K$31,0,INDEX($M$45:$M$80,A49-Parameters!$K$31))</f>
        <v>0.38933525784</v>
      </c>
      <c r="T49" s="7">
        <f>T48+M49-S49</f>
        <v>0.35213892241488</v>
      </c>
      <c r="U49" s="7">
        <f>S49-N49-O49-Q49</f>
        <v>0.14607346236568</v>
      </c>
      <c r="V49" s="7">
        <f>V48+U49</f>
        <v>0.3704076796056801</v>
      </c>
      <c r="W49" s="7">
        <f>(1-Parameters!$K$7)*(C49-E49)+(1-Parameters!$K$8)*(D49+E49)</f>
        <v>0.062836019157424</v>
      </c>
      <c r="X49" s="7">
        <f>Parameters!$K$7*(C49-E49)+Parameters!$K$8*Parameters!$K$9*(D49+E49)</f>
        <v>0.533756191302432</v>
      </c>
      <c r="Y49" s="7">
        <f>Parameters!$K$8*(1-Parameters!$K$9)*(D49+E49)</f>
        <v>0.06706573790814399</v>
      </c>
      <c r="Z49" s="7">
        <f>POWER(1/(1+Parameters!$K$32),A49-1)*(M49-N49)</f>
        <v>0.10462877895363865</v>
      </c>
    </row>
    <row r="50" spans="1:26">
      <c r="A50" s="7">
        <v>6</v>
      </c>
      <c r="B50" s="7">
        <f>0</f>
        <v>0</v>
      </c>
      <c r="C50" s="7">
        <f>X49+B50</f>
        <v>0.533756191302432</v>
      </c>
      <c r="D50" s="7">
        <f>Y49</f>
        <v>0.06706573790814399</v>
      </c>
      <c r="E50" s="7">
        <f>Parameters!$K$6*C50</f>
        <v>0.01067512382604864</v>
      </c>
      <c r="F50" s="7">
        <f>IF(Parameters!$K$5=1,E50,0)</f>
        <v>0.0</v>
      </c>
      <c r="G50" s="7">
        <f>Parameters!$K$27*G49+F50</f>
        <v>0.0</v>
      </c>
      <c r="H50" s="7">
        <f>IF(AND(Parameters!$K$5=1,Parameters!$K$26=1),SUMPRODUCT(--($A$45:A50&lt;A50),--(MOD(A50-$A$45:A50,Parameters!$K$28)=0),$F$45:F50,POWER(Parameters!$K$27,IF(A50-$A$45:A50=0,1,A50-$A$45:A50))),0)</f>
        <v>0.0</v>
      </c>
      <c r="I50" s="7">
        <f>Parameters!$K$23*I49+B50*Parameters!$K$22</f>
        <v>0.038689046874999994</v>
      </c>
      <c r="J50" s="7">
        <f>E50*Parameters!$K$14*(1-Parameters!$K$15)</f>
        <v>0.20282735269492416</v>
      </c>
      <c r="K50" s="7">
        <f>H50*Parameters!$K$29</f>
        <v>0.0</v>
      </c>
      <c r="L50" s="7">
        <f>I50*Parameters!$K$24</f>
        <v>0.11606714062499998</v>
      </c>
      <c r="M50" s="7">
        <f>J50+K50+L50</f>
        <v>0.31889449331992414</v>
      </c>
      <c r="N50" s="7">
        <f>C50*Parameters!$K$17+D50*Parameters!$K$18+E50*Parameters!$K$16+I50*Parameters!$K$25+G50*Parameters!$K$30</f>
        <v>0.22367937360835022</v>
      </c>
      <c r="O50" s="7">
        <f>0</f>
        <v>0</v>
      </c>
      <c r="P50" s="7">
        <f>M50-N50-O50</f>
        <v>0.09521511971157393</v>
      </c>
      <c r="Q50" s="7">
        <f>0</f>
        <v>0</v>
      </c>
      <c r="R50" s="7">
        <f>P50-Q50</f>
        <v>0.09521511971157393</v>
      </c>
      <c r="S50" s="7">
        <f>IF(A50&lt;1+Parameters!$K$31,0,INDEX($M$45:$M$80,A50-Parameters!$K$31))</f>
        <v>0.35213892241488</v>
      </c>
      <c r="T50" s="7">
        <f>T49+M50-S50</f>
        <v>0.31889449331992414</v>
      </c>
      <c r="U50" s="7">
        <f>S50-N50-O50-Q50</f>
        <v>0.12845954880652977</v>
      </c>
      <c r="V50" s="7">
        <f>V49+U50</f>
        <v>0.4988672284122099</v>
      </c>
      <c r="W50" s="7">
        <f>(1-Parameters!$K$7)*(C50-E50)+(1-Parameters!$K$8)*(D50+E50)</f>
        <v>0.05619514983434796</v>
      </c>
      <c r="X50" s="7">
        <f>Parameters!$K$7*(C50-E50)+Parameters!$K$8*Parameters!$K$9*(D50+E50)</f>
        <v>0.4707729607287451</v>
      </c>
      <c r="Y50" s="7">
        <f>Parameters!$K$8*(1-Parameters!$K$9)*(D50+E50)</f>
        <v>0.073853818647483</v>
      </c>
      <c r="Z50" s="7">
        <f>POWER(1/(1+Parameters!$K$32),A50-1)*(M50-N50)</f>
        <v>0.09059391934693159</v>
      </c>
    </row>
    <row r="51" spans="1:26">
      <c r="A51" s="7">
        <v>7</v>
      </c>
      <c r="B51" s="7">
        <f>0</f>
        <v>0</v>
      </c>
      <c r="C51" s="7">
        <f>X50+B51</f>
        <v>0.470772960728745</v>
      </c>
      <c r="D51" s="7">
        <f>Y50</f>
        <v>0.073853818647483</v>
      </c>
      <c r="E51" s="7">
        <f>Parameters!$K$6*C51</f>
        <v>0.0094154592145749</v>
      </c>
      <c r="F51" s="7">
        <f>IF(Parameters!$K$5=1,E51,0)</f>
        <v>0.0</v>
      </c>
      <c r="G51" s="7">
        <f>Parameters!$K$27*G50+F51</f>
        <v>0.0</v>
      </c>
      <c r="H51" s="7">
        <f>IF(AND(Parameters!$K$5=1,Parameters!$K$26=1),SUMPRODUCT(--($A$45:A51&lt;A51),--(MOD(A51-$A$45:A51,Parameters!$K$28)=0),$F$45:F51,POWER(Parameters!$K$27,IF(A51-$A$45:A51=0,1,A51-$A$45:A51))),0)</f>
        <v>0.0</v>
      </c>
      <c r="I51" s="7">
        <f>Parameters!$K$23*I50+B51*Parameters!$K$22</f>
        <v>0.03675459453124999</v>
      </c>
      <c r="J51" s="7">
        <f>E51*Parameters!$K$14*(1-Parameters!$K$15)</f>
        <v>0.1788937250769231</v>
      </c>
      <c r="K51" s="7">
        <f>H51*Parameters!$K$29</f>
        <v>0.0</v>
      </c>
      <c r="L51" s="7">
        <f>I51*Parameters!$K$24</f>
        <v>0.11026378359374997</v>
      </c>
      <c r="M51" s="7">
        <f>J51+K51+L51</f>
        <v>0.2891575086706731</v>
      </c>
      <c r="N51" s="7">
        <f>C51*Parameters!$K$17+D51*Parameters!$K$18+E51*Parameters!$K$16+I51*Parameters!$K$25+G51*Parameters!$K$30</f>
        <v>0.20595155402256493</v>
      </c>
      <c r="O51" s="7">
        <f>0</f>
        <v>0</v>
      </c>
      <c r="P51" s="7">
        <f>M51-N51-O51</f>
        <v>0.08320595464810815</v>
      </c>
      <c r="Q51" s="7">
        <f>0</f>
        <v>0</v>
      </c>
      <c r="R51" s="7">
        <f>P51-Q51</f>
        <v>0.08320595464810815</v>
      </c>
      <c r="S51" s="7">
        <f>IF(A51&lt;1+Parameters!$K$31,0,INDEX($M$45:$M$80,A51-Parameters!$K$31))</f>
        <v>0.31889449331992414</v>
      </c>
      <c r="T51" s="7">
        <f>T50+M51-S51</f>
        <v>0.2891575086706731</v>
      </c>
      <c r="U51" s="7">
        <f>S51-N51-O51-Q51</f>
        <v>0.11294293929735921</v>
      </c>
      <c r="V51" s="7">
        <f>V50+U51</f>
        <v>0.6118101677095691</v>
      </c>
      <c r="W51" s="7">
        <f>(1-Parameters!$K$7)*(C51-E51)+(1-Parameters!$K$8)*(D51+E51)</f>
        <v>0.050299214044519897</v>
      </c>
      <c r="X51" s="7">
        <f>Parameters!$K$7*(C51-E51)+Parameters!$K$8*Parameters!$K$9*(D51+E51)</f>
        <v>0.4152217513627531</v>
      </c>
      <c r="Y51" s="7">
        <f>Parameters!$K$8*(1-Parameters!$K$9)*(D51+E51)</f>
        <v>0.079105813968955</v>
      </c>
      <c r="Z51" s="7">
        <f>POWER(1/(1+Parameters!$K$32),A51-1)*(M51-N51)</f>
        <v>0.0783837731210279</v>
      </c>
    </row>
    <row r="52" spans="1:26">
      <c r="A52" s="7">
        <v>8</v>
      </c>
      <c r="B52" s="7">
        <f>0</f>
        <v>0</v>
      </c>
      <c r="C52" s="7">
        <f>X51+B52</f>
        <v>0.41522175136275313</v>
      </c>
      <c r="D52" s="7">
        <f>Y51</f>
        <v>0.07910581396895501</v>
      </c>
      <c r="E52" s="7">
        <f>Parameters!$K$6*C52</f>
        <v>0.008304435027255063</v>
      </c>
      <c r="F52" s="7">
        <f>IF(Parameters!$K$5=1,E52,0)</f>
        <v>0.0</v>
      </c>
      <c r="G52" s="7">
        <f>Parameters!$K$27*G51+F52</f>
        <v>0.0</v>
      </c>
      <c r="H52" s="7">
        <f>IF(AND(Parameters!$K$5=1,Parameters!$K$26=1),SUMPRODUCT(--($A$45:A52&lt;A52),--(MOD(A52-$A$45:A52,Parameters!$K$28)=0),$F$45:F52,POWER(Parameters!$K$27,IF(A52-$A$45:A52=0,1,A52-$A$45:A52))),0)</f>
        <v>0.0</v>
      </c>
      <c r="I52" s="7">
        <f>Parameters!$K$23*I51+B52*Parameters!$K$22</f>
        <v>0.03491686480468749</v>
      </c>
      <c r="J52" s="7">
        <f>E52*Parameters!$K$14*(1-Parameters!$K$15)</f>
        <v>0.15778426551784622</v>
      </c>
      <c r="K52" s="7">
        <f>H52*Parameters!$K$29</f>
        <v>0.0</v>
      </c>
      <c r="L52" s="7">
        <f>I52*Parameters!$K$24</f>
        <v>0.10475059441406247</v>
      </c>
      <c r="M52" s="7">
        <f>J52+K52+L52</f>
        <v>0.26253485993190867</v>
      </c>
      <c r="N52" s="7">
        <f>C52*Parameters!$K$17+D52*Parameters!$K$18+E52*Parameters!$K$16+I52*Parameters!$K$25+G52*Parameters!$K$30</f>
        <v>0.18988229982290222</v>
      </c>
      <c r="O52" s="7">
        <f>0</f>
        <v>0</v>
      </c>
      <c r="P52" s="7">
        <f>M52-N52-O52</f>
        <v>0.07265256010900645</v>
      </c>
      <c r="Q52" s="7">
        <f>0</f>
        <v>0</v>
      </c>
      <c r="R52" s="7">
        <f>P52-Q52</f>
        <v>0.07265256010900645</v>
      </c>
      <c r="S52" s="7">
        <f>IF(A52&lt;1+Parameters!$K$31,0,INDEX($M$45:$M$80,A52-Parameters!$K$31))</f>
        <v>0.2891575086706731</v>
      </c>
      <c r="T52" s="7">
        <f>T51+M52-S52</f>
        <v>0.26253485993190867</v>
      </c>
      <c r="U52" s="7">
        <f>S52-N52-O52-Q52</f>
        <v>0.09927520884777086</v>
      </c>
      <c r="V52" s="7">
        <f>V51+U52</f>
        <v>0.7110853765573399</v>
      </c>
      <c r="W52" s="7">
        <f>(1-Parameters!$K$7)*(C52-E52)+(1-Parameters!$K$8)*(D52+E52)</f>
        <v>0.045062244083360306</v>
      </c>
      <c r="X52" s="7">
        <f>Parameters!$K$7*(C52-E52)+Parameters!$K$8*Parameters!$K$9*(D52+E52)</f>
        <v>0.36622558470194827</v>
      </c>
      <c r="Y52" s="7">
        <f>Parameters!$K$8*(1-Parameters!$K$9)*(D52+E52)</f>
        <v>0.08303973654639957</v>
      </c>
      <c r="Z52" s="7">
        <f>POWER(1/(1+Parameters!$K$32),A52-1)*(M52-N52)</f>
        <v>0.06776435453436572</v>
      </c>
    </row>
    <row r="53" spans="1:26">
      <c r="A53" s="7">
        <v>9</v>
      </c>
      <c r="B53" s="7">
        <f>0</f>
        <v>0</v>
      </c>
      <c r="C53" s="7">
        <f>X52+B53</f>
        <v>0.36622558470194827</v>
      </c>
      <c r="D53" s="7">
        <f>Y52</f>
        <v>0.08303973654639957</v>
      </c>
      <c r="E53" s="7">
        <f>Parameters!$K$6*C53</f>
        <v>0.007324511694038966</v>
      </c>
      <c r="F53" s="7">
        <f>IF(Parameters!$K$5=1,E53,0)</f>
        <v>0.0</v>
      </c>
      <c r="G53" s="7">
        <f>Parameters!$K$27*G52+F53</f>
        <v>0.0</v>
      </c>
      <c r="H53" s="7">
        <f>IF(AND(Parameters!$K$5=1,Parameters!$K$26=1),SUMPRODUCT(--($A$45:A53&lt;A53),--(MOD(A53-$A$45:A53,Parameters!$K$28)=0),$F$45:F53,POWER(Parameters!$K$27,IF(A53-$A$45:A53=0,1,A53-$A$45:A53))),0)</f>
        <v>0.0</v>
      </c>
      <c r="I53" s="7">
        <f>Parameters!$K$23*I52+B53*Parameters!$K$22</f>
        <v>0.03317102156445311</v>
      </c>
      <c r="J53" s="7">
        <f>E53*Parameters!$K$14*(1-Parameters!$K$15)</f>
        <v>0.13916572218674034</v>
      </c>
      <c r="K53" s="7">
        <f>H53*Parameters!$K$29</f>
        <v>0.0</v>
      </c>
      <c r="L53" s="7">
        <f>I53*Parameters!$K$24</f>
        <v>0.09951306469335933</v>
      </c>
      <c r="M53" s="7">
        <f>J53+K53+L53</f>
        <v>0.23867878688009966</v>
      </c>
      <c r="N53" s="7">
        <f>C53*Parameters!$K$17+D53*Parameters!$K$18+E53*Parameters!$K$16+I53*Parameters!$K$25+G53*Parameters!$K$30</f>
        <v>0.1752975661600498</v>
      </c>
      <c r="O53" s="7">
        <f>0</f>
        <v>0</v>
      </c>
      <c r="P53" s="7">
        <f>M53-N53-O53</f>
        <v>0.06338122072004987</v>
      </c>
      <c r="Q53" s="7">
        <f>0</f>
        <v>0</v>
      </c>
      <c r="R53" s="7">
        <f>P53-Q53</f>
        <v>0.06338122072004987</v>
      </c>
      <c r="S53" s="7">
        <f>IF(A53&lt;1+Parameters!$K$31,0,INDEX($M$45:$M$80,A53-Parameters!$K$31))</f>
        <v>0.26253485993190867</v>
      </c>
      <c r="T53" s="7">
        <f>T52+M53-S53</f>
        <v>0.23867878688009966</v>
      </c>
      <c r="U53" s="7">
        <f>S53-N53-O53-Q53</f>
        <v>0.08723729377185888</v>
      </c>
      <c r="V53" s="7">
        <f>V52+U53</f>
        <v>0.7983226703291988</v>
      </c>
      <c r="W53" s="7">
        <f>(1-Parameters!$K$7)*(C53-E53)+(1-Parameters!$K$8)*(D53+E53)</f>
        <v>0.040408319712812855</v>
      </c>
      <c r="X53" s="7">
        <f>Parameters!$K$7*(C53-E53)+Parameters!$K$8*Parameters!$K$9*(D53+E53)</f>
        <v>0.3230109657071184</v>
      </c>
      <c r="Y53" s="7">
        <f>Parameters!$K$8*(1-Parameters!$K$9)*(D53+E53)</f>
        <v>0.08584603582841661</v>
      </c>
      <c r="Z53" s="7">
        <f>POWER(1/(1+Parameters!$K$32),A53-1)*(M53-N53)</f>
        <v>0.05853149395541435</v>
      </c>
    </row>
    <row r="54" spans="1:26">
      <c r="A54" s="7">
        <v>10</v>
      </c>
      <c r="B54" s="7">
        <f>0</f>
        <v>0</v>
      </c>
      <c r="C54" s="7">
        <f>X53+B54</f>
        <v>0.3230109657071184</v>
      </c>
      <c r="D54" s="7">
        <f>Y53</f>
        <v>0.0858460358284166</v>
      </c>
      <c r="E54" s="7">
        <f>Parameters!$K$6*C54</f>
        <v>0.006460219314142368</v>
      </c>
      <c r="F54" s="7">
        <f>IF(Parameters!$K$5=1,E54,0)</f>
        <v>0.0</v>
      </c>
      <c r="G54" s="7">
        <f>Parameters!$K$27*G53+F54</f>
        <v>0.0</v>
      </c>
      <c r="H54" s="7">
        <f>IF(AND(Parameters!$K$5=1,Parameters!$K$26=1),SUMPRODUCT(--($A$45:A54&lt;A54),--(MOD(A54-$A$45:A54,Parameters!$K$28)=0),$F$45:F54,POWER(Parameters!$K$27,IF(A54-$A$45:A54=0,1,A54-$A$45:A54))),0)</f>
        <v>0.0</v>
      </c>
      <c r="I54" s="7">
        <f>Parameters!$K$23*I53+B54*Parameters!$K$22</f>
        <v>0.03151247048623045</v>
      </c>
      <c r="J54" s="7">
        <f>E54*Parameters!$K$14*(1-Parameters!$K$15)</f>
        <v>0.12274416696870499</v>
      </c>
      <c r="K54" s="7">
        <f>H54*Parameters!$K$29</f>
        <v>0.0</v>
      </c>
      <c r="L54" s="7">
        <f>I54*Parameters!$K$24</f>
        <v>0.09453741145869135</v>
      </c>
      <c r="M54" s="7">
        <f>J54+K54+L54</f>
        <v>0.21728157842739634</v>
      </c>
      <c r="N54" s="7">
        <f>C54*Parameters!$K$17+D54*Parameters!$K$18+E54*Parameters!$K$16+I54*Parameters!$K$25+G54*Parameters!$K$30</f>
        <v>0.16204276218360142</v>
      </c>
      <c r="O54" s="7">
        <f>0</f>
        <v>0</v>
      </c>
      <c r="P54" s="7">
        <f>M54-N54-O54</f>
        <v>0.055238816243794925</v>
      </c>
      <c r="Q54" s="7">
        <f>0</f>
        <v>0</v>
      </c>
      <c r="R54" s="7">
        <f>P54-Q54</f>
        <v>0.055238816243794925</v>
      </c>
      <c r="S54" s="7">
        <f>IF(A54&lt;1+Parameters!$K$31,0,INDEX($M$45:$M$80,A54-Parameters!$K$31))</f>
        <v>0.23867878688009966</v>
      </c>
      <c r="T54" s="7">
        <f>T53+M54-S54</f>
        <v>0.21728157842739634</v>
      </c>
      <c r="U54" s="7">
        <f>S54-N54-O54-Q54</f>
        <v>0.07663602469649825</v>
      </c>
      <c r="V54" s="7">
        <f>V53+U54</f>
        <v>0.874958695025697</v>
      </c>
      <c r="W54" s="7">
        <f>(1-Parameters!$K$7)*(C54-E54)+(1-Parameters!$K$8)*(D54+E54)</f>
        <v>0.03627038739642555</v>
      </c>
      <c r="X54" s="7">
        <f>Parameters!$K$7*(C54-E54)+Parameters!$K$8*Parameters!$K$9*(D54+E54)</f>
        <v>0.2848956717536784</v>
      </c>
      <c r="Y54" s="7">
        <f>Parameters!$K$8*(1-Parameters!$K$9)*(D54+E54)</f>
        <v>0.08769094238543101</v>
      </c>
      <c r="Z54" s="7">
        <f>POWER(1/(1+Parameters!$K$32),A54-1)*(M54-N54)</f>
        <v>0.0505070495355723</v>
      </c>
    </row>
    <row r="55" spans="1:26">
      <c r="A55" s="7">
        <v>11</v>
      </c>
      <c r="B55" s="7">
        <f>0</f>
        <v>0</v>
      </c>
      <c r="C55" s="7">
        <f>X54+B55</f>
        <v>0.2848956717536784</v>
      </c>
      <c r="D55" s="7">
        <f>Y54</f>
        <v>0.08769094238543101</v>
      </c>
      <c r="E55" s="7">
        <f>Parameters!$K$6*C55</f>
        <v>0.005697913435073568</v>
      </c>
      <c r="F55" s="7">
        <f>IF(Parameters!$K$5=1,E55,0)</f>
        <v>0.0</v>
      </c>
      <c r="G55" s="7">
        <f>Parameters!$K$27*G54+F55</f>
        <v>0.0</v>
      </c>
      <c r="H55" s="7">
        <f>IF(AND(Parameters!$K$5=1,Parameters!$K$26=1),SUMPRODUCT(--($A$45:A55&lt;A55),--(MOD(A55-$A$45:A55,Parameters!$K$28)=0),$F$45:F55,POWER(Parameters!$K$27,IF(A55-$A$45:A55=0,1,A55-$A$45:A55))),0)</f>
        <v>0.0</v>
      </c>
      <c r="I55" s="7">
        <f>Parameters!$K$23*I54+B55*Parameters!$K$22</f>
        <v>0.02993684696191893</v>
      </c>
      <c r="J55" s="7">
        <f>E55*Parameters!$K$14*(1-Parameters!$K$15)</f>
        <v>0.10826035526639778</v>
      </c>
      <c r="K55" s="7">
        <f>H55*Parameters!$K$29</f>
        <v>0.0</v>
      </c>
      <c r="L55" s="7">
        <f>I55*Parameters!$K$24</f>
        <v>0.0898105408857568</v>
      </c>
      <c r="M55" s="7">
        <f>J55+K55+L55</f>
        <v>0.19807089615215456</v>
      </c>
      <c r="N55" s="7">
        <f>C55*Parameters!$K$17+D55*Parameters!$K$18+E55*Parameters!$K$16+I55*Parameters!$K$25+G55*Parameters!$K$30</f>
        <v>0.14998050963485204</v>
      </c>
      <c r="O55" s="7">
        <f>0</f>
        <v>0</v>
      </c>
      <c r="P55" s="7">
        <f>M55-N55-O55</f>
        <v>0.04809038651730252</v>
      </c>
      <c r="Q55" s="7">
        <f>0</f>
        <v>0</v>
      </c>
      <c r="R55" s="7">
        <f>P55-Q55</f>
        <v>0.04809038651730252</v>
      </c>
      <c r="S55" s="7">
        <f>IF(A55&lt;1+Parameters!$K$31,0,INDEX($M$45:$M$80,A55-Parameters!$K$31))</f>
        <v>0.21728157842739634</v>
      </c>
      <c r="T55" s="7">
        <f>T54+M55-S55</f>
        <v>0.19807089615215456</v>
      </c>
      <c r="U55" s="7">
        <f>S55-N55-O55-Q55</f>
        <v>0.0673010687925443</v>
      </c>
      <c r="V55" s="7">
        <f>V54+U55</f>
        <v>0.9422597638182413</v>
      </c>
      <c r="W55" s="7">
        <f>(1-Parameters!$K$7)*(C55-E55)+(1-Parameters!$K$8)*(D55+E55)</f>
        <v>0.03258921862288571</v>
      </c>
      <c r="X55" s="7">
        <f>Parameters!$K$7*(C55-E55)+Parameters!$K$8*Parameters!$K$9*(D55+E55)</f>
        <v>0.2512779824867444</v>
      </c>
      <c r="Y55" s="7">
        <f>Parameters!$K$8*(1-Parameters!$K$9)*(D55+E55)</f>
        <v>0.08871941302947936</v>
      </c>
      <c r="Z55" s="7">
        <f>POWER(1/(1+Parameters!$K$32),A55-1)*(M55-N55)</f>
        <v>0.0435355995602573</v>
      </c>
    </row>
    <row r="56" spans="1:26">
      <c r="A56" s="7">
        <v>12</v>
      </c>
      <c r="B56" s="7">
        <f>0</f>
        <v>0</v>
      </c>
      <c r="C56" s="7">
        <f>X55+B56</f>
        <v>0.2512779824867444</v>
      </c>
      <c r="D56" s="7">
        <f>Y55</f>
        <v>0.08871941302947935</v>
      </c>
      <c r="E56" s="7">
        <f>Parameters!$K$6*C56</f>
        <v>0.005025559649734888</v>
      </c>
      <c r="F56" s="7">
        <f>IF(Parameters!$K$5=1,E56,0)</f>
        <v>0.0</v>
      </c>
      <c r="G56" s="7">
        <f>Parameters!$K$27*G55+F56</f>
        <v>0.0</v>
      </c>
      <c r="H56" s="7">
        <f>IF(AND(Parameters!$K$5=1,Parameters!$K$26=1),SUMPRODUCT(--($A$45:A56&lt;A56),--(MOD(A56-$A$45:A56,Parameters!$K$28)=0),$F$45:F56,POWER(Parameters!$K$27,IF(A56-$A$45:A56=0,1,A56-$A$45:A56))),0)</f>
        <v>0.0</v>
      </c>
      <c r="I56" s="7">
        <f>Parameters!$K$23*I55+B56*Parameters!$K$22</f>
        <v>0.028440004613822983</v>
      </c>
      <c r="J56" s="7">
        <f>E56*Parameters!$K$14*(1-Parameters!$K$15)</f>
        <v>0.09548563334496288</v>
      </c>
      <c r="K56" s="7">
        <f>H56*Parameters!$K$29</f>
        <v>0.0</v>
      </c>
      <c r="L56" s="7">
        <f>I56*Parameters!$K$24</f>
        <v>0.08532001384146895</v>
      </c>
      <c r="M56" s="7">
        <f>J56+K56+L56</f>
        <v>0.18080564718643183</v>
      </c>
      <c r="N56" s="7">
        <f>C56*Parameters!$K$17+D56*Parameters!$K$18+E56*Parameters!$K$16+I56*Parameters!$K$25+G56*Parameters!$K$30</f>
        <v>0.13898866321740938</v>
      </c>
      <c r="O56" s="7">
        <f>0</f>
        <v>0</v>
      </c>
      <c r="P56" s="7">
        <f>M56-N56-O56</f>
        <v>0.04181698396902245</v>
      </c>
      <c r="Q56" s="7">
        <f>0</f>
        <v>0</v>
      </c>
      <c r="R56" s="7">
        <f>P56-Q56</f>
        <v>0.04181698396902245</v>
      </c>
      <c r="S56" s="7">
        <f>IF(A56&lt;1+Parameters!$K$31,0,INDEX($M$45:$M$80,A56-Parameters!$K$31))</f>
        <v>0.19807089615215456</v>
      </c>
      <c r="T56" s="7">
        <f>T55+M56-S56</f>
        <v>0.18080564718643183</v>
      </c>
      <c r="U56" s="7">
        <f>S56-N56-O56-Q56</f>
        <v>0.05908223293474518</v>
      </c>
      <c r="V56" s="7">
        <f>V55+U56</f>
        <v>1.0013419967529864</v>
      </c>
      <c r="W56" s="7">
        <f>(1-Parameters!$K$7)*(C56-E56)+(1-Parameters!$K$8)*(D56+E56)</f>
        <v>0.02931249091766166</v>
      </c>
      <c r="X56" s="7">
        <f>Parameters!$K$7*(C56-E56)+Parameters!$K$8*Parameters!$K$9*(D56+E56)</f>
        <v>0.22162718055330854</v>
      </c>
      <c r="Y56" s="7">
        <f>Parameters!$K$8*(1-Parameters!$K$9)*(D56+E56)</f>
        <v>0.08905772404525351</v>
      </c>
      <c r="Z56" s="7">
        <f>POWER(1/(1+Parameters!$K$32),A56-1)*(M56-N56)</f>
        <v>0.037481554526496666</v>
      </c>
    </row>
    <row r="57" spans="1:26">
      <c r="A57" s="7">
        <v>13</v>
      </c>
      <c r="B57" s="7">
        <f>0</f>
        <v>0</v>
      </c>
      <c r="C57" s="7">
        <f>X56+B57</f>
        <v>0.22162718055330854</v>
      </c>
      <c r="D57" s="7">
        <f>Y56</f>
        <v>0.08905772404525351</v>
      </c>
      <c r="E57" s="7">
        <f>Parameters!$K$6*C57</f>
        <v>0.004432543611066171</v>
      </c>
      <c r="F57" s="7">
        <f>IF(Parameters!$K$5=1,E57,0)</f>
        <v>0.0</v>
      </c>
      <c r="G57" s="7">
        <f>Parameters!$K$27*G56+F57</f>
        <v>0.0</v>
      </c>
      <c r="H57" s="7">
        <f>IF(AND(Parameters!$K$5=1,Parameters!$K$26=1),SUMPRODUCT(--($A$45:A57&lt;A57),--(MOD(A57-$A$45:A57,Parameters!$K$28)=0),$F$45:F57,POWER(Parameters!$K$27,IF(A57-$A$45:A57=0,1,A57-$A$45:A57))),0)</f>
        <v>0.0</v>
      </c>
      <c r="I57" s="7">
        <f>Parameters!$K$23*I56+B57*Parameters!$K$22</f>
        <v>0.027018004383131834</v>
      </c>
      <c r="J57" s="7">
        <f>E57*Parameters!$K$14*(1-Parameters!$K$15)</f>
        <v>0.08421832861025724</v>
      </c>
      <c r="K57" s="7">
        <f>H57*Parameters!$K$29</f>
        <v>0.0</v>
      </c>
      <c r="L57" s="7">
        <f>I57*Parameters!$K$24</f>
        <v>0.0810540131493955</v>
      </c>
      <c r="M57" s="7">
        <f>J57+K57+L57</f>
        <v>0.16527234175965275</v>
      </c>
      <c r="N57" s="7">
        <f>C57*Parameters!$K$17+D57*Parameters!$K$18+E57*Parameters!$K$16+I57*Parameters!$K$25+G57*Parameters!$K$30</f>
        <v>0.12895856199125139</v>
      </c>
      <c r="O57" s="7">
        <f>0</f>
        <v>0</v>
      </c>
      <c r="P57" s="7">
        <f>M57-N57-O57</f>
        <v>0.03631377976840136</v>
      </c>
      <c r="Q57" s="7">
        <f>0</f>
        <v>0</v>
      </c>
      <c r="R57" s="7">
        <f>P57-Q57</f>
        <v>0.03631377976840136</v>
      </c>
      <c r="S57" s="7">
        <f>IF(A57&lt;1+Parameters!$K$31,0,INDEX($M$45:$M$80,A57-Parameters!$K$31))</f>
        <v>0.18080564718643183</v>
      </c>
      <c r="T57" s="7">
        <f>T56+M57-S57</f>
        <v>0.16527234175965275</v>
      </c>
      <c r="U57" s="7">
        <f>S57-N57-O57-Q57</f>
        <v>0.05184708519518044</v>
      </c>
      <c r="V57" s="7">
        <f>V56+U57</f>
        <v>1.0531890819481668</v>
      </c>
      <c r="W57" s="7">
        <f>(1-Parameters!$K$7)*(C57-E57)+(1-Parameters!$K$8)*(D57+E57)</f>
        <v>0.02639397707704022</v>
      </c>
      <c r="X57" s="7">
        <f>Parameters!$K$7*(C57-E57)+Parameters!$K$8*Parameters!$K$9*(D57+E57)</f>
        <v>0.19547517324801814</v>
      </c>
      <c r="Y57" s="7">
        <f>Parameters!$K$8*(1-Parameters!$K$9)*(D57+E57)</f>
        <v>0.08881575427350369</v>
      </c>
      <c r="Z57" s="7">
        <f>POWER(1/(1+Parameters!$K$32),A57-1)*(M57-N57)</f>
        <v>0.032226635721917196</v>
      </c>
    </row>
    <row r="58" spans="1:26">
      <c r="A58" s="7">
        <v>14</v>
      </c>
      <c r="B58" s="7">
        <f>0</f>
        <v>0</v>
      </c>
      <c r="C58" s="7">
        <f>X57+B58</f>
        <v>0.19547517324801814</v>
      </c>
      <c r="D58" s="7">
        <f>Y57</f>
        <v>0.08881575427350369</v>
      </c>
      <c r="E58" s="7">
        <f>Parameters!$K$6*C58</f>
        <v>0.003909503464960363</v>
      </c>
      <c r="F58" s="7">
        <f>IF(Parameters!$K$5=1,E58,0)</f>
        <v>0.0</v>
      </c>
      <c r="G58" s="7">
        <f>Parameters!$K$27*G57+F58</f>
        <v>0.0</v>
      </c>
      <c r="H58" s="7">
        <f>IF(AND(Parameters!$K$5=1,Parameters!$K$26=1),SUMPRODUCT(--($A$45:A58&lt;A58),--(MOD(A58-$A$45:A58,Parameters!$K$28)=0),$F$45:F58,POWER(Parameters!$K$27,IF(A58-$A$45:A58=0,1,A58-$A$45:A58))),0)</f>
        <v>0.0</v>
      </c>
      <c r="I58" s="7">
        <f>Parameters!$K$23*I57+B58*Parameters!$K$22</f>
        <v>0.02566710416397524</v>
      </c>
      <c r="J58" s="7">
        <f>E58*Parameters!$K$14*(1-Parameters!$K$15)</f>
        <v>0.07428056583424689</v>
      </c>
      <c r="K58" s="7">
        <f>H58*Parameters!$K$29</f>
        <v>0.0</v>
      </c>
      <c r="L58" s="7">
        <f>I58*Parameters!$K$24</f>
        <v>0.07700131249192571</v>
      </c>
      <c r="M58" s="7">
        <f>J58+K58+L58</f>
        <v>0.1512818783261726</v>
      </c>
      <c r="N58" s="7">
        <f>C58*Parameters!$K$17+D58*Parameters!$K$18+E58*Parameters!$K$16+I58*Parameters!$K$25+G58*Parameters!$K$30</f>
        <v>0.11979348465810526</v>
      </c>
      <c r="O58" s="7">
        <f>0</f>
        <v>0</v>
      </c>
      <c r="P58" s="7">
        <f>M58-N58-O58</f>
        <v>0.03148839366806734</v>
      </c>
      <c r="Q58" s="7">
        <f>0</f>
        <v>0</v>
      </c>
      <c r="R58" s="7">
        <f>P58-Q58</f>
        <v>0.03148839366806734</v>
      </c>
      <c r="S58" s="7">
        <f>IF(A58&lt;1+Parameters!$K$31,0,INDEX($M$45:$M$80,A58-Parameters!$K$31))</f>
        <v>0.16527234175965275</v>
      </c>
      <c r="T58" s="7">
        <f>T57+M58-S58</f>
        <v>0.1512818783261726</v>
      </c>
      <c r="U58" s="7">
        <f>S58-N58-O58-Q58</f>
        <v>0.04547885710154749</v>
      </c>
      <c r="V58" s="7">
        <f>V57+U58</f>
        <v>1.0986679390497143</v>
      </c>
      <c r="W58" s="7">
        <f>(1-Parameters!$K$7)*(C58-E58)+(1-Parameters!$K$8)*(D58+E58)</f>
        <v>0.02379282986522898</v>
      </c>
      <c r="X58" s="7">
        <f>Parameters!$K$7*(C58-E58)+Parameters!$K$8*Parameters!$K$9*(D58+E58)</f>
        <v>0.172409102804752</v>
      </c>
      <c r="Y58" s="7">
        <f>Parameters!$K$8*(1-Parameters!$K$9)*(D58+E58)</f>
        <v>0.08808899485154084</v>
      </c>
      <c r="Z58" s="7">
        <f>POWER(1/(1+Parameters!$K$32),A58-1)*(M58-N58)</f>
        <v>0.027667673827297554</v>
      </c>
    </row>
    <row r="59" spans="1:26">
      <c r="A59" s="7">
        <v>15</v>
      </c>
      <c r="B59" s="7">
        <f>0</f>
        <v>0</v>
      </c>
      <c r="C59" s="7">
        <f>X58+B59</f>
        <v>0.172409102804752</v>
      </c>
      <c r="D59" s="7">
        <f>Y58</f>
        <v>0.08808899485154084</v>
      </c>
      <c r="E59" s="7">
        <f>Parameters!$K$6*C59</f>
        <v>0.00344818205609504</v>
      </c>
      <c r="F59" s="7">
        <f>IF(Parameters!$K$5=1,E59,0)</f>
        <v>0.0</v>
      </c>
      <c r="G59" s="7">
        <f>Parameters!$K$27*G58+F59</f>
        <v>0.0</v>
      </c>
      <c r="H59" s="7">
        <f>IF(AND(Parameters!$K$5=1,Parameters!$K$26=1),SUMPRODUCT(--($A$45:A59&lt;A59),--(MOD(A59-$A$45:A59,Parameters!$K$28)=0),$F$45:F59,POWER(Parameters!$K$27,IF(A59-$A$45:A59=0,1,A59-$A$45:A59))),0)</f>
        <v>0.0</v>
      </c>
      <c r="I59" s="7">
        <f>Parameters!$K$23*I58+B59*Parameters!$K$22</f>
        <v>0.024383748955776476</v>
      </c>
      <c r="J59" s="7">
        <f>E59*Parameters!$K$14*(1-Parameters!$K$15)</f>
        <v>0.06551545906580576</v>
      </c>
      <c r="K59" s="7">
        <f>H59*Parameters!$K$29</f>
        <v>0.0</v>
      </c>
      <c r="L59" s="7">
        <f>I59*Parameters!$K$24</f>
        <v>0.07315124686732943</v>
      </c>
      <c r="M59" s="7">
        <f>J59+K59+L59</f>
        <v>0.13866670593313518</v>
      </c>
      <c r="N59" s="7">
        <f>C59*Parameters!$K$17+D59*Parameters!$K$18+E59*Parameters!$K$16+I59*Parameters!$K$25+G59*Parameters!$K$30</f>
        <v>0.1114072848011793</v>
      </c>
      <c r="O59" s="7">
        <f>0</f>
        <v>0</v>
      </c>
      <c r="P59" s="7">
        <f>M59-N59-O59</f>
        <v>0.027259421131955883</v>
      </c>
      <c r="Q59" s="7">
        <f>0</f>
        <v>0</v>
      </c>
      <c r="R59" s="7">
        <f>P59-Q59</f>
        <v>0.027259421131955883</v>
      </c>
      <c r="S59" s="7">
        <f>IF(A59&lt;1+Parameters!$K$31,0,INDEX($M$45:$M$80,A59-Parameters!$K$31))</f>
        <v>0.1512818783261726</v>
      </c>
      <c r="T59" s="7">
        <f>T58+M59-S59</f>
        <v>0.13866670593313518</v>
      </c>
      <c r="U59" s="7">
        <f>S59-N59-O59-Q59</f>
        <v>0.0398745935249933</v>
      </c>
      <c r="V59" s="7">
        <f>V58+U59</f>
        <v>1.1385425325747076</v>
      </c>
      <c r="W59" s="7">
        <f>(1-Parameters!$K$7)*(C59-E59)+(1-Parameters!$K$8)*(D59+E59)</f>
        <v>0.02147295092024749</v>
      </c>
      <c r="X59" s="7">
        <f>Parameters!$K$7*(C59-E59)+Parameters!$K$8*Parameters!$K$9*(D59+E59)</f>
        <v>0.15206482867379126</v>
      </c>
      <c r="Y59" s="7">
        <f>Parameters!$K$8*(1-Parameters!$K$9)*(D59+E59)</f>
        <v>0.08696031806225409</v>
      </c>
      <c r="Z59" s="7">
        <f>POWER(1/(1+Parameters!$K$32),A59-1)*(M59-N59)</f>
        <v>0.02371468695689717</v>
      </c>
    </row>
    <row r="60" spans="1:26">
      <c r="A60" s="7">
        <v>16</v>
      </c>
      <c r="B60" s="7">
        <f>0</f>
        <v>0</v>
      </c>
      <c r="C60" s="7">
        <f>X59+B60</f>
        <v>0.15206482867379126</v>
      </c>
      <c r="D60" s="7">
        <f>Y59</f>
        <v>0.08696031806225409</v>
      </c>
      <c r="E60" s="7">
        <f>Parameters!$K$6*C60</f>
        <v>0.003041296573475825</v>
      </c>
      <c r="F60" s="7">
        <f>IF(Parameters!$K$5=1,E60,0)</f>
        <v>0.0</v>
      </c>
      <c r="G60" s="7">
        <f>Parameters!$K$27*G59+F60</f>
        <v>0.0</v>
      </c>
      <c r="H60" s="7">
        <f>IF(AND(Parameters!$K$5=1,Parameters!$K$26=1),SUMPRODUCT(--($A$45:A60&lt;A60),--(MOD(A60-$A$45:A60,Parameters!$K$28)=0),$F$45:F60,POWER(Parameters!$K$27,IF(A60-$A$45:A60=0,1,A60-$A$45:A60))),0)</f>
        <v>0.0</v>
      </c>
      <c r="I60" s="7">
        <f>Parameters!$K$23*I59+B60*Parameters!$K$22</f>
        <v>0.023164561507987652</v>
      </c>
      <c r="J60" s="7">
        <f>E60*Parameters!$K$14*(1-Parameters!$K$15)</f>
        <v>0.057784634896040674</v>
      </c>
      <c r="K60" s="7">
        <f>H60*Parameters!$K$29</f>
        <v>0.0</v>
      </c>
      <c r="L60" s="7">
        <f>I60*Parameters!$K$24</f>
        <v>0.06949368452396296</v>
      </c>
      <c r="M60" s="7">
        <f>J60+K60+L60</f>
        <v>0.12727831942000362</v>
      </c>
      <c r="N60" s="7">
        <f>C60*Parameters!$K$17+D60*Parameters!$K$18+E60*Parameters!$K$16+I60*Parameters!$K$25+G60*Parameters!$K$30</f>
        <v>0.10372318496073406</v>
      </c>
      <c r="O60" s="7">
        <f>0</f>
        <v>0</v>
      </c>
      <c r="P60" s="7">
        <f>M60-N60-O60</f>
        <v>0.02355513445926956</v>
      </c>
      <c r="Q60" s="7">
        <f>0</f>
        <v>0</v>
      </c>
      <c r="R60" s="7">
        <f>P60-Q60</f>
        <v>0.02355513445926956</v>
      </c>
      <c r="S60" s="7">
        <f>IF(A60&lt;1+Parameters!$K$31,0,INDEX($M$45:$M$80,A60-Parameters!$K$31))</f>
        <v>0.13866670593313518</v>
      </c>
      <c r="T60" s="7">
        <f>T59+M60-S60</f>
        <v>0.12727831942000362</v>
      </c>
      <c r="U60" s="7">
        <f>S60-N60-O60-Q60</f>
        <v>0.034943520972401124</v>
      </c>
      <c r="V60" s="7">
        <f>V59+U60</f>
        <v>1.1734860535471088</v>
      </c>
      <c r="W60" s="7">
        <f>(1-Parameters!$K$7)*(C60-E60)+(1-Parameters!$K$8)*(D60+E60)</f>
        <v>0.01940243394181804</v>
      </c>
      <c r="X60" s="7">
        <f>Parameters!$K$7*(C60-E60)+Parameters!$K$8*Parameters!$K$9*(D60+E60)</f>
        <v>0.1341211788902839</v>
      </c>
      <c r="Y60" s="7">
        <f>Parameters!$K$8*(1-Parameters!$K$9)*(D60+E60)</f>
        <v>0.08550153390394341</v>
      </c>
      <c r="Z60" s="7">
        <f>POWER(1/(1+Parameters!$K$32),A60-1)*(M60-N60)</f>
        <v>0.020289202696003684</v>
      </c>
    </row>
    <row r="61" spans="1:26">
      <c r="A61" s="7">
        <v>17</v>
      </c>
      <c r="B61" s="7">
        <f>0</f>
        <v>0</v>
      </c>
      <c r="C61" s="7">
        <f>X60+B61</f>
        <v>0.13412117889028388</v>
      </c>
      <c r="D61" s="7">
        <f>Y60</f>
        <v>0.08550153390394341</v>
      </c>
      <c r="E61" s="7">
        <f>Parameters!$K$6*C61</f>
        <v>0.0026824235778056776</v>
      </c>
      <c r="F61" s="7">
        <f>IF(Parameters!$K$5=1,E61,0)</f>
        <v>0.0</v>
      </c>
      <c r="G61" s="7">
        <f>Parameters!$K$27*G60+F61</f>
        <v>0.0</v>
      </c>
      <c r="H61" s="7">
        <f>IF(AND(Parameters!$K$5=1,Parameters!$K$26=1),SUMPRODUCT(--($A$45:A61&lt;A61),--(MOD(A61-$A$45:A61,Parameters!$K$28)=0),$F$45:F61,POWER(Parameters!$K$27,IF(A61-$A$45:A61=0,1,A61-$A$45:A61))),0)</f>
        <v>0.0</v>
      </c>
      <c r="I61" s="7">
        <f>Parameters!$K$23*I60+B61*Parameters!$K$22</f>
        <v>0.02200633343258827</v>
      </c>
      <c r="J61" s="7">
        <f>E61*Parameters!$K$14*(1-Parameters!$K$15)</f>
        <v>0.05096604797830787</v>
      </c>
      <c r="K61" s="7">
        <f>H61*Parameters!$K$29</f>
        <v>0.0</v>
      </c>
      <c r="L61" s="7">
        <f>I61*Parameters!$K$24</f>
        <v>0.06601900029776481</v>
      </c>
      <c r="M61" s="7">
        <f>J61+K61+L61</f>
        <v>0.11698504827607267</v>
      </c>
      <c r="N61" s="7">
        <f>C61*Parameters!$K$17+D61*Parameters!$K$18+E61*Parameters!$K$16+I61*Parameters!$K$25+G61*Parameters!$K$30</f>
        <v>0.09667271091315667</v>
      </c>
      <c r="O61" s="7">
        <f>0</f>
        <v>0</v>
      </c>
      <c r="P61" s="7">
        <f>M61-N61-O61</f>
        <v>0.020312337362916003</v>
      </c>
      <c r="Q61" s="7">
        <f>0</f>
        <v>0</v>
      </c>
      <c r="R61" s="7">
        <f>P61-Q61</f>
        <v>0.020312337362916003</v>
      </c>
      <c r="S61" s="7">
        <f>IF(A61&lt;1+Parameters!$K$31,0,INDEX($M$45:$M$80,A61-Parameters!$K$31))</f>
        <v>0.12727831942000362</v>
      </c>
      <c r="T61" s="7">
        <f>T60+M61-S61</f>
        <v>0.11698504827607267</v>
      </c>
      <c r="U61" s="7">
        <f>S61-N61-O61-Q61</f>
        <v>0.030605608506846946</v>
      </c>
      <c r="V61" s="7">
        <f>V60+U61</f>
        <v>1.2040916620539557</v>
      </c>
      <c r="W61" s="7">
        <f>(1-Parameters!$K$7)*(C61-E61)+(1-Parameters!$K$8)*(D61+E61)</f>
        <v>0.017553073405335275</v>
      </c>
      <c r="X61" s="7">
        <f>Parameters!$K$7*(C61-E61)+Parameters!$K$8*Parameters!$K$9*(D61+E61)</f>
        <v>0.11829487978123038</v>
      </c>
      <c r="Y61" s="7">
        <f>Parameters!$K$8*(1-Parameters!$K$9)*(D61+E61)</f>
        <v>0.08377475960766163</v>
      </c>
      <c r="Z61" s="7">
        <f>POWER(1/(1+Parameters!$K$32),A61-1)*(M61-N61)</f>
        <v>0.017322793188202533</v>
      </c>
    </row>
    <row r="62" spans="1:26">
      <c r="A62" s="7">
        <v>18</v>
      </c>
      <c r="B62" s="7">
        <f>0</f>
        <v>0</v>
      </c>
      <c r="C62" s="7">
        <f>X61+B62</f>
        <v>0.11829487978123039</v>
      </c>
      <c r="D62" s="7">
        <f>Y61</f>
        <v>0.08377475960766162</v>
      </c>
      <c r="E62" s="7">
        <f>Parameters!$K$6*C62</f>
        <v>0.002365897595624608</v>
      </c>
      <c r="F62" s="7">
        <f>IF(Parameters!$K$5=1,E62,0)</f>
        <v>0.0</v>
      </c>
      <c r="G62" s="7">
        <f>Parameters!$K$27*G61+F62</f>
        <v>0.0</v>
      </c>
      <c r="H62" s="7">
        <f>IF(AND(Parameters!$K$5=1,Parameters!$K$26=1),SUMPRODUCT(--($A$45:A62&lt;A62),--(MOD(A62-$A$45:A62,Parameters!$K$28)=0),$F$45:F62,POWER(Parameters!$K$27,IF(A62-$A$45:A62=0,1,A62-$A$45:A62))),0)</f>
        <v>0.0</v>
      </c>
      <c r="I62" s="7">
        <f>Parameters!$K$23*I61+B62*Parameters!$K$22</f>
        <v>0.020906016760958854</v>
      </c>
      <c r="J62" s="7">
        <f>E62*Parameters!$K$14*(1-Parameters!$K$15)</f>
        <v>0.044952054316867544</v>
      </c>
      <c r="K62" s="7">
        <f>H62*Parameters!$K$29</f>
        <v>0.0</v>
      </c>
      <c r="L62" s="7">
        <f>I62*Parameters!$K$24</f>
        <v>0.06271805028287657</v>
      </c>
      <c r="M62" s="7">
        <f>J62+K62+L62</f>
        <v>0.1076701045997441</v>
      </c>
      <c r="N62" s="7">
        <f>C62*Parameters!$K$17+D62*Parameters!$K$18+E62*Parameters!$K$16+I62*Parameters!$K$25+G62*Parameters!$K$30</f>
        <v>0.09019474971430395</v>
      </c>
      <c r="O62" s="7">
        <f>0</f>
        <v>0</v>
      </c>
      <c r="P62" s="7">
        <f>M62-N62-O62</f>
        <v>0.01747535488544015</v>
      </c>
      <c r="Q62" s="7">
        <f>0</f>
        <v>0</v>
      </c>
      <c r="R62" s="7">
        <f>P62-Q62</f>
        <v>0.01747535488544015</v>
      </c>
      <c r="S62" s="7">
        <f>IF(A62&lt;1+Parameters!$K$31,0,INDEX($M$45:$M$80,A62-Parameters!$K$31))</f>
        <v>0.11698504827607267</v>
      </c>
      <c r="T62" s="7">
        <f>T61+M62-S62</f>
        <v>0.1076701045997441</v>
      </c>
      <c r="U62" s="7">
        <f>S62-N62-O62-Q62</f>
        <v>0.02679029856176872</v>
      </c>
      <c r="V62" s="7">
        <f>V61+U62</f>
        <v>1.2308819606157244</v>
      </c>
      <c r="W62" s="7">
        <f>(1-Parameters!$K$7)*(C62-E62)+(1-Parameters!$K$8)*(D62+E62)</f>
        <v>0.01589993107872489</v>
      </c>
      <c r="X62" s="7">
        <f>Parameters!$K$7*(C62-E62)+Parameters!$K$8*Parameters!$K$9*(D62+E62)</f>
        <v>0.1043360839670452</v>
      </c>
      <c r="Y62" s="7">
        <f>Parameters!$K$8*(1-Parameters!$K$9)*(D62+E62)</f>
        <v>0.08183362434312191</v>
      </c>
      <c r="Z62" s="7">
        <f>POWER(1/(1+Parameters!$K$32),A62-1)*(M62-N62)</f>
        <v>0.014755796248420171</v>
      </c>
    </row>
    <row r="63" spans="1:26">
      <c r="A63" s="7">
        <v>19</v>
      </c>
      <c r="B63" s="7">
        <f>0</f>
        <v>0</v>
      </c>
      <c r="C63" s="7">
        <f>X62+B63</f>
        <v>0.1043360839670452</v>
      </c>
      <c r="D63" s="7">
        <f>Y62</f>
        <v>0.08183362434312191</v>
      </c>
      <c r="E63" s="7">
        <f>Parameters!$K$6*C63</f>
        <v>0.002086721679340904</v>
      </c>
      <c r="F63" s="7">
        <f>IF(Parameters!$K$5=1,E63,0)</f>
        <v>0.0</v>
      </c>
      <c r="G63" s="7">
        <f>Parameters!$K$27*G62+F63</f>
        <v>0.0</v>
      </c>
      <c r="H63" s="7">
        <f>IF(AND(Parameters!$K$5=1,Parameters!$K$26=1),SUMPRODUCT(--($A$45:A63&lt;A63),--(MOD(A63-$A$45:A63,Parameters!$K$28)=0),$F$45:F63,POWER(Parameters!$K$27,IF(A63-$A$45:A63=0,1,A63-$A$45:A63))),0)</f>
        <v>0.0</v>
      </c>
      <c r="I63" s="7">
        <f>Parameters!$K$23*I62+B63*Parameters!$K$22</f>
        <v>0.019860715922910912</v>
      </c>
      <c r="J63" s="7">
        <f>E63*Parameters!$K$14*(1-Parameters!$K$15)</f>
        <v>0.03964771190747718</v>
      </c>
      <c r="K63" s="7">
        <f>H63*Parameters!$K$29</f>
        <v>0.0</v>
      </c>
      <c r="L63" s="7">
        <f>I63*Parameters!$K$24</f>
        <v>0.05958214776873273</v>
      </c>
      <c r="M63" s="7">
        <f>J63+K63+L63</f>
        <v>0.09922985967620991</v>
      </c>
      <c r="N63" s="7">
        <f>C63*Parameters!$K$17+D63*Parameters!$K$18+E63*Parameters!$K$16+I63*Parameters!$K$25+G63*Parameters!$K$30</f>
        <v>0.08423471700247089</v>
      </c>
      <c r="O63" s="7">
        <f>0</f>
        <v>0</v>
      </c>
      <c r="P63" s="7">
        <f>M63-N63-O63</f>
        <v>0.014995142673739026</v>
      </c>
      <c r="Q63" s="7">
        <f>0</f>
        <v>0</v>
      </c>
      <c r="R63" s="7">
        <f>P63-Q63</f>
        <v>0.014995142673739026</v>
      </c>
      <c r="S63" s="7">
        <f>IF(A63&lt;1+Parameters!$K$31,0,INDEX($M$45:$M$80,A63-Parameters!$K$31))</f>
        <v>0.1076701045997441</v>
      </c>
      <c r="T63" s="7">
        <f>T62+M63-S63</f>
        <v>0.09922985967620991</v>
      </c>
      <c r="U63" s="7">
        <f>S63-N63-O63-Q63</f>
        <v>0.02343538759727322</v>
      </c>
      <c r="V63" s="7">
        <f>V62+U63</f>
        <v>1.2543173482129977</v>
      </c>
      <c r="W63" s="7">
        <f>(1-Parameters!$K$7)*(C63-E63)+(1-Parameters!$K$8)*(D63+E63)</f>
        <v>0.014420953529893574</v>
      </c>
      <c r="X63" s="7">
        <f>Parameters!$K$7*(C63-E63)+Parameters!$K$8*Parameters!$K$9*(D63+E63)</f>
        <v>0.09202442605893388</v>
      </c>
      <c r="Y63" s="7">
        <f>Parameters!$K$8*(1-Parameters!$K$9)*(D63+E63)</f>
        <v>0.07972432872133967</v>
      </c>
      <c r="Z63" s="7">
        <f>POWER(1/(1+Parameters!$K$32),A63-1)*(M63-N63)</f>
        <v>0.012536198904011276</v>
      </c>
    </row>
    <row r="64" spans="1:26">
      <c r="A64" s="7">
        <v>20</v>
      </c>
      <c r="B64" s="7">
        <f>0</f>
        <v>0</v>
      </c>
      <c r="C64" s="7">
        <f>X63+B64</f>
        <v>0.09202442605893386</v>
      </c>
      <c r="D64" s="7">
        <f>Y63</f>
        <v>0.07972432872133968</v>
      </c>
      <c r="E64" s="7">
        <f>Parameters!$K$6*C64</f>
        <v>0.0018404885211786774</v>
      </c>
      <c r="F64" s="7">
        <f>IF(Parameters!$K$5=1,E64,0)</f>
        <v>0.0</v>
      </c>
      <c r="G64" s="7">
        <f>Parameters!$K$27*G63+F64</f>
        <v>0.0</v>
      </c>
      <c r="H64" s="7">
        <f>IF(AND(Parameters!$K$5=1,Parameters!$K$26=1),SUMPRODUCT(--($A$45:A64&lt;A64),--(MOD(A64-$A$45:A64,Parameters!$K$28)=0),$F$45:F64,POWER(Parameters!$K$27,IF(A64-$A$45:A64=0,1,A64-$A$45:A64))),0)</f>
        <v>0.0</v>
      </c>
      <c r="I64" s="7">
        <f>Parameters!$K$23*I63+B64*Parameters!$K$22</f>
        <v>0.018867680126765367</v>
      </c>
      <c r="J64" s="7">
        <f>E64*Parameters!$K$14*(1-Parameters!$K$15)</f>
        <v>0.03496928190239487</v>
      </c>
      <c r="K64" s="7">
        <f>H64*Parameters!$K$29</f>
        <v>0.0</v>
      </c>
      <c r="L64" s="7">
        <f>I64*Parameters!$K$24</f>
        <v>0.0566030403802961</v>
      </c>
      <c r="M64" s="7">
        <f>J64+K64+L64</f>
        <v>0.09157232228269097</v>
      </c>
      <c r="N64" s="7">
        <f>C64*Parameters!$K$17+D64*Parameters!$K$18+E64*Parameters!$K$16+I64*Parameters!$K$25+G64*Parameters!$K$30</f>
        <v>0.07874382076291135</v>
      </c>
      <c r="O64" s="7">
        <f>0</f>
        <v>0</v>
      </c>
      <c r="P64" s="7">
        <f>M64-N64-O64</f>
        <v>0.012828501519779614</v>
      </c>
      <c r="Q64" s="7">
        <f>0</f>
        <v>0</v>
      </c>
      <c r="R64" s="7">
        <f>P64-Q64</f>
        <v>0.012828501519779614</v>
      </c>
      <c r="S64" s="7">
        <f>IF(A64&lt;1+Parameters!$K$31,0,INDEX($M$45:$M$80,A64-Parameters!$K$31))</f>
        <v>0.09922985967620991</v>
      </c>
      <c r="T64" s="7">
        <f>T63+M64-S64</f>
        <v>0.09157232228269097</v>
      </c>
      <c r="U64" s="7">
        <f>S64-N64-O64-Q64</f>
        <v>0.02048603891329856</v>
      </c>
      <c r="V64" s="7">
        <f>V63+U64</f>
        <v>1.2748033871262963</v>
      </c>
      <c r="W64" s="7">
        <f>(1-Parameters!$K$7)*(C64-E64)+(1-Parameters!$K$8)*(D64+E64)</f>
        <v>0.013096634615901439</v>
      </c>
      <c r="X64" s="7">
        <f>Parameters!$K$7*(C64-E64)+Parameters!$K$8*Parameters!$K$9*(D64+E64)</f>
        <v>0.08116554378397968</v>
      </c>
      <c r="Y64" s="7">
        <f>Parameters!$K$8*(1-Parameters!$K$9)*(D64+E64)</f>
        <v>0.07748657638039243</v>
      </c>
      <c r="Z64" s="7">
        <f>POWER(1/(1+Parameters!$K$32),A64-1)*(M64-N64)</f>
        <v>0.010618662758081463</v>
      </c>
    </row>
    <row r="65" spans="1:26">
      <c r="A65" s="7">
        <v>21</v>
      </c>
      <c r="B65" s="7">
        <f>0</f>
        <v>0</v>
      </c>
      <c r="C65" s="7">
        <f>X64+B65</f>
        <v>0.08116554378397967</v>
      </c>
      <c r="D65" s="7">
        <f>Y64</f>
        <v>0.07748657638039243</v>
      </c>
      <c r="E65" s="7">
        <f>Parameters!$K$6*C65</f>
        <v>0.0016233108756795933</v>
      </c>
      <c r="F65" s="7">
        <f>IF(Parameters!$K$5=1,E65,0)</f>
        <v>0.0</v>
      </c>
      <c r="G65" s="7">
        <f>Parameters!$K$27*G64+F65</f>
        <v>0.0</v>
      </c>
      <c r="H65" s="7">
        <f>IF(AND(Parameters!$K$5=1,Parameters!$K$26=1),SUMPRODUCT(--($A$45:A65&lt;A65),--(MOD(A65-$A$45:A65,Parameters!$K$28)=0),$F$45:F65,POWER(Parameters!$K$27,IF(A65-$A$45:A65=0,1,A65-$A$45:A65))),0)</f>
        <v>0.0</v>
      </c>
      <c r="I65" s="7">
        <f>Parameters!$K$23*I64+B65*Parameters!$K$22</f>
        <v>0.017924296120427098</v>
      </c>
      <c r="J65" s="7">
        <f>E65*Parameters!$K$14*(1-Parameters!$K$15)</f>
        <v>0.030842906637912275</v>
      </c>
      <c r="K65" s="7">
        <f>H65*Parameters!$K$29</f>
        <v>0.0</v>
      </c>
      <c r="L65" s="7">
        <f>I65*Parameters!$K$24</f>
        <v>0.053772888361281294</v>
      </c>
      <c r="M65" s="7">
        <f>J65+K65+L65</f>
        <v>0.08461579499919357</v>
      </c>
      <c r="N65" s="7">
        <f>C65*Parameters!$K$17+D65*Parameters!$K$18+E65*Parameters!$K$16+I65*Parameters!$K$25+G65*Parameters!$K$30</f>
        <v>0.07367841026128324</v>
      </c>
      <c r="O65" s="7">
        <f>0</f>
        <v>0</v>
      </c>
      <c r="P65" s="7">
        <f>M65-N65-O65</f>
        <v>0.010937384737910325</v>
      </c>
      <c r="Q65" s="7">
        <f>0</f>
        <v>0</v>
      </c>
      <c r="R65" s="7">
        <f>P65-Q65</f>
        <v>0.010937384737910325</v>
      </c>
      <c r="S65" s="7">
        <f>IF(A65&lt;1+Parameters!$K$31,0,INDEX($M$45:$M$80,A65-Parameters!$K$31))</f>
        <v>0.09157232228269097</v>
      </c>
      <c r="T65" s="7">
        <f>T64+M65-S65</f>
        <v>0.08461579499919357</v>
      </c>
      <c r="U65" s="7">
        <f>S65-N65-O65-Q65</f>
        <v>0.01789391202140772</v>
      </c>
      <c r="V65" s="7">
        <f>V64+U65</f>
        <v>1.292697299147704</v>
      </c>
      <c r="W65" s="7">
        <f>(1-Parameters!$K$7)*(C65-E65)+(1-Parameters!$K$8)*(D65+E65)</f>
        <v>0.01190971765363361</v>
      </c>
      <c r="X65" s="7">
        <f>Parameters!$K$7*(C65-E65)+Parameters!$K$8*Parameters!$K$9*(D65+E65)</f>
        <v>0.07158800961747007</v>
      </c>
      <c r="Y65" s="7">
        <f>Parameters!$K$8*(1-Parameters!$K$9)*(D65+E65)</f>
        <v>0.0751543928932684</v>
      </c>
      <c r="Z65" s="7">
        <f>POWER(1/(1+Parameters!$K$32),A65-1)*(M65-N65)</f>
        <v>0.008963673181905935</v>
      </c>
    </row>
    <row r="66" spans="1:26">
      <c r="A66" s="7">
        <v>22</v>
      </c>
      <c r="B66" s="7">
        <f>0</f>
        <v>0</v>
      </c>
      <c r="C66" s="7">
        <f>X65+B66</f>
        <v>0.07158800961747007</v>
      </c>
      <c r="D66" s="7">
        <f>Y65</f>
        <v>0.07515439289326842</v>
      </c>
      <c r="E66" s="7">
        <f>Parameters!$K$6*C66</f>
        <v>0.0014317601923494014</v>
      </c>
      <c r="F66" s="7">
        <f>IF(Parameters!$K$5=1,E66,0)</f>
        <v>0.0</v>
      </c>
      <c r="G66" s="7">
        <f>Parameters!$K$27*G65+F66</f>
        <v>0.0</v>
      </c>
      <c r="H66" s="7">
        <f>IF(AND(Parameters!$K$5=1,Parameters!$K$26=1),SUMPRODUCT(--($A$45:A66&lt;A66),--(MOD(A66-$A$45:A66,Parameters!$K$28)=0),$F$45:F66,POWER(Parameters!$K$27,IF(A66-$A$45:A66=0,1,A66-$A$45:A66))),0)</f>
        <v>0.0</v>
      </c>
      <c r="I66" s="7">
        <f>Parameters!$K$23*I65+B66*Parameters!$K$22</f>
        <v>0.01702808131440574</v>
      </c>
      <c r="J66" s="7">
        <f>E66*Parameters!$K$14*(1-Parameters!$K$15)</f>
        <v>0.027203443654638625</v>
      </c>
      <c r="K66" s="7">
        <f>H66*Parameters!$K$29</f>
        <v>0.0</v>
      </c>
      <c r="L66" s="7">
        <f>I66*Parameters!$K$24</f>
        <v>0.05108424394321723</v>
      </c>
      <c r="M66" s="7">
        <f>J66+K66+L66</f>
        <v>0.07828768759785586</v>
      </c>
      <c r="N66" s="7">
        <f>C66*Parameters!$K$17+D66*Parameters!$K$18+E66*Parameters!$K$16+I66*Parameters!$K$25+G66*Parameters!$K$30</f>
        <v>0.06899940018142751</v>
      </c>
      <c r="O66" s="7">
        <f>0</f>
        <v>0</v>
      </c>
      <c r="P66" s="7">
        <f>M66-N66-O66</f>
        <v>0.009288287416428342</v>
      </c>
      <c r="Q66" s="7">
        <f>0</f>
        <v>0</v>
      </c>
      <c r="R66" s="7">
        <f>P66-Q66</f>
        <v>0.009288287416428342</v>
      </c>
      <c r="S66" s="7">
        <f>IF(A66&lt;1+Parameters!$K$31,0,INDEX($M$45:$M$80,A66-Parameters!$K$31))</f>
        <v>0.08461579499919357</v>
      </c>
      <c r="T66" s="7">
        <f>T65+M66-S66</f>
        <v>0.07828768759785586</v>
      </c>
      <c r="U66" s="7">
        <f>S66-N66-O66-Q66</f>
        <v>0.015616394817766055</v>
      </c>
      <c r="V66" s="7">
        <f>V65+U66</f>
        <v>1.30831369396547</v>
      </c>
      <c r="W66" s="7">
        <f>(1-Parameters!$K$7)*(C66-E66)+(1-Parameters!$K$8)*(D66+E66)</f>
        <v>0.010844932596792959</v>
      </c>
      <c r="X66" s="7">
        <f>Parameters!$K$7*(C66-E66)+Parameters!$K$8*Parameters!$K$9*(D66+E66)</f>
        <v>0.0631406244826086</v>
      </c>
      <c r="Y66" s="7">
        <f>Parameters!$K$8*(1-Parameters!$K$9)*(D66+E66)</f>
        <v>0.07275684543133693</v>
      </c>
      <c r="Z66" s="7">
        <f>POWER(1/(1+Parameters!$K$32),A66-1)*(M66-N66)</f>
        <v>0.007536796624789437</v>
      </c>
    </row>
    <row r="67" spans="1:26">
      <c r="A67" s="7">
        <v>23</v>
      </c>
      <c r="B67" s="7">
        <f>0</f>
        <v>0</v>
      </c>
      <c r="C67" s="7">
        <f>X66+B67</f>
        <v>0.0631406244826086</v>
      </c>
      <c r="D67" s="7">
        <f>Y66</f>
        <v>0.07275684543133693</v>
      </c>
      <c r="E67" s="7">
        <f>Parameters!$K$6*C67</f>
        <v>0.001262812489652172</v>
      </c>
      <c r="F67" s="7">
        <f>IF(Parameters!$K$5=1,E67,0)</f>
        <v>0.0</v>
      </c>
      <c r="G67" s="7">
        <f>Parameters!$K$27*G66+F67</f>
        <v>0.0</v>
      </c>
      <c r="H67" s="7">
        <f>IF(AND(Parameters!$K$5=1,Parameters!$K$26=1),SUMPRODUCT(--($A$45:A67&lt;A67),--(MOD(A67-$A$45:A67,Parameters!$K$28)=0),$F$45:F67,POWER(Parameters!$K$27,IF(A67-$A$45:A67=0,1,A67-$A$45:A67))),0)</f>
        <v>0.0</v>
      </c>
      <c r="I67" s="7">
        <f>Parameters!$K$23*I66+B67*Parameters!$K$22</f>
        <v>0.016176677248685455</v>
      </c>
      <c r="J67" s="7">
        <f>E67*Parameters!$K$14*(1-Parameters!$K$15)</f>
        <v>0.023993437303391266</v>
      </c>
      <c r="K67" s="7">
        <f>H67*Parameters!$K$29</f>
        <v>0.0</v>
      </c>
      <c r="L67" s="7">
        <f>I67*Parameters!$K$24</f>
        <v>0.048530031746056364</v>
      </c>
      <c r="M67" s="7">
        <f>J67+K67+L67</f>
        <v>0.07252346904944763</v>
      </c>
      <c r="N67" s="7">
        <f>C67*Parameters!$K$17+D67*Parameters!$K$18+E67*Parameters!$K$16+I67*Parameters!$K$25+G67*Parameters!$K$30</f>
        <v>0.06467176117444594</v>
      </c>
      <c r="O67" s="7">
        <f>0</f>
        <v>0</v>
      </c>
      <c r="P67" s="7">
        <f>M67-N67-O67</f>
        <v>0.007851707875001696</v>
      </c>
      <c r="Q67" s="7">
        <f>0</f>
        <v>0</v>
      </c>
      <c r="R67" s="7">
        <f>P67-Q67</f>
        <v>0.007851707875001696</v>
      </c>
      <c r="S67" s="7">
        <f>IF(A67&lt;1+Parameters!$K$31,0,INDEX($M$45:$M$80,A67-Parameters!$K$31))</f>
        <v>0.07828768759785586</v>
      </c>
      <c r="T67" s="7">
        <f>T66+M67-S67</f>
        <v>0.07252346904944763</v>
      </c>
      <c r="U67" s="7">
        <f>S67-N67-O67-Q67</f>
        <v>0.013615926423409919</v>
      </c>
      <c r="V67" s="7">
        <f>V66+U67</f>
        <v>1.32192962038888</v>
      </c>
      <c r="W67" s="7">
        <f>(1-Parameters!$K$7)*(C67-E67)+(1-Parameters!$K$8)*(D67+E67)</f>
        <v>0.009888764095345098</v>
      </c>
      <c r="X67" s="7">
        <f>Parameters!$K$7*(C67-E67)+Parameters!$K$8*Parameters!$K$9*(D67+E67)</f>
        <v>0.055690030793660784</v>
      </c>
      <c r="Y67" s="7">
        <f>Parameters!$K$8*(1-Parameters!$K$9)*(D67+E67)</f>
        <v>0.07031867502493963</v>
      </c>
      <c r="Z67" s="7">
        <f>POWER(1/(1+Parameters!$K$32),A67-1)*(M67-N67)</f>
        <v>0.006308032321989448</v>
      </c>
    </row>
    <row r="68" spans="1:26">
      <c r="A68" s="7">
        <v>24</v>
      </c>
      <c r="B68" s="7">
        <f>0</f>
        <v>0</v>
      </c>
      <c r="C68" s="7">
        <f>X67+B68</f>
        <v>0.055690030793660784</v>
      </c>
      <c r="D68" s="7">
        <f>Y67</f>
        <v>0.07031867502493963</v>
      </c>
      <c r="E68" s="7">
        <f>Parameters!$K$6*C68</f>
        <v>0.0011138006158732158</v>
      </c>
      <c r="F68" s="7">
        <f>IF(Parameters!$K$5=1,E68,0)</f>
        <v>0.0</v>
      </c>
      <c r="G68" s="7">
        <f>Parameters!$K$27*G67+F68</f>
        <v>0.0</v>
      </c>
      <c r="H68" s="7">
        <f>IF(AND(Parameters!$K$5=1,Parameters!$K$26=1),SUMPRODUCT(--($A$45:A68&lt;A68),--(MOD(A68-$A$45:A68,Parameters!$K$28)=0),$F$45:F68,POWER(Parameters!$K$27,IF(A68-$A$45:A68=0,1,A68-$A$45:A68))),0)</f>
        <v>0.0</v>
      </c>
      <c r="I68" s="7">
        <f>Parameters!$K$23*I67+B68*Parameters!$K$22</f>
        <v>0.015367843386251181</v>
      </c>
      <c r="J68" s="7">
        <f>E68*Parameters!$K$14*(1-Parameters!$K$15)</f>
        <v>0.0211622117015911</v>
      </c>
      <c r="K68" s="7">
        <f>H68*Parameters!$K$29</f>
        <v>0.0</v>
      </c>
      <c r="L68" s="7">
        <f>I68*Parameters!$K$24</f>
        <v>0.04610353015875354</v>
      </c>
      <c r="M68" s="7">
        <f>J68+K68+L68</f>
        <v>0.06726574186034465</v>
      </c>
      <c r="N68" s="7">
        <f>C68*Parameters!$K$17+D68*Parameters!$K$18+E68*Parameters!$K$16+I68*Parameters!$K$25+G68*Parameters!$K$30</f>
        <v>0.06066406905956685</v>
      </c>
      <c r="O68" s="7">
        <f>0</f>
        <v>0</v>
      </c>
      <c r="P68" s="7">
        <f>M68-N68-O68</f>
        <v>0.006601672800777794</v>
      </c>
      <c r="Q68" s="7">
        <f>0</f>
        <v>0</v>
      </c>
      <c r="R68" s="7">
        <f>P68-Q68</f>
        <v>0.006601672800777794</v>
      </c>
      <c r="S68" s="7">
        <f>IF(A68&lt;1+Parameters!$K$31,0,INDEX($M$45:$M$80,A68-Parameters!$K$31))</f>
        <v>0.07252346904944763</v>
      </c>
      <c r="T68" s="7">
        <f>T67+M68-S68</f>
        <v>0.06726574186034465</v>
      </c>
      <c r="U68" s="7">
        <f>S68-N68-O68-Q68</f>
        <v>0.011859399989880781</v>
      </c>
      <c r="V68" s="7">
        <f>V67+U68</f>
        <v>1.3337890203787608</v>
      </c>
      <c r="W68" s="7">
        <f>(1-Parameters!$K$7)*(C68-E68)+(1-Parameters!$K$8)*(D68+E68)</f>
        <v>0.0090292467998194</v>
      </c>
      <c r="X68" s="7">
        <f>Parameters!$K$7*(C68-E68)+Parameters!$K$8*Parameters!$K$9*(D68+E68)</f>
        <v>0.04911860716000881</v>
      </c>
      <c r="Y68" s="7">
        <f>Parameters!$K$8*(1-Parameters!$K$9)*(D68+E68)</f>
        <v>0.06786085185877219</v>
      </c>
      <c r="Z68" s="7">
        <f>POWER(1/(1+Parameters!$K$32),A68-1)*(M68-N68)</f>
        <v>0.00525124642104935</v>
      </c>
    </row>
    <row r="69" spans="1:26">
      <c r="A69" s="7">
        <v>25</v>
      </c>
      <c r="B69" s="7">
        <f>0</f>
        <v>0</v>
      </c>
      <c r="C69" s="7">
        <f>X68+B69</f>
        <v>0.04911860716000881</v>
      </c>
      <c r="D69" s="7">
        <f>Y68</f>
        <v>0.0678608518587722</v>
      </c>
      <c r="E69" s="7">
        <f>Parameters!$K$6*C69</f>
        <v>0.0009823721432001763</v>
      </c>
      <c r="F69" s="7">
        <f>IF(Parameters!$K$5=1,E69,0)</f>
        <v>0.0</v>
      </c>
      <c r="G69" s="7">
        <f>Parameters!$K$27*G68+F69</f>
        <v>0.0</v>
      </c>
      <c r="H69" s="7">
        <f>IF(AND(Parameters!$K$5=1,Parameters!$K$26=1),SUMPRODUCT(--($A$45:A69&lt;A69),--(MOD(A69-$A$45:A69,Parameters!$K$28)=0),$F$45:F69,POWER(Parameters!$K$27,IF(A69-$A$45:A69=0,1,A69-$A$45:A69))),0)</f>
        <v>0.0</v>
      </c>
      <c r="I69" s="7">
        <f>Parameters!$K$23*I68+B69*Parameters!$K$22</f>
        <v>0.014599451216938621</v>
      </c>
      <c r="J69" s="7">
        <f>E69*Parameters!$K$14*(1-Parameters!$K$15)</f>
        <v>0.01866507072080335</v>
      </c>
      <c r="K69" s="7">
        <f>H69*Parameters!$K$29</f>
        <v>0.0</v>
      </c>
      <c r="L69" s="7">
        <f>I69*Parameters!$K$24</f>
        <v>0.043798353650815865</v>
      </c>
      <c r="M69" s="7">
        <f>J69+K69+L69</f>
        <v>0.06246342437161921</v>
      </c>
      <c r="N69" s="7">
        <f>C69*Parameters!$K$17+D69*Parameters!$K$18+E69*Parameters!$K$16+I69*Parameters!$K$25+G69*Parameters!$K$30</f>
        <v>0.05694810582905823</v>
      </c>
      <c r="O69" s="7">
        <f>0</f>
        <v>0</v>
      </c>
      <c r="P69" s="7">
        <f>M69-N69-O69</f>
        <v>0.0055153185425609805</v>
      </c>
      <c r="Q69" s="7">
        <f>0</f>
        <v>0</v>
      </c>
      <c r="R69" s="7">
        <f>P69-Q69</f>
        <v>0.0055153185425609805</v>
      </c>
      <c r="S69" s="7">
        <f>IF(A69&lt;1+Parameters!$K$31,0,INDEX($M$45:$M$80,A69-Parameters!$K$31))</f>
        <v>0.06726574186034465</v>
      </c>
      <c r="T69" s="7">
        <f>T68+M69-S69</f>
        <v>0.06246342437161921</v>
      </c>
      <c r="U69" s="7">
        <f>S69-N69-O69-Q69</f>
        <v>0.010317636031286416</v>
      </c>
      <c r="V69" s="7">
        <f>V68+U69</f>
        <v>1.3441066564100472</v>
      </c>
      <c r="W69" s="7">
        <f>(1-Parameters!$K$7)*(C69-E69)+(1-Parameters!$K$8)*(D69+E69)</f>
        <v>0.008255784701779486</v>
      </c>
      <c r="X69" s="7">
        <f>Parameters!$K$7*(C69-E69)+Parameters!$K$8*Parameters!$K$9*(D69+E69)</f>
        <v>0.04332261151512778</v>
      </c>
      <c r="Y69" s="7">
        <f>Parameters!$K$8*(1-Parameters!$K$9)*(D69+E69)</f>
        <v>0.06540106280187377</v>
      </c>
      <c r="Z69" s="7">
        <f>POWER(1/(1+Parameters!$K$32),A69-1)*(M69-N69)</f>
        <v>0.004343678066072994</v>
      </c>
    </row>
    <row r="70" spans="1:26">
      <c r="A70" s="7">
        <v>26</v>
      </c>
      <c r="B70" s="7">
        <f>0</f>
        <v>0</v>
      </c>
      <c r="C70" s="7">
        <f>X69+B70</f>
        <v>0.04332261151512777</v>
      </c>
      <c r="D70" s="7">
        <f>Y69</f>
        <v>0.06540106280187376</v>
      </c>
      <c r="E70" s="7">
        <f>Parameters!$K$6*C70</f>
        <v>0.0008664522303025554</v>
      </c>
      <c r="F70" s="7">
        <f>IF(Parameters!$K$5=1,E70,0)</f>
        <v>0.0</v>
      </c>
      <c r="G70" s="7">
        <f>Parameters!$K$27*G69+F70</f>
        <v>0.0</v>
      </c>
      <c r="H70" s="7">
        <f>IF(AND(Parameters!$K$5=1,Parameters!$K$26=1),SUMPRODUCT(--($A$45:A70&lt;A70),--(MOD(A70-$A$45:A70,Parameters!$K$28)=0),$F$45:F70,POWER(Parameters!$K$27,IF(A70-$A$45:A70=0,1,A70-$A$45:A70))),0)</f>
        <v>0.0</v>
      </c>
      <c r="I70" s="7">
        <f>Parameters!$K$23*I69+B70*Parameters!$K$22</f>
        <v>0.013869478656091689</v>
      </c>
      <c r="J70" s="7">
        <f>E70*Parameters!$K$14*(1-Parameters!$K$15)</f>
        <v>0.016462592375748552</v>
      </c>
      <c r="K70" s="7">
        <f>H70*Parameters!$K$29</f>
        <v>0.0</v>
      </c>
      <c r="L70" s="7">
        <f>I70*Parameters!$K$24</f>
        <v>0.04160843596827507</v>
      </c>
      <c r="M70" s="7">
        <f>J70+K70+L70</f>
        <v>0.058071028344023626</v>
      </c>
      <c r="N70" s="7">
        <f>C70*Parameters!$K$17+D70*Parameters!$K$18+E70*Parameters!$K$16+I70*Parameters!$K$25+G70*Parameters!$K$30</f>
        <v>0.05349850641382361</v>
      </c>
      <c r="O70" s="7">
        <f>0</f>
        <v>0</v>
      </c>
      <c r="P70" s="7">
        <f>M70-N70-O70</f>
        <v>0.004572521930200017</v>
      </c>
      <c r="Q70" s="7">
        <f>0</f>
        <v>0</v>
      </c>
      <c r="R70" s="7">
        <f>P70-Q70</f>
        <v>0.004572521930200017</v>
      </c>
      <c r="S70" s="7">
        <f>IF(A70&lt;1+Parameters!$K$31,0,INDEX($M$45:$M$80,A70-Parameters!$K$31))</f>
        <v>0.06246342437161921</v>
      </c>
      <c r="T70" s="7">
        <f>T69+M70-S70</f>
        <v>0.058071028344023626</v>
      </c>
      <c r="U70" s="7">
        <f>S70-N70-O70-Q70</f>
        <v>0.008964917957795603</v>
      </c>
      <c r="V70" s="7">
        <f>V69+U70</f>
        <v>1.3530715743678428</v>
      </c>
      <c r="W70" s="7">
        <f>(1-Parameters!$K$7)*(C70-E70)+(1-Parameters!$K$8)*(D70+E70)</f>
        <v>0.007558991680091339</v>
      </c>
      <c r="X70" s="7">
        <f>Parameters!$K$7*(C70-E70)+Parameters!$K$8*Parameters!$K$9*(D70+E70)</f>
        <v>0.03821054335634269</v>
      </c>
      <c r="Y70" s="7">
        <f>Parameters!$K$8*(1-Parameters!$K$9)*(D70+E70)</f>
        <v>0.06295413928056749</v>
      </c>
      <c r="Z70" s="7">
        <f>POWER(1/(1+Parameters!$K$32),A70-1)*(M70-N70)</f>
        <v>0.0035655083060669966</v>
      </c>
    </row>
    <row r="71" spans="1:26">
      <c r="A71" s="7">
        <v>27</v>
      </c>
      <c r="B71" s="7">
        <f>0</f>
        <v>0</v>
      </c>
      <c r="C71" s="7">
        <f>X70+B71</f>
        <v>0.03821054335634269</v>
      </c>
      <c r="D71" s="7">
        <f>Y70</f>
        <v>0.06295413928056749</v>
      </c>
      <c r="E71" s="7">
        <f>Parameters!$K$6*C71</f>
        <v>0.0007642108671268538</v>
      </c>
      <c r="F71" s="7">
        <f>IF(Parameters!$K$5=1,E71,0)</f>
        <v>0.0</v>
      </c>
      <c r="G71" s="7">
        <f>Parameters!$K$27*G70+F71</f>
        <v>0.0</v>
      </c>
      <c r="H71" s="7">
        <f>IF(AND(Parameters!$K$5=1,Parameters!$K$26=1),SUMPRODUCT(--($A$45:A71&lt;A71),--(MOD(A71-$A$45:A71,Parameters!$K$28)=0),$F$45:F71,POWER(Parameters!$K$27,IF(A71-$A$45:A71=0,1,A71-$A$45:A71))),0)</f>
        <v>0.0</v>
      </c>
      <c r="I71" s="7">
        <f>Parameters!$K$23*I70+B71*Parameters!$K$22</f>
        <v>0.013176004723287104</v>
      </c>
      <c r="J71" s="7">
        <f>E71*Parameters!$K$14*(1-Parameters!$K$15)</f>
        <v>0.014520006475410222</v>
      </c>
      <c r="K71" s="7">
        <f>H71*Parameters!$K$29</f>
        <v>0.0</v>
      </c>
      <c r="L71" s="7">
        <f>I71*Parameters!$K$24</f>
        <v>0.03952801416986131</v>
      </c>
      <c r="M71" s="7">
        <f>J71+K71+L71</f>
        <v>0.05404802064527153</v>
      </c>
      <c r="N71" s="7">
        <f>C71*Parameters!$K$17+D71*Parameters!$K$18+E71*Parameters!$K$16+I71*Parameters!$K$25+G71*Parameters!$K$30</f>
        <v>0.05029244587595695</v>
      </c>
      <c r="O71" s="7">
        <f>0</f>
        <v>0</v>
      </c>
      <c r="P71" s="7">
        <f>M71-N71-O71</f>
        <v>0.003755574769314582</v>
      </c>
      <c r="Q71" s="7">
        <f>0</f>
        <v>0</v>
      </c>
      <c r="R71" s="7">
        <f>P71-Q71</f>
        <v>0.003755574769314582</v>
      </c>
      <c r="S71" s="7">
        <f>IF(A71&lt;1+Parameters!$K$31,0,INDEX($M$45:$M$80,A71-Parameters!$K$31))</f>
        <v>0.058071028344023626</v>
      </c>
      <c r="T71" s="7">
        <f>T70+M71-S71</f>
        <v>0.05404802064527153</v>
      </c>
      <c r="U71" s="7">
        <f>S71-N71-O71-Q71</f>
        <v>0.007778582468066675</v>
      </c>
      <c r="V71" s="7">
        <f>V70+U71</f>
        <v>1.3608501568359095</v>
      </c>
      <c r="W71" s="7">
        <f>(1-Parameters!$K$7)*(C71-E71)+(1-Parameters!$K$8)*(D71+E71)</f>
        <v>0.006930550756306304</v>
      </c>
      <c r="X71" s="7">
        <f>Parameters!$K$7*(C71-E71)+Parameters!$K$8*Parameters!$K$9*(D71+E71)</f>
        <v>0.03370169924029426</v>
      </c>
      <c r="Y71" s="7">
        <f>Parameters!$K$8*(1-Parameters!$K$9)*(D71+E71)</f>
        <v>0.06053243264030963</v>
      </c>
      <c r="Z71" s="7">
        <f>POWER(1/(1+Parameters!$K$32),A71-1)*(M71-N71)</f>
        <v>0.0028994838518962072</v>
      </c>
    </row>
    <row r="72" spans="1:26">
      <c r="A72" s="7">
        <v>28</v>
      </c>
      <c r="B72" s="7">
        <f>0</f>
        <v>0</v>
      </c>
      <c r="C72" s="7">
        <f>X71+B72</f>
        <v>0.03370169924029425</v>
      </c>
      <c r="D72" s="7">
        <f>Y71</f>
        <v>0.06053243264030962</v>
      </c>
      <c r="E72" s="7">
        <f>Parameters!$K$6*C72</f>
        <v>0.000674033984805885</v>
      </c>
      <c r="F72" s="7">
        <f>IF(Parameters!$K$5=1,E72,0)</f>
        <v>0.0</v>
      </c>
      <c r="G72" s="7">
        <f>Parameters!$K$27*G71+F72</f>
        <v>0.0</v>
      </c>
      <c r="H72" s="7">
        <f>IF(AND(Parameters!$K$5=1,Parameters!$K$26=1),SUMPRODUCT(--($A$45:A72&lt;A72),--(MOD(A72-$A$45:A72,Parameters!$K$28)=0),$F$45:F72,POWER(Parameters!$K$27,IF(A72-$A$45:A72=0,1,A72-$A$45:A72))),0)</f>
        <v>0.0</v>
      </c>
      <c r="I72" s="7">
        <f>Parameters!$K$23*I71+B72*Parameters!$K$22</f>
        <v>0.012517204487122747</v>
      </c>
      <c r="J72" s="7">
        <f>E72*Parameters!$K$14*(1-Parameters!$K$15)</f>
        <v>0.012806645711311815</v>
      </c>
      <c r="K72" s="7">
        <f>H72*Parameters!$K$29</f>
        <v>0.0</v>
      </c>
      <c r="L72" s="7">
        <f>I72*Parameters!$K$24</f>
        <v>0.03755161346136824</v>
      </c>
      <c r="M72" s="7">
        <f>J72+K72+L72</f>
        <v>0.05035825917268005</v>
      </c>
      <c r="N72" s="7">
        <f>C72*Parameters!$K$17+D72*Parameters!$K$18+E72*Parameters!$K$16+I72*Parameters!$K$25+G72*Parameters!$K$30</f>
        <v>0.04730936232061035</v>
      </c>
      <c r="O72" s="7">
        <f>0</f>
        <v>0</v>
      </c>
      <c r="P72" s="7">
        <f>M72-N72-O72</f>
        <v>0.003048896852069702</v>
      </c>
      <c r="Q72" s="7">
        <f>0</f>
        <v>0</v>
      </c>
      <c r="R72" s="7">
        <f>P72-Q72</f>
        <v>0.003048896852069702</v>
      </c>
      <c r="S72" s="7">
        <f>IF(A72&lt;1+Parameters!$K$31,0,INDEX($M$45:$M$80,A72-Parameters!$K$31))</f>
        <v>0.05404802064527153</v>
      </c>
      <c r="T72" s="7">
        <f>T71+M72-S72</f>
        <v>0.05035825917268005</v>
      </c>
      <c r="U72" s="7">
        <f>S72-N72-O72-Q72</f>
        <v>0.006738658324661181</v>
      </c>
      <c r="V72" s="7">
        <f>V71+U72</f>
        <v>1.3675888151605706</v>
      </c>
      <c r="W72" s="7">
        <f>(1-Parameters!$K$7)*(C72-E72)+(1-Parameters!$K$8)*(D72+E72)</f>
        <v>0.006363089856804614</v>
      </c>
      <c r="X72" s="7">
        <f>Parameters!$K$7*(C72-E72)+Parameters!$K$8*Parameters!$K$9*(D72+E72)</f>
        <v>0.02972489872993953</v>
      </c>
      <c r="Y72" s="7">
        <f>Parameters!$K$8*(1-Parameters!$K$9)*(D72+E72)</f>
        <v>0.05814614329385973</v>
      </c>
      <c r="Z72" s="7">
        <f>POWER(1/(1+Parameters!$K$32),A72-1)*(M72-N72)</f>
        <v>0.002330588717956121</v>
      </c>
    </row>
    <row r="73" spans="1:26">
      <c r="A73" s="7">
        <v>29</v>
      </c>
      <c r="B73" s="7">
        <f>0</f>
        <v>0</v>
      </c>
      <c r="C73" s="7">
        <f>X72+B73</f>
        <v>0.02972489872993953</v>
      </c>
      <c r="D73" s="7">
        <f>Y72</f>
        <v>0.05814614329385973</v>
      </c>
      <c r="E73" s="7">
        <f>Parameters!$K$6*C73</f>
        <v>0.0005944979745987906</v>
      </c>
      <c r="F73" s="7">
        <f>IF(Parameters!$K$5=1,E73,0)</f>
        <v>0.0</v>
      </c>
      <c r="G73" s="7">
        <f>Parameters!$K$27*G72+F73</f>
        <v>0.0</v>
      </c>
      <c r="H73" s="7">
        <f>IF(AND(Parameters!$K$5=1,Parameters!$K$26=1),SUMPRODUCT(--($A$45:A73&lt;A73),--(MOD(A73-$A$45:A73,Parameters!$K$28)=0),$F$45:F73,POWER(Parameters!$K$27,IF(A73-$A$45:A73=0,1,A73-$A$45:A73))),0)</f>
        <v>0.0</v>
      </c>
      <c r="I73" s="7">
        <f>Parameters!$K$23*I72+B73*Parameters!$K$22</f>
        <v>0.011891344262766609</v>
      </c>
      <c r="J73" s="7">
        <f>E73*Parameters!$K$14*(1-Parameters!$K$15)</f>
        <v>0.011295461517377021</v>
      </c>
      <c r="K73" s="7">
        <f>H73*Parameters!$K$29</f>
        <v>0.0</v>
      </c>
      <c r="L73" s="7">
        <f>I73*Parameters!$K$24</f>
        <v>0.03567403278829982</v>
      </c>
      <c r="M73" s="7">
        <f>J73+K73+L73</f>
        <v>0.046969494305676845</v>
      </c>
      <c r="N73" s="7">
        <f>C73*Parameters!$K$17+D73*Parameters!$K$18+E73*Parameters!$K$16+I73*Parameters!$K$25+G73*Parameters!$K$30</f>
        <v>0.04453071137189382</v>
      </c>
      <c r="O73" s="7">
        <f>0</f>
        <v>0</v>
      </c>
      <c r="P73" s="7">
        <f>M73-N73-O73</f>
        <v>0.0024387829337830236</v>
      </c>
      <c r="Q73" s="7">
        <f>0</f>
        <v>0</v>
      </c>
      <c r="R73" s="7">
        <f>P73-Q73</f>
        <v>0.0024387829337830236</v>
      </c>
      <c r="S73" s="7">
        <f>IF(A73&lt;1+Parameters!$K$31,0,INDEX($M$45:$M$80,A73-Parameters!$K$31))</f>
        <v>0.05035825917268005</v>
      </c>
      <c r="T73" s="7">
        <f>T72+M73-S73</f>
        <v>0.046969494305676845</v>
      </c>
      <c r="U73" s="7">
        <f>S73-N73-O73-Q73</f>
        <v>0.005827547800786231</v>
      </c>
      <c r="V73" s="7">
        <f>V72+U73</f>
        <v>1.373416362961357</v>
      </c>
      <c r="W73" s="7">
        <f>(1-Parameters!$K$7)*(C73-E73)+(1-Parameters!$K$8)*(D73+E73)</f>
        <v>0.005850072138957002</v>
      </c>
      <c r="X73" s="7">
        <f>Parameters!$K$7*(C73-E73)+Parameters!$K$8*Parameters!$K$9*(D73+E73)</f>
        <v>0.026217360679806664</v>
      </c>
      <c r="Y73" s="7">
        <f>Parameters!$K$8*(1-Parameters!$K$9)*(D73+E73)</f>
        <v>0.0558036092050356</v>
      </c>
      <c r="Z73" s="7">
        <f>POWER(1/(1+Parameters!$K$32),A73-1)*(M73-N73)</f>
        <v>0.0018457576679783865</v>
      </c>
    </row>
    <row r="74" spans="1:26">
      <c r="A74" s="7">
        <v>30</v>
      </c>
      <c r="B74" s="7">
        <f>0</f>
        <v>0</v>
      </c>
      <c r="C74" s="7">
        <f>X73+B74</f>
        <v>0.026217360679806664</v>
      </c>
      <c r="D74" s="7">
        <f>Y73</f>
        <v>0.0558036092050356</v>
      </c>
      <c r="E74" s="7">
        <f>Parameters!$K$6*C74</f>
        <v>0.0005243472135961333</v>
      </c>
      <c r="F74" s="7">
        <f>IF(Parameters!$K$5=1,E74,0)</f>
        <v>0.0</v>
      </c>
      <c r="G74" s="7">
        <f>Parameters!$K$27*G73+F74</f>
        <v>0.0</v>
      </c>
      <c r="H74" s="7">
        <f>IF(AND(Parameters!$K$5=1,Parameters!$K$26=1),SUMPRODUCT(--($A$45:A74&lt;A74),--(MOD(A74-$A$45:A74,Parameters!$K$28)=0),$F$45:F74,POWER(Parameters!$K$27,IF(A74-$A$45:A74=0,1,A74-$A$45:A74))),0)</f>
        <v>0.0</v>
      </c>
      <c r="I74" s="7">
        <f>Parameters!$K$23*I73+B74*Parameters!$K$22</f>
        <v>0.011296777049628278</v>
      </c>
      <c r="J74" s="7">
        <f>E74*Parameters!$K$14*(1-Parameters!$K$15)</f>
        <v>0.009962597058326533</v>
      </c>
      <c r="K74" s="7">
        <f>H74*Parameters!$K$29</f>
        <v>0.0</v>
      </c>
      <c r="L74" s="7">
        <f>I74*Parameters!$K$24</f>
        <v>0.03389033114888483</v>
      </c>
      <c r="M74" s="7">
        <f>J74+K74+L74</f>
        <v>0.043852928207211365</v>
      </c>
      <c r="N74" s="7">
        <f>C74*Parameters!$K$17+D74*Parameters!$K$18+E74*Parameters!$K$16+I74*Parameters!$K$25+G74*Parameters!$K$30</f>
        <v>0.04193974854487007</v>
      </c>
      <c r="O74" s="7">
        <f>0</f>
        <v>0</v>
      </c>
      <c r="P74" s="7">
        <f>M74-N74-O74</f>
        <v>0.0019131796623412939</v>
      </c>
      <c r="Q74" s="7">
        <f>0</f>
        <v>0</v>
      </c>
      <c r="R74" s="7">
        <f>P74-Q74</f>
        <v>0.0019131796623412939</v>
      </c>
      <c r="S74" s="7">
        <f>IF(A74&lt;1+Parameters!$K$31,0,INDEX($M$45:$M$80,A74-Parameters!$K$31))</f>
        <v>0.046969494305676845</v>
      </c>
      <c r="T74" s="7">
        <f>T73+M74-S74</f>
        <v>0.043852928207211365</v>
      </c>
      <c r="U74" s="7">
        <f>S74-N74-O74-Q74</f>
        <v>0.005029745760806774</v>
      </c>
      <c r="V74" s="7">
        <f>V73+U74</f>
        <v>1.3784461087221638</v>
      </c>
      <c r="W74" s="7">
        <f>(1-Parameters!$K$7)*(C74-E74)+(1-Parameters!$K$8)*(D74+E74)</f>
        <v>0.005385699167552642</v>
      </c>
      <c r="X74" s="7">
        <f>Parameters!$K$7*(C74-E74)+Parameters!$K$8*Parameters!$K$9*(D74+E74)</f>
        <v>0.02312371211958948</v>
      </c>
      <c r="Y74" s="7">
        <f>Parameters!$K$8*(1-Parameters!$K$9)*(D74+E74)</f>
        <v>0.05351155859770014</v>
      </c>
      <c r="Z74" s="7">
        <f>POWER(1/(1+Parameters!$K$32),A74-1)*(M74-N74)</f>
        <v>0.00143362615570859</v>
      </c>
    </row>
    <row r="75" spans="1:26">
      <c r="A75" s="7">
        <v>31</v>
      </c>
      <c r="B75" s="7">
        <f>0</f>
        <v>0</v>
      </c>
      <c r="C75" s="7">
        <f>X74+B75</f>
        <v>0.02312371211958948</v>
      </c>
      <c r="D75" s="7">
        <f>Y74</f>
        <v>0.05351155859770014</v>
      </c>
      <c r="E75" s="7">
        <f>Parameters!$K$6*C75</f>
        <v>0.0004624742423917896</v>
      </c>
      <c r="F75" s="7">
        <f>IF(Parameters!$K$5=1,E75,0)</f>
        <v>0.0</v>
      </c>
      <c r="G75" s="7">
        <f>Parameters!$K$27*G74+F75</f>
        <v>0.0</v>
      </c>
      <c r="H75" s="7">
        <f>IF(AND(Parameters!$K$5=1,Parameters!$K$26=1),SUMPRODUCT(--($A$45:A75&lt;A75),--(MOD(A75-$A$45:A75,Parameters!$K$28)=0),$F$45:F75,POWER(Parameters!$K$27,IF(A75-$A$45:A75=0,1,A75-$A$45:A75))),0)</f>
        <v>0.0</v>
      </c>
      <c r="I75" s="7">
        <f>Parameters!$K$23*I74+B75*Parameters!$K$22</f>
        <v>0.010731938197146863</v>
      </c>
      <c r="J75" s="7">
        <f>E75*Parameters!$K$14*(1-Parameters!$K$15)</f>
        <v>0.008787010605444002</v>
      </c>
      <c r="K75" s="7">
        <f>H75*Parameters!$K$29</f>
        <v>0.0</v>
      </c>
      <c r="L75" s="7">
        <f>I75*Parameters!$K$24</f>
        <v>0.03219581459144059</v>
      </c>
      <c r="M75" s="7">
        <f>J75+K75+L75</f>
        <v>0.04098282519688459</v>
      </c>
      <c r="N75" s="7">
        <f>C75*Parameters!$K$17+D75*Parameters!$K$18+E75*Parameters!$K$16+I75*Parameters!$K$25+G75*Parameters!$K$30</f>
        <v>0.03952133627569214</v>
      </c>
      <c r="O75" s="7">
        <f>0</f>
        <v>0</v>
      </c>
      <c r="P75" s="7">
        <f>M75-N75-O75</f>
        <v>0.0014614889211924526</v>
      </c>
      <c r="Q75" s="7">
        <f>0</f>
        <v>0</v>
      </c>
      <c r="R75" s="7">
        <f>P75-Q75</f>
        <v>0.0014614889211924526</v>
      </c>
      <c r="S75" s="7">
        <f>IF(A75&lt;1+Parameters!$K$31,0,INDEX($M$45:$M$80,A75-Parameters!$K$31))</f>
        <v>0.043852928207211365</v>
      </c>
      <c r="T75" s="7">
        <f>T74+M75-S75</f>
        <v>0.04098282519688459</v>
      </c>
      <c r="U75" s="7">
        <f>S75-N75-O75-Q75</f>
        <v>0.0043315919315192256</v>
      </c>
      <c r="V75" s="7">
        <f>V74+U75</f>
        <v>1.382777700653683</v>
      </c>
      <c r="W75" s="7">
        <f>(1-Parameters!$K$7)*(C75-E75)+(1-Parameters!$K$8)*(D75+E75)</f>
        <v>0.004964825429724368</v>
      </c>
      <c r="X75" s="7">
        <f>Parameters!$K$7*(C75-E75)+Parameters!$K$8*Parameters!$K$9*(D75+E75)</f>
        <v>0.02039511408947792</v>
      </c>
      <c r="Y75" s="7">
        <f>Parameters!$K$8*(1-Parameters!$K$9)*(D75+E75)</f>
        <v>0.05127533119808733</v>
      </c>
      <c r="Z75" s="7">
        <f>POWER(1/(1+Parameters!$K$32),A75-1)*(M75-N75)</f>
        <v>0.0010843121247246605</v>
      </c>
    </row>
    <row r="76" spans="1:26">
      <c r="A76" s="7">
        <v>32</v>
      </c>
      <c r="B76" s="7">
        <f>0</f>
        <v>0</v>
      </c>
      <c r="C76" s="7">
        <f>X75+B76</f>
        <v>0.02039511408947792</v>
      </c>
      <c r="D76" s="7">
        <f>Y75</f>
        <v>0.05127533119808733</v>
      </c>
      <c r="E76" s="7">
        <f>Parameters!$K$6*C76</f>
        <v>0.0004079022817895584</v>
      </c>
      <c r="F76" s="7">
        <f>IF(Parameters!$K$5=1,E76,0)</f>
        <v>0.0</v>
      </c>
      <c r="G76" s="7">
        <f>Parameters!$K$27*G75+F76</f>
        <v>0.0</v>
      </c>
      <c r="H76" s="7">
        <f>IF(AND(Parameters!$K$5=1,Parameters!$K$26=1),SUMPRODUCT(--($A$45:A76&lt;A76),--(MOD(A76-$A$45:A76,Parameters!$K$28)=0),$F$45:F76,POWER(Parameters!$K$27,IF(A76-$A$45:A76=0,1,A76-$A$45:A76))),0)</f>
        <v>0.0</v>
      </c>
      <c r="I76" s="7">
        <f>Parameters!$K$23*I75+B76*Parameters!$K$22</f>
        <v>0.010195341287289519</v>
      </c>
      <c r="J76" s="7">
        <f>E76*Parameters!$K$14*(1-Parameters!$K$15)</f>
        <v>0.00775014335400161</v>
      </c>
      <c r="K76" s="7">
        <f>H76*Parameters!$K$29</f>
        <v>0.0</v>
      </c>
      <c r="L76" s="7">
        <f>I76*Parameters!$K$24</f>
        <v>0.030586023861868556</v>
      </c>
      <c r="M76" s="7">
        <f>J76+K76+L76</f>
        <v>0.038336167215870166</v>
      </c>
      <c r="N76" s="7">
        <f>C76*Parameters!$K$17+D76*Parameters!$K$18+E76*Parameters!$K$16+I76*Parameters!$K$25+G76*Parameters!$K$30</f>
        <v>0.03726177275132136</v>
      </c>
      <c r="O76" s="7">
        <f>0</f>
        <v>0</v>
      </c>
      <c r="P76" s="7">
        <f>M76-N76-O76</f>
        <v>0.0010743944645488085</v>
      </c>
      <c r="Q76" s="7">
        <f>0</f>
        <v>0</v>
      </c>
      <c r="R76" s="7">
        <f>P76-Q76</f>
        <v>0.0010743944645488085</v>
      </c>
      <c r="S76" s="7">
        <f>IF(A76&lt;1+Parameters!$K$31,0,INDEX($M$45:$M$80,A76-Parameters!$K$31))</f>
        <v>0.04098282519688459</v>
      </c>
      <c r="T76" s="7">
        <f>T75+M76-S76</f>
        <v>0.038336167215870166</v>
      </c>
      <c r="U76" s="7">
        <f>S76-N76-O76-Q76</f>
        <v>0.0037210524455632346</v>
      </c>
      <c r="V76" s="7">
        <f>V75+U76</f>
        <v>1.3864987530992463</v>
      </c>
      <c r="W76" s="7">
        <f>(1-Parameters!$K$7)*(C76-E76)+(1-Parameters!$K$8)*(D76+E76)</f>
        <v>0.0045828828547626824</v>
      </c>
      <c r="X76" s="7">
        <f>Parameters!$K$7*(C76-E76)+Parameters!$K$8*Parameters!$K$9*(D76+E76)</f>
        <v>0.017988490626919526</v>
      </c>
      <c r="Y76" s="7">
        <f>Parameters!$K$8*(1-Parameters!$K$9)*(D76+E76)</f>
        <v>0.04909907180588304</v>
      </c>
      <c r="Z76" s="7">
        <f>POWER(1/(1+Parameters!$K$32),A76-1)*(M76-N76)</f>
        <v>0.0007892256197944425</v>
      </c>
    </row>
    <row r="77" spans="1:26">
      <c r="A77" s="7">
        <v>33</v>
      </c>
      <c r="B77" s="7">
        <f>0</f>
        <v>0</v>
      </c>
      <c r="C77" s="7">
        <f>X76+B77</f>
        <v>0.017988490626919526</v>
      </c>
      <c r="D77" s="7">
        <f>Y76</f>
        <v>0.04909907180588304</v>
      </c>
      <c r="E77" s="7">
        <f>Parameters!$K$6*C77</f>
        <v>0.00035976981253839054</v>
      </c>
      <c r="F77" s="7">
        <f>IF(Parameters!$K$5=1,E77,0)</f>
        <v>0.0</v>
      </c>
      <c r="G77" s="7">
        <f>Parameters!$K$27*G76+F77</f>
        <v>0.0</v>
      </c>
      <c r="H77" s="7">
        <f>IF(AND(Parameters!$K$5=1,Parameters!$K$26=1),SUMPRODUCT(--($A$45:A77&lt;A77),--(MOD(A77-$A$45:A77,Parameters!$K$28)=0),$F$45:F77,POWER(Parameters!$K$27,IF(A77-$A$45:A77=0,1,A77-$A$45:A77))),0)</f>
        <v>0.0</v>
      </c>
      <c r="I77" s="7">
        <f>Parameters!$K$23*I76+B77*Parameters!$K$22</f>
        <v>0.009685574222925042</v>
      </c>
      <c r="J77" s="7">
        <f>E77*Parameters!$K$14*(1-Parameters!$K$15)</f>
        <v>0.00683562643822942</v>
      </c>
      <c r="K77" s="7">
        <f>H77*Parameters!$K$29</f>
        <v>0.0</v>
      </c>
      <c r="L77" s="7">
        <f>I77*Parameters!$K$24</f>
        <v>0.029056722668775126</v>
      </c>
      <c r="M77" s="7">
        <f>J77+K77+L77</f>
        <v>0.03589234910700455</v>
      </c>
      <c r="N77" s="7">
        <f>C77*Parameters!$K$17+D77*Parameters!$K$18+E77*Parameters!$K$16+I77*Parameters!$K$25+G77*Parameters!$K$30</f>
        <v>0.03514864001501829</v>
      </c>
      <c r="O77" s="7">
        <f>0</f>
        <v>0</v>
      </c>
      <c r="P77" s="7">
        <f>M77-N77-O77</f>
        <v>0.000743709091986261</v>
      </c>
      <c r="Q77" s="7">
        <f>0</f>
        <v>0</v>
      </c>
      <c r="R77" s="7">
        <f>P77-Q77</f>
        <v>0.000743709091986261</v>
      </c>
      <c r="S77" s="7">
        <f>IF(A77&lt;1+Parameters!$K$31,0,INDEX($M$45:$M$80,A77-Parameters!$K$31))</f>
        <v>0.038336167215870166</v>
      </c>
      <c r="T77" s="7">
        <f>T76+M77-S77</f>
        <v>0.03589234910700455</v>
      </c>
      <c r="U77" s="7">
        <f>S77-N77-O77-Q77</f>
        <v>0.0031875272008518793</v>
      </c>
      <c r="V77" s="7">
        <f>V76+U77</f>
        <v>1.3896862803000982</v>
      </c>
      <c r="W77" s="7">
        <f>(1-Parameters!$K$7)*(C77-E77)+(1-Parameters!$K$8)*(D77+E77)</f>
        <v>0.004235814162359187</v>
      </c>
      <c r="X77" s="7">
        <f>Parameters!$K$7*(C77-E77)+Parameters!$K$8*Parameters!$K$9*(D77+E77)</f>
        <v>0.015865848732943024</v>
      </c>
      <c r="Y77" s="7">
        <f>Parameters!$K$8*(1-Parameters!$K$9)*(D77+E77)</f>
        <v>0.04698589953750036</v>
      </c>
      <c r="Z77" s="7">
        <f>POWER(1/(1+Parameters!$K$32),A77-1)*(M77-N77)</f>
        <v>0.0005409026757291044</v>
      </c>
    </row>
    <row r="78" spans="1:26">
      <c r="A78" s="7">
        <v>34</v>
      </c>
      <c r="B78" s="7">
        <f>0</f>
        <v>0</v>
      </c>
      <c r="C78" s="7">
        <f>X77+B78</f>
        <v>0.01586584873294302</v>
      </c>
      <c r="D78" s="7">
        <f>Y77</f>
        <v>0.046985899537500354</v>
      </c>
      <c r="E78" s="7">
        <f>Parameters!$K$6*C78</f>
        <v>0.0003173169746588604</v>
      </c>
      <c r="F78" s="7">
        <f>IF(Parameters!$K$5=1,E78,0)</f>
        <v>0.0</v>
      </c>
      <c r="G78" s="7">
        <f>Parameters!$K$27*G77+F78</f>
        <v>0.0</v>
      </c>
      <c r="H78" s="7">
        <f>IF(AND(Parameters!$K$5=1,Parameters!$K$26=1),SUMPRODUCT(--($A$45:A78&lt;A78),--(MOD(A78-$A$45:A78,Parameters!$K$28)=0),$F$45:F78,POWER(Parameters!$K$27,IF(A78-$A$45:A78=0,1,A78-$A$45:A78))),0)</f>
        <v>0.0</v>
      </c>
      <c r="I78" s="7">
        <f>Parameters!$K$23*I77+B78*Parameters!$K$22</f>
        <v>0.00920129551177879</v>
      </c>
      <c r="J78" s="7">
        <f>E78*Parameters!$K$14*(1-Parameters!$K$15)</f>
        <v>0.006029022518518347</v>
      </c>
      <c r="K78" s="7">
        <f>H78*Parameters!$K$29</f>
        <v>0.0</v>
      </c>
      <c r="L78" s="7">
        <f>I78*Parameters!$K$24</f>
        <v>0.027603886535336367</v>
      </c>
      <c r="M78" s="7">
        <f>J78+K78+L78</f>
        <v>0.033632909053854715</v>
      </c>
      <c r="N78" s="7">
        <f>C78*Parameters!$K$17+D78*Parameters!$K$18+E78*Parameters!$K$16+I78*Parameters!$K$25+G78*Parameters!$K$30</f>
        <v>0.03317066911918134</v>
      </c>
      <c r="O78" s="7">
        <f>0</f>
        <v>0</v>
      </c>
      <c r="P78" s="7">
        <f>M78-N78-O78</f>
        <v>0.0004622399346733766</v>
      </c>
      <c r="Q78" s="7">
        <f>0</f>
        <v>0</v>
      </c>
      <c r="R78" s="7">
        <f>P78-Q78</f>
        <v>0.0004622399346733766</v>
      </c>
      <c r="S78" s="7">
        <f>IF(A78&lt;1+Parameters!$K$31,0,INDEX($M$45:$M$80,A78-Parameters!$K$31))</f>
        <v>0.03589234910700455</v>
      </c>
      <c r="T78" s="7">
        <f>T77+M78-S78</f>
        <v>0.033632909053854715</v>
      </c>
      <c r="U78" s="7">
        <f>S78-N78-O78-Q78</f>
        <v>0.00272167998782321</v>
      </c>
      <c r="V78" s="7">
        <f>V77+U78</f>
        <v>1.3924079602879214</v>
      </c>
      <c r="W78" s="7">
        <f>(1-Parameters!$K$7)*(C78-E78)+(1-Parameters!$K$8)*(D78+E78)</f>
        <v>0.003920014001436378</v>
      </c>
      <c r="X78" s="7">
        <f>Parameters!$K$7*(C78-E78)+Parameters!$K$8*Parameters!$K$9*(D78+E78)</f>
        <v>0.013993678582455744</v>
      </c>
      <c r="Y78" s="7">
        <f>Parameters!$K$8*(1-Parameters!$K$9)*(D78+E78)</f>
        <v>0.04493805568655125</v>
      </c>
      <c r="Z78" s="7">
        <f>POWER(1/(1+Parameters!$K$32),A78-1)*(M78-N78)</f>
        <v>0.0003328603981269563</v>
      </c>
    </row>
    <row r="79" spans="1:26">
      <c r="A79" s="7">
        <v>35</v>
      </c>
      <c r="B79" s="7">
        <f>0</f>
        <v>0</v>
      </c>
      <c r="C79" s="7">
        <f>X78+B79</f>
        <v>0.013993678582455744</v>
      </c>
      <c r="D79" s="7">
        <f>Y78</f>
        <v>0.04493805568655125</v>
      </c>
      <c r="E79" s="7">
        <f>Parameters!$K$6*C79</f>
        <v>0.0002798735716491149</v>
      </c>
      <c r="F79" s="7">
        <f>IF(Parameters!$K$5=1,E79,0)</f>
        <v>0.0</v>
      </c>
      <c r="G79" s="7">
        <f>Parameters!$K$27*G78+F79</f>
        <v>0.0</v>
      </c>
      <c r="H79" s="7">
        <f>IF(AND(Parameters!$K$5=1,Parameters!$K$26=1),SUMPRODUCT(--($A$45:A79&lt;A79),--(MOD(A79-$A$45:A79,Parameters!$K$28)=0),$F$45:F79,POWER(Parameters!$K$27,IF(A79-$A$45:A79=0,1,A79-$A$45:A79))),0)</f>
        <v>0.0</v>
      </c>
      <c r="I79" s="7">
        <f>Parameters!$K$23*I78+B79*Parameters!$K$22</f>
        <v>0.00874123073618985</v>
      </c>
      <c r="J79" s="7">
        <f>E79*Parameters!$K$14*(1-Parameters!$K$15)</f>
        <v>0.005317597861333183</v>
      </c>
      <c r="K79" s="7">
        <f>H79*Parameters!$K$29</f>
        <v>0.0</v>
      </c>
      <c r="L79" s="7">
        <f>I79*Parameters!$K$24</f>
        <v>0.02622369220856955</v>
      </c>
      <c r="M79" s="7">
        <f>J79+K79+L79</f>
        <v>0.031541290069902736</v>
      </c>
      <c r="N79" s="7">
        <f>C79*Parameters!$K$17+D79*Parameters!$K$18+E79*Parameters!$K$16+I79*Parameters!$K$25+G79*Parameters!$K$30</f>
        <v>0.03131762035775639</v>
      </c>
      <c r="O79" s="7">
        <f>0</f>
        <v>0</v>
      </c>
      <c r="P79" s="7">
        <f>M79-N79-O79</f>
        <v>0.00022366971214634462</v>
      </c>
      <c r="Q79" s="7">
        <f>0</f>
        <v>0</v>
      </c>
      <c r="R79" s="7">
        <f>P79-Q79</f>
        <v>0.00022366971214634462</v>
      </c>
      <c r="S79" s="7">
        <f>IF(A79&lt;1+Parameters!$K$31,0,INDEX($M$45:$M$80,A79-Parameters!$K$31))</f>
        <v>0.033632909053854715</v>
      </c>
      <c r="T79" s="7">
        <f>T78+M79-S79</f>
        <v>0.031541290069902736</v>
      </c>
      <c r="U79" s="7">
        <f>S79-N79-O79-Q79</f>
        <v>0.0023152886960983235</v>
      </c>
      <c r="V79" s="7">
        <f>V78+U79</f>
        <v>1.3947232489840198</v>
      </c>
      <c r="W79" s="7">
        <f>(1-Parameters!$K$7)*(C79-E79)+(1-Parameters!$K$8)*(D79+E79)</f>
        <v>0.0036322769639906827</v>
      </c>
      <c r="X79" s="7">
        <f>Parameters!$K$7*(C79-E79)+Parameters!$K$8*Parameters!$K$9*(D79+E79)</f>
        <v>0.012342424509725966</v>
      </c>
      <c r="Y79" s="7">
        <f>Parameters!$K$8*(1-Parameters!$K$9)*(D79+E79)</f>
        <v>0.04295703279529035</v>
      </c>
      <c r="Z79" s="7">
        <f>POWER(1/(1+Parameters!$K$32),A79-1)*(M79-N79)</f>
        <v>0.00015947054197515742</v>
      </c>
    </row>
    <row r="80" spans="1:26">
      <c r="A80" s="7">
        <v>36</v>
      </c>
      <c r="B80" s="7">
        <f>0</f>
        <v>0</v>
      </c>
      <c r="C80" s="7">
        <f>X79+B80</f>
        <v>0.012342424509725966</v>
      </c>
      <c r="D80" s="7">
        <f>Y79</f>
        <v>0.04295703279529035</v>
      </c>
      <c r="E80" s="7">
        <f>Parameters!$K$6*C80</f>
        <v>0.00024684849019451934</v>
      </c>
      <c r="F80" s="7">
        <f>IF(Parameters!$K$5=1,E80,0)</f>
        <v>0.0</v>
      </c>
      <c r="G80" s="7">
        <f>Parameters!$K$27*G79+F80</f>
        <v>0.0</v>
      </c>
      <c r="H80" s="7">
        <f>IF(AND(Parameters!$K$5=1,Parameters!$K$26=1),SUMPRODUCT(--($A$45:A80&lt;A80),--(MOD(A80-$A$45:A80,Parameters!$K$28)=0),$F$45:F80,POWER(Parameters!$K$27,IF(A80-$A$45:A80=0,1,A80-$A$45:A80))),0)</f>
        <v>0.0</v>
      </c>
      <c r="I80" s="7">
        <f>Parameters!$K$23*I79+B80*Parameters!$K$22</f>
        <v>0.008304169199380356</v>
      </c>
      <c r="J80" s="7">
        <f>E80*Parameters!$K$14*(1-Parameters!$K$15)</f>
        <v>0.004690121313695867</v>
      </c>
      <c r="K80" s="7">
        <f>H80*Parameters!$K$29</f>
        <v>0.0</v>
      </c>
      <c r="L80" s="7">
        <f>I80*Parameters!$K$24</f>
        <v>0.02491250759814107</v>
      </c>
      <c r="M80" s="7">
        <f>J80+K80+L80</f>
        <v>0.029602628911836935</v>
      </c>
      <c r="N80" s="7">
        <f>C80*Parameters!$K$17+D80*Parameters!$K$18+E80*Parameters!$K$16+I80*Parameters!$K$25+G80*Parameters!$K$30</f>
        <v>0.029580176840447656</v>
      </c>
      <c r="O80" s="7">
        <f>0</f>
        <v>0</v>
      </c>
      <c r="P80" s="7">
        <f>M80-N80-O80</f>
        <v>2.24520713892791e-05</v>
      </c>
      <c r="Q80" s="7">
        <f>0</f>
        <v>0</v>
      </c>
      <c r="R80" s="7">
        <f>P80-Q80</f>
        <v>2.24520713892791e-05</v>
      </c>
      <c r="S80" s="7">
        <f>IF(A80&lt;1+Parameters!$K$31,0,INDEX($M$45:$M$80,A80-Parameters!$K$31))</f>
        <v>0.031541290069902736</v>
      </c>
      <c r="T80" s="7">
        <f>T79+M80-S80</f>
        <v>0.029602628911836935</v>
      </c>
      <c r="U80" s="7">
        <f>S80-N80-O80-Q80</f>
        <v>0.0019611132294550804</v>
      </c>
      <c r="V80" s="7">
        <f>V79+U80</f>
        <v>1.3966843622134748</v>
      </c>
      <c r="W80" s="7">
        <f>(1-Parameters!$K$7)*(C80-E80)+(1-Parameters!$K$8)*(D80+E80)</f>
        <v>0.0033697516662273895</v>
      </c>
      <c r="X80" s="7">
        <f>Parameters!$K$7*(C80-E80)+Parameters!$K$8*Parameters!$K$9*(D80+E80)</f>
        <v>0.010886018417578303</v>
      </c>
      <c r="Y80" s="7">
        <f>Parameters!$K$8*(1-Parameters!$K$9)*(D80+E80)</f>
        <v>0.04104368722121062</v>
      </c>
      <c r="Z80" s="7">
        <f>POWER(1/(1+Parameters!$K$32),A80-1)*(M80-N80)</f>
        <v>1.5849235993427308e-05</v>
      </c>
    </row>
  </sheetData>
  <mergeCells count="3">
    <mergeCell ref="A1:Z1"/>
    <mergeCell ref="A2:Z2"/>
    <mergeCell ref="A43:Z4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Z80"/>
  <sheetViews>
    <sheetView showGridLines="0" zoomScale="85" zoomScaleNormal="85" workbookViewId="0">
      <pane xSplit="4" ySplit="4" topLeftCell="E5" activePane="bottomRight" state="frozen"/>
      <selection pane="topRight" activeCell="E1" sqref="E1"/>
      <selection pane="bottomLeft" activeCell="A5" sqref="A5"/>
      <selection pane="bottomRight"/>
    </sheetView>
  </sheetViews>
  <sheetFormatPr defaultRowHeight="15"/>
  <cols>
    <col min="1" max="1" width="10.7109375" customWidth="1"/>
    <col min="2" max="9" width="19.7109375" customWidth="1"/>
    <col min="10" max="26" width="22.7109375" customWidth="1"/>
  </cols>
  <sheetData>
    <row r="1" spans="1:26">
      <c r="A1" s="1" t="s">
        <v>205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3" t="s">
        <v>163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4" spans="1:26" ht="45" customHeight="1">
      <c r="A4" s="4" t="s">
        <v>164</v>
      </c>
      <c r="B4" s="4" t="s">
        <v>165</v>
      </c>
      <c r="C4" s="4" t="s">
        <v>166</v>
      </c>
      <c r="D4" s="4" t="s">
        <v>167</v>
      </c>
      <c r="E4" s="4" t="s">
        <v>168</v>
      </c>
      <c r="F4" s="4" t="s">
        <v>169</v>
      </c>
      <c r="G4" s="4" t="s">
        <v>170</v>
      </c>
      <c r="H4" s="4" t="s">
        <v>171</v>
      </c>
      <c r="I4" s="4" t="s">
        <v>172</v>
      </c>
      <c r="J4" s="4" t="s">
        <v>173</v>
      </c>
      <c r="K4" s="4" t="s">
        <v>174</v>
      </c>
      <c r="L4" s="4" t="s">
        <v>175</v>
      </c>
      <c r="M4" s="4" t="s">
        <v>176</v>
      </c>
      <c r="N4" s="4" t="s">
        <v>177</v>
      </c>
      <c r="O4" s="4" t="s">
        <v>99</v>
      </c>
      <c r="P4" s="4" t="s">
        <v>178</v>
      </c>
      <c r="Q4" s="4" t="s">
        <v>179</v>
      </c>
      <c r="R4" s="4" t="s">
        <v>180</v>
      </c>
      <c r="S4" s="4" t="s">
        <v>181</v>
      </c>
      <c r="T4" s="4" t="s">
        <v>182</v>
      </c>
      <c r="U4" s="4" t="s">
        <v>183</v>
      </c>
      <c r="V4" s="4" t="s">
        <v>184</v>
      </c>
      <c r="W4" s="4" t="s">
        <v>185</v>
      </c>
      <c r="X4" s="4" t="s">
        <v>186</v>
      </c>
      <c r="Y4" s="4" t="s">
        <v>187</v>
      </c>
      <c r="Z4" s="4" t="s">
        <v>188</v>
      </c>
    </row>
    <row r="5" spans="1:26">
      <c r="A5" s="7">
        <v>1</v>
      </c>
      <c r="B5" s="7">
        <f>Parameters!$L$20</f>
        <v>1000</v>
      </c>
      <c r="C5" s="7">
        <f>B5</f>
        <v>1000</v>
      </c>
      <c r="D5" s="7">
        <f>0</f>
        <v>0.0</v>
      </c>
      <c r="E5" s="7">
        <f>Parameters!$L$6*C5</f>
        <v>20.0</v>
      </c>
      <c r="F5" s="7">
        <f>IF(Parameters!$L$5=1,E5,0)</f>
        <v>0.0</v>
      </c>
      <c r="G5" s="7">
        <f>F5</f>
        <v>0.0</v>
      </c>
      <c r="H5" s="7">
        <f>IF(AND(Parameters!$L$5=1,Parameters!$L$26=1),SUMPRODUCT(--($A$5:A5&lt;A5),--(MOD(A5-$A$5:A5,Parameters!$L$28)=0),$F$5:F5,POWER(Parameters!$L$27,IF(A5-$A$5:A5=0,1,A5-$A$5:A5))),0)</f>
        <v>0.0</v>
      </c>
      <c r="I5" s="7">
        <f>B5*Parameters!$L$22</f>
        <v>150.0</v>
      </c>
      <c r="J5" s="7">
        <f>E5*Parameters!$L$14*(1-Parameters!$L$15)</f>
        <v>380.0</v>
      </c>
      <c r="K5" s="7">
        <f>H5*Parameters!$L$29</f>
        <v>0.0</v>
      </c>
      <c r="L5" s="7">
        <f>I5*Parameters!$L$24</f>
        <v>450.0</v>
      </c>
      <c r="M5" s="7">
        <f>J5+K5+L5</f>
        <v>830.0</v>
      </c>
      <c r="N5" s="7">
        <f>C5*Parameters!$L$17+D5*Parameters!$L$18+E5*Parameters!$L$16+I5*Parameters!$L$25+G5*Parameters!$L$30</f>
        <v>395.0</v>
      </c>
      <c r="O5" s="7">
        <f>B5*Parameters!$L$19</f>
        <v>4000</v>
      </c>
      <c r="P5" s="7">
        <f>M5-N5-O5</f>
        <v>-3565.0</v>
      </c>
      <c r="Q5" s="7">
        <f>Parameters!$L$21</f>
        <v>1000</v>
      </c>
      <c r="R5" s="7">
        <f>P5-Q5</f>
        <v>-4565.0</v>
      </c>
      <c r="S5" s="7">
        <f>IF(A5&lt;1+Parameters!$L$31,0,INDEX($M$5:$M$40,A5-Parameters!$L$31))</f>
        <v>0.0</v>
      </c>
      <c r="T5" s="7">
        <f>M5-S5</f>
        <v>830.0</v>
      </c>
      <c r="U5" s="7">
        <f>S5-N5-O5-Q5</f>
        <v>-5395.0</v>
      </c>
      <c r="V5" s="7">
        <f>U5</f>
        <v>-5395.0</v>
      </c>
      <c r="W5" s="7">
        <f>(1-Parameters!$L$7)*(C5-E5)+(1-Parameters!$L$8)*(D5+E5)</f>
        <v>98.99999999999997</v>
      </c>
      <c r="X5" s="7">
        <f>Parameters!$L$7*(C5-E5)+Parameters!$L$8*Parameters!$L$9*(D5+E5)</f>
        <v>882.0</v>
      </c>
      <c r="Y5" s="7">
        <f>Parameters!$L$8*(1-Parameters!$L$9)*(D5+E5)</f>
        <v>19.0</v>
      </c>
      <c r="Z5" s="7">
        <f>POWER(1/(1+Parameters!$L$32),A5-1)*(M5-N5)</f>
        <v>435.0</v>
      </c>
    </row>
    <row r="6" spans="1:26">
      <c r="A6" s="7">
        <v>2</v>
      </c>
      <c r="B6" s="7">
        <f>Parameters!$L$20</f>
        <v>1000</v>
      </c>
      <c r="C6" s="7">
        <f>X5+B6</f>
        <v>1882.0</v>
      </c>
      <c r="D6" s="7">
        <f>Y5</f>
        <v>19.0</v>
      </c>
      <c r="E6" s="7">
        <f>Parameters!$L$6*C6</f>
        <v>37.64</v>
      </c>
      <c r="F6" s="7">
        <f>IF(Parameters!$L$5=1,E6,0)</f>
        <v>0.0</v>
      </c>
      <c r="G6" s="7">
        <f>Parameters!$L$27*G5+F6</f>
        <v>0.0</v>
      </c>
      <c r="H6" s="7">
        <f>IF(AND(Parameters!$L$5=1,Parameters!$L$26=1),SUMPRODUCT(--($A$5:A6&lt;A6),--(MOD(A6-$A$5:A6,Parameters!$L$28)=0),$F$5:F6,POWER(Parameters!$L$27,IF(A6-$A$5:A6=0,1,A6-$A$5:A6))),0)</f>
        <v>0.0</v>
      </c>
      <c r="I6" s="7">
        <f>Parameters!$L$23*I5+B6*Parameters!$L$22</f>
        <v>292.5</v>
      </c>
      <c r="J6" s="7">
        <f>E6*Parameters!$L$14*(1-Parameters!$L$15)</f>
        <v>715.16</v>
      </c>
      <c r="K6" s="7">
        <f>H6*Parameters!$L$29</f>
        <v>0.0</v>
      </c>
      <c r="L6" s="7">
        <f>I6*Parameters!$L$24</f>
        <v>877.5</v>
      </c>
      <c r="M6" s="7">
        <f>J6+K6+L6</f>
        <v>1592.6599999999999</v>
      </c>
      <c r="N6" s="7">
        <f>C6*Parameters!$L$17+D6*Parameters!$L$18+E6*Parameters!$L$16+I6*Parameters!$L$25+G6*Parameters!$L$30</f>
        <v>757.99</v>
      </c>
      <c r="O6" s="7">
        <f>B6*Parameters!$L$19</f>
        <v>4000</v>
      </c>
      <c r="P6" s="7">
        <f>M6-N6-O6</f>
        <v>-3165.33</v>
      </c>
      <c r="Q6" s="7">
        <f>Parameters!$L$21</f>
        <v>1000</v>
      </c>
      <c r="R6" s="7">
        <f>P6-Q6</f>
        <v>-4165.33</v>
      </c>
      <c r="S6" s="7">
        <f>IF(A6&lt;1+Parameters!$L$31,0,INDEX($M$5:$M$40,A6-Parameters!$L$31))</f>
        <v>830.0</v>
      </c>
      <c r="T6" s="7">
        <f>T5+M6-S6</f>
        <v>1592.6599999999999</v>
      </c>
      <c r="U6" s="7">
        <f>S6-N6-O6-Q6</f>
        <v>-4927.99</v>
      </c>
      <c r="V6" s="7">
        <f>V5+U6</f>
        <v>-10322.99</v>
      </c>
      <c r="W6" s="7">
        <f>(1-Parameters!$L$7)*(C6-E6)+(1-Parameters!$L$8)*(D6+E6)</f>
        <v>187.26799999999997</v>
      </c>
      <c r="X6" s="7">
        <f>Parameters!$L$7*(C6-E6)+Parameters!$L$8*Parameters!$L$9*(D6+E6)</f>
        <v>1659.924</v>
      </c>
      <c r="Y6" s="7">
        <f>Parameters!$L$8*(1-Parameters!$L$9)*(D6+E6)</f>
        <v>53.808</v>
      </c>
      <c r="Z6" s="7">
        <f>POWER(1/(1+Parameters!$L$32),A6-1)*(M6-N6)</f>
        <v>826.4059405940592</v>
      </c>
    </row>
    <row r="7" spans="1:26">
      <c r="A7" s="7">
        <v>3</v>
      </c>
      <c r="B7" s="7">
        <f>Parameters!$L$20</f>
        <v>1000</v>
      </c>
      <c r="C7" s="7">
        <f>X6+B7</f>
        <v>2659.924</v>
      </c>
      <c r="D7" s="7">
        <f>Y6</f>
        <v>53.808</v>
      </c>
      <c r="E7" s="7">
        <f>Parameters!$L$6*C7</f>
        <v>53.19848</v>
      </c>
      <c r="F7" s="7">
        <f>IF(Parameters!$L$5=1,E7,0)</f>
        <v>0.0</v>
      </c>
      <c r="G7" s="7">
        <f>Parameters!$L$27*G6+F7</f>
        <v>0.0</v>
      </c>
      <c r="H7" s="7">
        <f>IF(AND(Parameters!$L$5=1,Parameters!$L$26=1),SUMPRODUCT(--($A$5:A7&lt;A7),--(MOD(A7-$A$5:A7,Parameters!$L$28)=0),$F$5:F7,POWER(Parameters!$L$27,IF(A7-$A$5:A7=0,1,A7-$A$5:A7))),0)</f>
        <v>0.0</v>
      </c>
      <c r="I7" s="7">
        <f>Parameters!$L$23*I6+B7*Parameters!$L$22</f>
        <v>427.875</v>
      </c>
      <c r="J7" s="7">
        <f>E7*Parameters!$L$14*(1-Parameters!$L$15)</f>
        <v>1010.7711200000001</v>
      </c>
      <c r="K7" s="7">
        <f>H7*Parameters!$L$29</f>
        <v>0.0</v>
      </c>
      <c r="L7" s="7">
        <f>I7*Parameters!$L$24</f>
        <v>1283.625</v>
      </c>
      <c r="M7" s="7">
        <f>J7+K7+L7</f>
        <v>2294.3961200000003</v>
      </c>
      <c r="N7" s="7">
        <f>C7*Parameters!$L$17+D7*Parameters!$L$18+E7*Parameters!$L$16+I7*Parameters!$L$25+G7*Parameters!$L$30</f>
        <v>1092.0171799999998</v>
      </c>
      <c r="O7" s="7">
        <f>B7*Parameters!$L$19</f>
        <v>4000</v>
      </c>
      <c r="P7" s="7">
        <f>M7-N7-O7</f>
        <v>-2797.6210599999995</v>
      </c>
      <c r="Q7" s="7">
        <f>Parameters!$L$21</f>
        <v>1000</v>
      </c>
      <c r="R7" s="7">
        <f>P7-Q7</f>
        <v>-3797.6210599999995</v>
      </c>
      <c r="S7" s="7">
        <f>IF(A7&lt;1+Parameters!$L$31,0,INDEX($M$5:$M$40,A7-Parameters!$L$31))</f>
        <v>1592.6599999999999</v>
      </c>
      <c r="T7" s="7">
        <f>T6+M7-S7</f>
        <v>2294.3961200000003</v>
      </c>
      <c r="U7" s="7">
        <f>S7-N7-O7-Q7</f>
        <v>-4499.35718</v>
      </c>
      <c r="V7" s="7">
        <f>V6+U7</f>
        <v>-14822.34718</v>
      </c>
      <c r="W7" s="7">
        <f>(1-Parameters!$L$7)*(C7-E7)+(1-Parameters!$L$8)*(D7+E7)</f>
        <v>266.02287599999994</v>
      </c>
      <c r="X7" s="7">
        <f>Parameters!$L$7*(C7-E7)+Parameters!$L$8*Parameters!$L$9*(D7+E7)</f>
        <v>2346.052968</v>
      </c>
      <c r="Y7" s="7">
        <f>Parameters!$L$8*(1-Parameters!$L$9)*(D7+E7)</f>
        <v>101.65615600000001</v>
      </c>
      <c r="Z7" s="7">
        <f>POWER(1/(1+Parameters!$L$32),A7-1)*(M7-N7)</f>
        <v>1178.6873247720816</v>
      </c>
    </row>
    <row r="8" spans="1:26">
      <c r="A8" s="7">
        <v>4</v>
      </c>
      <c r="B8" s="7">
        <f>Parameters!$L$20</f>
        <v>1000</v>
      </c>
      <c r="C8" s="7">
        <f>X7+B8</f>
        <v>3346.052968</v>
      </c>
      <c r="D8" s="7">
        <f>Y7</f>
        <v>101.656156</v>
      </c>
      <c r="E8" s="7">
        <f>Parameters!$L$6*C8</f>
        <v>66.92105936</v>
      </c>
      <c r="F8" s="7">
        <f>IF(Parameters!$L$5=1,E8,0)</f>
        <v>0.0</v>
      </c>
      <c r="G8" s="7">
        <f>Parameters!$L$27*G7+F8</f>
        <v>0.0</v>
      </c>
      <c r="H8" s="7">
        <f>IF(AND(Parameters!$L$5=1,Parameters!$L$26=1),SUMPRODUCT(--($A$5:A8&lt;A8),--(MOD(A8-$A$5:A8,Parameters!$L$28)=0),$F$5:F8,POWER(Parameters!$L$27,IF(A8-$A$5:A8=0,1,A8-$A$5:A8))),0)</f>
        <v>0.0</v>
      </c>
      <c r="I8" s="7">
        <f>Parameters!$L$23*I7+B8*Parameters!$L$22</f>
        <v>556.48125</v>
      </c>
      <c r="J8" s="7">
        <f>E8*Parameters!$L$14*(1-Parameters!$L$15)</f>
        <v>1271.50012784</v>
      </c>
      <c r="K8" s="7">
        <f>H8*Parameters!$L$29</f>
        <v>0.0</v>
      </c>
      <c r="L8" s="7">
        <f>I8*Parameters!$L$24</f>
        <v>1669.4437500000001</v>
      </c>
      <c r="M8" s="7">
        <f>J8+K8+L8</f>
        <v>2940.94387784</v>
      </c>
      <c r="N8" s="7">
        <f>C8*Parameters!$L$17+D8*Parameters!$L$18+E8*Parameters!$L$16+I8*Parameters!$L$25+G8*Parameters!$L$30</f>
        <v>1399.8056527600002</v>
      </c>
      <c r="O8" s="7">
        <f>B8*Parameters!$L$19</f>
        <v>4000</v>
      </c>
      <c r="P8" s="7">
        <f>M8-N8-O8</f>
        <v>-2458.8617749200002</v>
      </c>
      <c r="Q8" s="7">
        <f>Parameters!$L$21</f>
        <v>1000</v>
      </c>
      <c r="R8" s="7">
        <f>P8-Q8</f>
        <v>-3458.8617749200002</v>
      </c>
      <c r="S8" s="7">
        <f>IF(A8&lt;1+Parameters!$L$31,0,INDEX($M$5:$M$40,A8-Parameters!$L$31))</f>
        <v>2294.3961200000003</v>
      </c>
      <c r="T8" s="7">
        <f>T7+M8-S8</f>
        <v>2940.94387784</v>
      </c>
      <c r="U8" s="7">
        <f>S8-N8-O8-Q8</f>
        <v>-4105.40953276</v>
      </c>
      <c r="V8" s="7">
        <f>V7+U8</f>
        <v>-18927.75671276</v>
      </c>
      <c r="W8" s="7">
        <f>(1-Parameters!$L$7)*(C8-E8)+(1-Parameters!$L$8)*(D8+E8)</f>
        <v>336.3420516319999</v>
      </c>
      <c r="X8" s="7">
        <f>Parameters!$L$7*(C8-E8)+Parameters!$L$8*Parameters!$L$9*(D8+E8)</f>
        <v>2951.218717776</v>
      </c>
      <c r="Y8" s="7">
        <f>Parameters!$L$8*(1-Parameters!$L$9)*(D8+E8)</f>
        <v>160.14835459199998</v>
      </c>
      <c r="Z8" s="7">
        <f>POWER(1/(1+Parameters!$L$32),A8-1)*(M8-N8)</f>
        <v>1495.8135778573444</v>
      </c>
    </row>
    <row r="9" spans="1:26">
      <c r="A9" s="7">
        <v>5</v>
      </c>
      <c r="B9" s="7">
        <f>Parameters!$L$20</f>
        <v>1000</v>
      </c>
      <c r="C9" s="7">
        <f>X8+B9</f>
        <v>3951.2187177759997</v>
      </c>
      <c r="D9" s="7">
        <f>Y8</f>
        <v>160.14835459199998</v>
      </c>
      <c r="E9" s="7">
        <f>Parameters!$L$6*C9</f>
        <v>79.02437435552</v>
      </c>
      <c r="F9" s="7">
        <f>IF(Parameters!$L$5=1,E9,0)</f>
        <v>0.0</v>
      </c>
      <c r="G9" s="7">
        <f>Parameters!$L$27*G8+F9</f>
        <v>0.0</v>
      </c>
      <c r="H9" s="7">
        <f>IF(AND(Parameters!$L$5=1,Parameters!$L$26=1),SUMPRODUCT(--($A$5:A9&lt;A9),--(MOD(A9-$A$5:A9,Parameters!$L$28)=0),$F$5:F9,POWER(Parameters!$L$27,IF(A9-$A$5:A9=0,1,A9-$A$5:A9))),0)</f>
        <v>0.0</v>
      </c>
      <c r="I9" s="7">
        <f>Parameters!$L$23*I8+B9*Parameters!$L$22</f>
        <v>678.6571875</v>
      </c>
      <c r="J9" s="7">
        <f>E9*Parameters!$L$14*(1-Parameters!$L$15)</f>
        <v>1501.4631127548798</v>
      </c>
      <c r="K9" s="7">
        <f>H9*Parameters!$L$29</f>
        <v>0.0</v>
      </c>
      <c r="L9" s="7">
        <f>I9*Parameters!$L$24</f>
        <v>2035.9715625</v>
      </c>
      <c r="M9" s="7">
        <f>J9+K9+L9</f>
        <v>3537.43467525488</v>
      </c>
      <c r="N9" s="7">
        <f>C9*Parameters!$L$17+D9*Parameters!$L$18+E9*Parameters!$L$16+I9*Parameters!$L$25+G9*Parameters!$L$30</f>
        <v>1683.79276073432</v>
      </c>
      <c r="O9" s="7">
        <f>B9*Parameters!$L$19</f>
        <v>4000</v>
      </c>
      <c r="P9" s="7">
        <f>M9-N9-O9</f>
        <v>-2146.35808547944</v>
      </c>
      <c r="Q9" s="7">
        <f>Parameters!$L$21</f>
        <v>1000</v>
      </c>
      <c r="R9" s="7">
        <f>P9-Q9</f>
        <v>-3146.35808547944</v>
      </c>
      <c r="S9" s="7">
        <f>IF(A9&lt;1+Parameters!$L$31,0,INDEX($M$5:$M$40,A9-Parameters!$L$31))</f>
        <v>2940.94387784</v>
      </c>
      <c r="T9" s="7">
        <f>T8+M9-S9</f>
        <v>3537.43467525488</v>
      </c>
      <c r="U9" s="7">
        <f>S9-N9-O9-Q9</f>
        <v>-3742.84888289432</v>
      </c>
      <c r="V9" s="7">
        <f>V8+U9</f>
        <v>-22670.60559565432</v>
      </c>
      <c r="W9" s="7">
        <f>(1-Parameters!$L$7)*(C9-E9)+(1-Parameters!$L$8)*(D9+E9)</f>
        <v>399.17807078942394</v>
      </c>
      <c r="X9" s="7">
        <f>Parameters!$L$7*(C9-E9)+Parameters!$L$8*Parameters!$L$9*(D9+E9)</f>
        <v>3484.9749090784317</v>
      </c>
      <c r="Y9" s="7">
        <f>Parameters!$L$8*(1-Parameters!$L$9)*(D9+E9)</f>
        <v>227.21409250014395</v>
      </c>
      <c r="Z9" s="7">
        <f>POWER(1/(1+Parameters!$L$32),A9-1)*(M9-N9)</f>
        <v>1781.3134455637548</v>
      </c>
    </row>
    <row r="10" spans="1:26">
      <c r="A10" s="7">
        <v>6</v>
      </c>
      <c r="B10" s="7">
        <f>Parameters!$L$20</f>
        <v>1000</v>
      </c>
      <c r="C10" s="7">
        <f>X9+B10</f>
        <v>4484.974909078432</v>
      </c>
      <c r="D10" s="7">
        <f>Y9</f>
        <v>227.21409250014398</v>
      </c>
      <c r="E10" s="7">
        <f>Parameters!$L$6*C10</f>
        <v>89.69949818156864</v>
      </c>
      <c r="F10" s="7">
        <f>IF(Parameters!$L$5=1,E10,0)</f>
        <v>0.0</v>
      </c>
      <c r="G10" s="7">
        <f>Parameters!$L$27*G9+F10</f>
        <v>0.0</v>
      </c>
      <c r="H10" s="7">
        <f>IF(AND(Parameters!$L$5=1,Parameters!$L$26=1),SUMPRODUCT(--($A$5:A10&lt;A10),--(MOD(A10-$A$5:A10,Parameters!$L$28)=0),$F$5:F10,POWER(Parameters!$L$27,IF(A10-$A$5:A10=0,1,A10-$A$5:A10))),0)</f>
        <v>0.0</v>
      </c>
      <c r="I10" s="7">
        <f>Parameters!$L$23*I9+B10*Parameters!$L$22</f>
        <v>794.7243281249999</v>
      </c>
      <c r="J10" s="7">
        <f>E10*Parameters!$L$14*(1-Parameters!$L$15)</f>
        <v>1704.290465449804</v>
      </c>
      <c r="K10" s="7">
        <f>H10*Parameters!$L$29</f>
        <v>0.0</v>
      </c>
      <c r="L10" s="7">
        <f>I10*Parameters!$L$24</f>
        <v>2384.172984375</v>
      </c>
      <c r="M10" s="7">
        <f>J10+K10+L10</f>
        <v>4088.4634498248042</v>
      </c>
      <c r="N10" s="7">
        <f>C10*Parameters!$L$17+D10*Parameters!$L$18+E10*Parameters!$L$16+I10*Parameters!$L$25+G10*Parameters!$L$30</f>
        <v>1946.1611812176702</v>
      </c>
      <c r="O10" s="7">
        <f>B10*Parameters!$L$19</f>
        <v>4000</v>
      </c>
      <c r="P10" s="7">
        <f>M10-N10-O10</f>
        <v>-1857.697731392866</v>
      </c>
      <c r="Q10" s="7">
        <f>Parameters!$L$21</f>
        <v>1000</v>
      </c>
      <c r="R10" s="7">
        <f>P10-Q10</f>
        <v>-2857.697731392866</v>
      </c>
      <c r="S10" s="7">
        <f>IF(A10&lt;1+Parameters!$L$31,0,INDEX($M$5:$M$40,A10-Parameters!$L$31))</f>
        <v>3537.43467525488</v>
      </c>
      <c r="T10" s="7">
        <f>T9+M10-S10</f>
        <v>4088.4634498248042</v>
      </c>
      <c r="U10" s="7">
        <f>S10-N10-O10-Q10</f>
        <v>-3408.7265059627903</v>
      </c>
      <c r="V10" s="7">
        <f>V9+U10</f>
        <v>-26079.33210161711</v>
      </c>
      <c r="W10" s="7">
        <f>(1-Parameters!$L$7)*(C10-E10)+(1-Parameters!$L$8)*(D10+E10)</f>
        <v>455.3732206237719</v>
      </c>
      <c r="X10" s="7">
        <f>Parameters!$L$7*(C10-E10)+Parameters!$L$8*Parameters!$L$9*(D10+E10)</f>
        <v>3955.747869807177</v>
      </c>
      <c r="Y10" s="7">
        <f>Parameters!$L$8*(1-Parameters!$L$9)*(D10+E10)</f>
        <v>301.06791114762694</v>
      </c>
      <c r="Z10" s="7">
        <f>POWER(1/(1+Parameters!$L$32),A10-1)*(M10-N10)</f>
        <v>2038.3271010617846</v>
      </c>
    </row>
    <row r="11" spans="1:26">
      <c r="A11" s="7">
        <v>7</v>
      </c>
      <c r="B11" s="7">
        <f>Parameters!$L$20</f>
        <v>1000</v>
      </c>
      <c r="C11" s="7">
        <f>X10+B11</f>
        <v>4955.747869807177</v>
      </c>
      <c r="D11" s="7">
        <f>Y10</f>
        <v>301.067911147627</v>
      </c>
      <c r="E11" s="7">
        <f>Parameters!$L$6*C11</f>
        <v>99.11495739614354</v>
      </c>
      <c r="F11" s="7">
        <f>IF(Parameters!$L$5=1,E11,0)</f>
        <v>0.0</v>
      </c>
      <c r="G11" s="7">
        <f>Parameters!$L$27*G10+F11</f>
        <v>0.0</v>
      </c>
      <c r="H11" s="7">
        <f>IF(AND(Parameters!$L$5=1,Parameters!$L$26=1),SUMPRODUCT(--($A$5:A11&lt;A11),--(MOD(A11-$A$5:A11,Parameters!$L$28)=0),$F$5:F11,POWER(Parameters!$L$27,IF(A11-$A$5:A11=0,1,A11-$A$5:A11))),0)</f>
        <v>0.0</v>
      </c>
      <c r="I11" s="7">
        <f>Parameters!$L$23*I10+B11*Parameters!$L$22</f>
        <v>904.9881117187499</v>
      </c>
      <c r="J11" s="7">
        <f>E11*Parameters!$L$14*(1-Parameters!$L$15)</f>
        <v>1883.1841905267272</v>
      </c>
      <c r="K11" s="7">
        <f>H11*Parameters!$L$29</f>
        <v>0.0</v>
      </c>
      <c r="L11" s="7">
        <f>I11*Parameters!$L$24</f>
        <v>2714.96433515625</v>
      </c>
      <c r="M11" s="7">
        <f>J11+K11+L11</f>
        <v>4598.148525682977</v>
      </c>
      <c r="N11" s="7">
        <f>C11*Parameters!$L$17+D11*Parameters!$L$18+E11*Parameters!$L$16+I11*Parameters!$L$25+G11*Parameters!$L$30</f>
        <v>2188.8673297714854</v>
      </c>
      <c r="O11" s="7">
        <f>B11*Parameters!$L$19</f>
        <v>4000</v>
      </c>
      <c r="P11" s="7">
        <f>M11-N11-O11</f>
        <v>-1590.718804088508</v>
      </c>
      <c r="Q11" s="7">
        <f>Parameters!$L$21</f>
        <v>1000</v>
      </c>
      <c r="R11" s="7">
        <f>P11-Q11</f>
        <v>-2590.718804088508</v>
      </c>
      <c r="S11" s="7">
        <f>IF(A11&lt;1+Parameters!$L$31,0,INDEX($M$5:$M$40,A11-Parameters!$L$31))</f>
        <v>4088.4634498248042</v>
      </c>
      <c r="T11" s="7">
        <f>T10+M11-S11</f>
        <v>4598.148525682977</v>
      </c>
      <c r="U11" s="7">
        <f>S11-N11-O11-Q11</f>
        <v>-3100.403879946681</v>
      </c>
      <c r="V11" s="7">
        <f>V10+U11</f>
        <v>-29179.73598156379</v>
      </c>
      <c r="W11" s="7">
        <f>(1-Parameters!$L$7)*(C11-E11)+(1-Parameters!$L$8)*(D11+E11)</f>
        <v>505.67243466829177</v>
      </c>
      <c r="X11" s="7">
        <f>Parameters!$L$7*(C11-E11)+Parameters!$L$8*Parameters!$L$9*(D11+E11)</f>
        <v>4370.96962116993</v>
      </c>
      <c r="Y11" s="7">
        <f>Parameters!$L$8*(1-Parameters!$L$9)*(D11+E11)</f>
        <v>380.17372511658203</v>
      </c>
      <c r="Z11" s="7">
        <f>POWER(1/(1+Parameters!$L$32),A11-1)*(M11-N11)</f>
        <v>2269.651870995978</v>
      </c>
    </row>
    <row r="12" spans="1:26">
      <c r="A12" s="7">
        <v>8</v>
      </c>
      <c r="B12" s="7">
        <f>Parameters!$L$20</f>
        <v>1000</v>
      </c>
      <c r="C12" s="7">
        <f>X11+B12</f>
        <v>5370.96962116993</v>
      </c>
      <c r="D12" s="7">
        <f>Y11</f>
        <v>380.173725116582</v>
      </c>
      <c r="E12" s="7">
        <f>Parameters!$L$6*C12</f>
        <v>107.4193924233986</v>
      </c>
      <c r="F12" s="7">
        <f>IF(Parameters!$L$5=1,E12,0)</f>
        <v>0.0</v>
      </c>
      <c r="G12" s="7">
        <f>Parameters!$L$27*G11+F12</f>
        <v>0.0</v>
      </c>
      <c r="H12" s="7">
        <f>IF(AND(Parameters!$L$5=1,Parameters!$L$26=1),SUMPRODUCT(--($A$5:A12&lt;A12),--(MOD(A12-$A$5:A12,Parameters!$L$28)=0),$F$5:F12,POWER(Parameters!$L$27,IF(A12-$A$5:A12=0,1,A12-$A$5:A12))),0)</f>
        <v>0.0</v>
      </c>
      <c r="I12" s="7">
        <f>Parameters!$L$23*I11+B12*Parameters!$L$22</f>
        <v>1009.7387061328124</v>
      </c>
      <c r="J12" s="7">
        <f>E12*Parameters!$L$14*(1-Parameters!$L$15)</f>
        <v>2040.9684560445735</v>
      </c>
      <c r="K12" s="7">
        <f>H12*Parameters!$L$29</f>
        <v>0.0</v>
      </c>
      <c r="L12" s="7">
        <f>I12*Parameters!$L$24</f>
        <v>3029.216118398437</v>
      </c>
      <c r="M12" s="7">
        <f>J12+K12+L12</f>
        <v>5070.18457444301</v>
      </c>
      <c r="N12" s="7">
        <f>C12*Parameters!$L$17+D12*Parameters!$L$18+E12*Parameters!$L$16+I12*Parameters!$L$25+G12*Parameters!$L$30</f>
        <v>2413.666494399075</v>
      </c>
      <c r="O12" s="7">
        <f>B12*Parameters!$L$19</f>
        <v>4000</v>
      </c>
      <c r="P12" s="7">
        <f>M12-N12-O12</f>
        <v>-1343.4819199560648</v>
      </c>
      <c r="Q12" s="7">
        <f>Parameters!$L$21</f>
        <v>1000</v>
      </c>
      <c r="R12" s="7">
        <f>P12-Q12</f>
        <v>-2343.4819199560648</v>
      </c>
      <c r="S12" s="7">
        <f>IF(A12&lt;1+Parameters!$L$31,0,INDEX($M$5:$M$40,A12-Parameters!$L$31))</f>
        <v>4598.148525682977</v>
      </c>
      <c r="T12" s="7">
        <f>T11+M12-S12</f>
        <v>5070.18457444301</v>
      </c>
      <c r="U12" s="7">
        <f>S12-N12-O12-Q12</f>
        <v>-2815.5179687160976</v>
      </c>
      <c r="V12" s="7">
        <f>V11+U12</f>
        <v>-31995.253950279886</v>
      </c>
      <c r="W12" s="7">
        <f>(1-Parameters!$L$7)*(C12-E12)+(1-Parameters!$L$8)*(D12+E12)</f>
        <v>550.734678751652</v>
      </c>
      <c r="X12" s="7">
        <f>Parameters!$L$7*(C12-E12)+Parameters!$L$8*Parameters!$L$9*(D12+E12)</f>
        <v>4737.195205871879</v>
      </c>
      <c r="Y12" s="7">
        <f>Parameters!$L$8*(1-Parameters!$L$9)*(D12+E12)</f>
        <v>463.21346166298156</v>
      </c>
      <c r="Z12" s="7">
        <f>POWER(1/(1+Parameters!$L$32),A12-1)*(M12-N12)</f>
        <v>2477.7823759129133</v>
      </c>
    </row>
    <row r="13" spans="1:26">
      <c r="A13" s="7">
        <v>9</v>
      </c>
      <c r="B13" s="7">
        <f>Parameters!$L$20</f>
        <v>1000</v>
      </c>
      <c r="C13" s="7">
        <f>X12+B13</f>
        <v>5737.195205871878</v>
      </c>
      <c r="D13" s="7">
        <f>Y12</f>
        <v>463.21346166298156</v>
      </c>
      <c r="E13" s="7">
        <f>Parameters!$L$6*C13</f>
        <v>114.74390411743757</v>
      </c>
      <c r="F13" s="7">
        <f>IF(Parameters!$L$5=1,E13,0)</f>
        <v>0.0</v>
      </c>
      <c r="G13" s="7">
        <f>Parameters!$L$27*G12+F13</f>
        <v>0.0</v>
      </c>
      <c r="H13" s="7">
        <f>IF(AND(Parameters!$L$5=1,Parameters!$L$26=1),SUMPRODUCT(--($A$5:A13&lt;A13),--(MOD(A13-$A$5:A13,Parameters!$L$28)=0),$F$5:F13,POWER(Parameters!$L$27,IF(A13-$A$5:A13=0,1,A13-$A$5:A13))),0)</f>
        <v>0.0</v>
      </c>
      <c r="I13" s="7">
        <f>Parameters!$L$23*I12+B13*Parameters!$L$22</f>
        <v>1109.2517708261717</v>
      </c>
      <c r="J13" s="7">
        <f>E13*Parameters!$L$14*(1-Parameters!$L$15)</f>
        <v>2180.134178231314</v>
      </c>
      <c r="K13" s="7">
        <f>H13*Parameters!$L$29</f>
        <v>0.0</v>
      </c>
      <c r="L13" s="7">
        <f>I13*Parameters!$L$24</f>
        <v>3327.755312478515</v>
      </c>
      <c r="M13" s="7">
        <f>J13+K13+L13</f>
        <v>5507.889490709829</v>
      </c>
      <c r="N13" s="7">
        <f>C13*Parameters!$L$17+D13*Parameters!$L$18+E13*Parameters!$L$16+I13*Parameters!$L$25+G13*Parameters!$L$30</f>
        <v>2622.1350821235774</v>
      </c>
      <c r="O13" s="7">
        <f>B13*Parameters!$L$19</f>
        <v>4000</v>
      </c>
      <c r="P13" s="7">
        <f>M13-N13-O13</f>
        <v>-1114.2455914137481</v>
      </c>
      <c r="Q13" s="7">
        <f>Parameters!$L$21</f>
        <v>1000</v>
      </c>
      <c r="R13" s="7">
        <f>P13-Q13</f>
        <v>-2114.245591413748</v>
      </c>
      <c r="S13" s="7">
        <f>IF(A13&lt;1+Parameters!$L$31,0,INDEX($M$5:$M$40,A13-Parameters!$L$31))</f>
        <v>5070.18457444301</v>
      </c>
      <c r="T13" s="7">
        <f>T12+M13-S13</f>
        <v>5507.889490709829</v>
      </c>
      <c r="U13" s="7">
        <f>S13-N13-O13-Q13</f>
        <v>-2551.950507680567</v>
      </c>
      <c r="V13" s="7">
        <f>V12+U13</f>
        <v>-34547.204457960455</v>
      </c>
      <c r="W13" s="7">
        <f>(1-Parameters!$L$7)*(C13-E13)+(1-Parameters!$L$8)*(D13+E13)</f>
        <v>591.1429984644649</v>
      </c>
      <c r="X13" s="7">
        <f>Parameters!$L$7*(C13-E13)+Parameters!$L$8*Parameters!$L$9*(D13+E13)</f>
        <v>5060.206171578997</v>
      </c>
      <c r="Y13" s="7">
        <f>Parameters!$L$8*(1-Parameters!$L$9)*(D13+E13)</f>
        <v>549.0594974913981</v>
      </c>
      <c r="Z13" s="7">
        <f>POWER(1/(1+Parameters!$L$32),A13-1)*(M13-N13)</f>
        <v>2664.945780533771</v>
      </c>
    </row>
    <row r="14" spans="1:26">
      <c r="A14" s="7">
        <v>10</v>
      </c>
      <c r="B14" s="7">
        <f>Parameters!$L$20</f>
        <v>1000</v>
      </c>
      <c r="C14" s="7">
        <f>X13+B14</f>
        <v>6060.206171578997</v>
      </c>
      <c r="D14" s="7">
        <f>Y13</f>
        <v>549.0594974913981</v>
      </c>
      <c r="E14" s="7">
        <f>Parameters!$L$6*C14</f>
        <v>121.20412343157993</v>
      </c>
      <c r="F14" s="7">
        <f>IF(Parameters!$L$5=1,E14,0)</f>
        <v>0.0</v>
      </c>
      <c r="G14" s="7">
        <f>Parameters!$L$27*G13+F14</f>
        <v>0.0</v>
      </c>
      <c r="H14" s="7">
        <f>IF(AND(Parameters!$L$5=1,Parameters!$L$26=1),SUMPRODUCT(--($A$5:A14&lt;A14),--(MOD(A14-$A$5:A14,Parameters!$L$28)=0),$F$5:F14,POWER(Parameters!$L$27,IF(A14-$A$5:A14=0,1,A14-$A$5:A14))),0)</f>
        <v>0.0</v>
      </c>
      <c r="I14" s="7">
        <f>Parameters!$L$23*I13+B14*Parameters!$L$22</f>
        <v>1203.789182284863</v>
      </c>
      <c r="J14" s="7">
        <f>E14*Parameters!$L$14*(1-Parameters!$L$15)</f>
        <v>2302.8783452000184</v>
      </c>
      <c r="K14" s="7">
        <f>H14*Parameters!$L$29</f>
        <v>0.0</v>
      </c>
      <c r="L14" s="7">
        <f>I14*Parameters!$L$24</f>
        <v>3611.367546854589</v>
      </c>
      <c r="M14" s="7">
        <f>J14+K14+L14</f>
        <v>5914.245892054607</v>
      </c>
      <c r="N14" s="7">
        <f>C14*Parameters!$L$17+D14*Parameters!$L$18+E14*Parameters!$L$16+I14*Parameters!$L$25+G14*Parameters!$L$30</f>
        <v>2815.6903147934095</v>
      </c>
      <c r="O14" s="7">
        <f>B14*Parameters!$L$19</f>
        <v>4000</v>
      </c>
      <c r="P14" s="7">
        <f>M14-N14-O14</f>
        <v>-901.4444227388026</v>
      </c>
      <c r="Q14" s="7">
        <f>Parameters!$L$21</f>
        <v>1000</v>
      </c>
      <c r="R14" s="7">
        <f>P14-Q14</f>
        <v>-1901.4444227388026</v>
      </c>
      <c r="S14" s="7">
        <f>IF(A14&lt;1+Parameters!$L$31,0,INDEX($M$5:$M$40,A14-Parameters!$L$31))</f>
        <v>5507.889490709829</v>
      </c>
      <c r="T14" s="7">
        <f>T13+M14-S14</f>
        <v>5914.245892054607</v>
      </c>
      <c r="U14" s="7">
        <f>S14-N14-O14-Q14</f>
        <v>-2307.80082408358</v>
      </c>
      <c r="V14" s="7">
        <f>V13+U14</f>
        <v>-36855.00528204403</v>
      </c>
      <c r="W14" s="7">
        <f>(1-Parameters!$L$7)*(C14-E14)+(1-Parameters!$L$8)*(D14+E14)</f>
        <v>627.4133858608905</v>
      </c>
      <c r="X14" s="7">
        <f>Parameters!$L$7*(C14-E14)+Parameters!$L$8*Parameters!$L$9*(D14+E14)</f>
        <v>5345.101843332675</v>
      </c>
      <c r="Y14" s="7">
        <f>Parameters!$L$8*(1-Parameters!$L$9)*(D14+E14)</f>
        <v>636.7504398768291</v>
      </c>
      <c r="Z14" s="7">
        <f>POWER(1/(1+Parameters!$L$32),A14-1)*(M14-N14)</f>
        <v>2833.1327619106055</v>
      </c>
    </row>
    <row r="15" spans="1:26">
      <c r="A15" s="7">
        <v>11</v>
      </c>
      <c r="B15" s="7">
        <f>Parameters!$L$20</f>
        <v>1000</v>
      </c>
      <c r="C15" s="7">
        <f>X14+B15</f>
        <v>6345.101843332674</v>
      </c>
      <c r="D15" s="7">
        <f>Y14</f>
        <v>636.7504398768291</v>
      </c>
      <c r="E15" s="7">
        <f>Parameters!$L$6*C15</f>
        <v>126.9020368666535</v>
      </c>
      <c r="F15" s="7">
        <f>IF(Parameters!$L$5=1,E15,0)</f>
        <v>0.0</v>
      </c>
      <c r="G15" s="7">
        <f>Parameters!$L$27*G14+F15</f>
        <v>0.0</v>
      </c>
      <c r="H15" s="7">
        <f>IF(AND(Parameters!$L$5=1,Parameters!$L$26=1),SUMPRODUCT(--($A$5:A15&lt;A15),--(MOD(A15-$A$5:A15,Parameters!$L$28)=0),$F$5:F15,POWER(Parameters!$L$27,IF(A15-$A$5:A15=0,1,A15-$A$5:A15))),0)</f>
        <v>0.0</v>
      </c>
      <c r="I15" s="7">
        <f>Parameters!$L$23*I14+B15*Parameters!$L$22</f>
        <v>1293.5997231706199</v>
      </c>
      <c r="J15" s="7">
        <f>E15*Parameters!$L$14*(1-Parameters!$L$15)</f>
        <v>2411.138700466416</v>
      </c>
      <c r="K15" s="7">
        <f>H15*Parameters!$L$29</f>
        <v>0.0</v>
      </c>
      <c r="L15" s="7">
        <f>I15*Parameters!$L$24</f>
        <v>3880.79916951186</v>
      </c>
      <c r="M15" s="7">
        <f>J15+K15+L15</f>
        <v>6291.937869978276</v>
      </c>
      <c r="N15" s="7">
        <f>C15*Parameters!$L$17+D15*Parameters!$L$18+E15*Parameters!$L$16+I15*Parameters!$L$25+G15*Parameters!$L$30</f>
        <v>2995.60767139018</v>
      </c>
      <c r="O15" s="7">
        <f>B15*Parameters!$L$19</f>
        <v>4000</v>
      </c>
      <c r="P15" s="7">
        <f>M15-N15-O15</f>
        <v>-703.6698014119042</v>
      </c>
      <c r="Q15" s="7">
        <f>Parameters!$L$21</f>
        <v>1000</v>
      </c>
      <c r="R15" s="7">
        <f>P15-Q15</f>
        <v>-1703.6698014119042</v>
      </c>
      <c r="S15" s="7">
        <f>IF(A15&lt;1+Parameters!$L$31,0,INDEX($M$5:$M$40,A15-Parameters!$L$31))</f>
        <v>5914.245892054607</v>
      </c>
      <c r="T15" s="7">
        <f>T14+M15-S15</f>
        <v>6291.937869978276</v>
      </c>
      <c r="U15" s="7">
        <f>S15-N15-O15-Q15</f>
        <v>-2081.361779335573</v>
      </c>
      <c r="V15" s="7">
        <f>V14+U15</f>
        <v>-38936.367061379606</v>
      </c>
      <c r="W15" s="7">
        <f>(1-Parameters!$L$7)*(C15-E15)+(1-Parameters!$L$8)*(D15+E15)</f>
        <v>660.0026044837762</v>
      </c>
      <c r="X15" s="7">
        <f>Parameters!$L$7*(C15-E15)+Parameters!$L$8*Parameters!$L$9*(D15+E15)</f>
        <v>5596.379825819419</v>
      </c>
      <c r="Y15" s="7">
        <f>Parameters!$L$8*(1-Parameters!$L$9)*(D15+E15)</f>
        <v>725.4698529063085</v>
      </c>
      <c r="Z15" s="7">
        <f>POWER(1/(1+Parameters!$L$32),A15-1)*(M15-N15)</f>
        <v>2984.124727142334</v>
      </c>
    </row>
    <row r="16" spans="1:26">
      <c r="A16" s="7">
        <v>12</v>
      </c>
      <c r="B16" s="7">
        <f>Parameters!$L$20</f>
        <v>1000</v>
      </c>
      <c r="C16" s="7">
        <f>X15+B16</f>
        <v>6596.379825819419</v>
      </c>
      <c r="D16" s="7">
        <f>Y15</f>
        <v>725.4698529063085</v>
      </c>
      <c r="E16" s="7">
        <f>Parameters!$L$6*C16</f>
        <v>131.92759651638838</v>
      </c>
      <c r="F16" s="7">
        <f>IF(Parameters!$L$5=1,E16,0)</f>
        <v>0.0</v>
      </c>
      <c r="G16" s="7">
        <f>Parameters!$L$27*G15+F16</f>
        <v>0.0</v>
      </c>
      <c r="H16" s="7">
        <f>IF(AND(Parameters!$L$5=1,Parameters!$L$26=1),SUMPRODUCT(--($A$5:A16&lt;A16),--(MOD(A16-$A$5:A16,Parameters!$L$28)=0),$F$5:F16,POWER(Parameters!$L$27,IF(A16-$A$5:A16=0,1,A16-$A$5:A16))),0)</f>
        <v>0.0</v>
      </c>
      <c r="I16" s="7">
        <f>Parameters!$L$23*I15+B16*Parameters!$L$22</f>
        <v>1378.9197370120887</v>
      </c>
      <c r="J16" s="7">
        <f>E16*Parameters!$L$14*(1-Parameters!$L$15)</f>
        <v>2506.624333811379</v>
      </c>
      <c r="K16" s="7">
        <f>H16*Parameters!$L$29</f>
        <v>0.0</v>
      </c>
      <c r="L16" s="7">
        <f>I16*Parameters!$L$24</f>
        <v>4136.759211036266</v>
      </c>
      <c r="M16" s="7">
        <f>J16+K16+L16</f>
        <v>6643.383544847645</v>
      </c>
      <c r="N16" s="7">
        <f>C16*Parameters!$L$17+D16*Parameters!$L$18+E16*Parameters!$L$16+I16*Parameters!$L$25+G16*Parameters!$L$30</f>
        <v>3163.036339221412</v>
      </c>
      <c r="O16" s="7">
        <f>B16*Parameters!$L$19</f>
        <v>4000</v>
      </c>
      <c r="P16" s="7">
        <f>M16-N16-O16</f>
        <v>-519.6527943737674</v>
      </c>
      <c r="Q16" s="7">
        <f>Parameters!$L$21</f>
        <v>1000</v>
      </c>
      <c r="R16" s="7">
        <f>P16-Q16</f>
        <v>-1519.6527943737674</v>
      </c>
      <c r="S16" s="7">
        <f>IF(A16&lt;1+Parameters!$L$31,0,INDEX($M$5:$M$40,A16-Parameters!$L$31))</f>
        <v>6291.937869978276</v>
      </c>
      <c r="T16" s="7">
        <f>T15+M16-S16</f>
        <v>6643.383544847645</v>
      </c>
      <c r="U16" s="7">
        <f>S16-N16-O16-Q16</f>
        <v>-1871.0984692431366</v>
      </c>
      <c r="V16" s="7">
        <f>V15+U16</f>
        <v>-40807.46553062274</v>
      </c>
      <c r="W16" s="7">
        <f>(1-Parameters!$L$7)*(C16-E16)+(1-Parameters!$L$8)*(D16+E16)</f>
        <v>689.3150954014378</v>
      </c>
      <c r="X16" s="7">
        <f>Parameters!$L$7*(C16-E16)+Parameters!$L$8*Parameters!$L$9*(D16+E16)</f>
        <v>5818.007006372727</v>
      </c>
      <c r="Y16" s="7">
        <f>Parameters!$L$8*(1-Parameters!$L$9)*(D16+E16)</f>
        <v>814.527576951562</v>
      </c>
      <c r="Z16" s="7">
        <f>POWER(1/(1+Parameters!$L$32),A16-1)*(M16-N16)</f>
        <v>3119.51774559961</v>
      </c>
    </row>
    <row r="17" spans="1:26">
      <c r="A17" s="7">
        <v>13</v>
      </c>
      <c r="B17" s="7">
        <f>Parameters!$L$20</f>
        <v>1000</v>
      </c>
      <c r="C17" s="7">
        <f>X16+B17</f>
        <v>6818.007006372728</v>
      </c>
      <c r="D17" s="7">
        <f>Y16</f>
        <v>814.527576951562</v>
      </c>
      <c r="E17" s="7">
        <f>Parameters!$L$6*C17</f>
        <v>136.36014012745454</v>
      </c>
      <c r="F17" s="7">
        <f>IF(Parameters!$L$5=1,E17,0)</f>
        <v>0.0</v>
      </c>
      <c r="G17" s="7">
        <f>Parameters!$L$27*G16+F17</f>
        <v>0.0</v>
      </c>
      <c r="H17" s="7">
        <f>IF(AND(Parameters!$L$5=1,Parameters!$L$26=1),SUMPRODUCT(--($A$5:A17&lt;A17),--(MOD(A17-$A$5:A17,Parameters!$L$28)=0),$F$5:F17,POWER(Parameters!$L$27,IF(A17-$A$5:A17=0,1,A17-$A$5:A17))),0)</f>
        <v>0.0</v>
      </c>
      <c r="I17" s="7">
        <f>Parameters!$L$23*I16+B17*Parameters!$L$22</f>
        <v>1459.9737501614843</v>
      </c>
      <c r="J17" s="7">
        <f>E17*Parameters!$L$14*(1-Parameters!$L$15)</f>
        <v>2590.8426624216363</v>
      </c>
      <c r="K17" s="7">
        <f>H17*Parameters!$L$29</f>
        <v>0.0</v>
      </c>
      <c r="L17" s="7">
        <f>I17*Parameters!$L$24</f>
        <v>4379.921250484453</v>
      </c>
      <c r="M17" s="7">
        <f>J17+K17+L17</f>
        <v>6970.763912906089</v>
      </c>
      <c r="N17" s="7">
        <f>C17*Parameters!$L$17+D17*Parameters!$L$18+E17*Parameters!$L$16+I17*Parameters!$L$25+G17*Parameters!$L$30</f>
        <v>3319.0129055957964</v>
      </c>
      <c r="O17" s="7">
        <f>B17*Parameters!$L$19</f>
        <v>4000</v>
      </c>
      <c r="P17" s="7">
        <f>M17-N17-O17</f>
        <v>-348.2489926897074</v>
      </c>
      <c r="Q17" s="7">
        <f>Parameters!$L$21</f>
        <v>1000</v>
      </c>
      <c r="R17" s="7">
        <f>P17-Q17</f>
        <v>-1348.2489926897074</v>
      </c>
      <c r="S17" s="7">
        <f>IF(A17&lt;1+Parameters!$L$31,0,INDEX($M$5:$M$40,A17-Parameters!$L$31))</f>
        <v>6643.383544847645</v>
      </c>
      <c r="T17" s="7">
        <f>T16+M17-S17</f>
        <v>6970.763912906089</v>
      </c>
      <c r="U17" s="7">
        <f>S17-N17-O17-Q17</f>
        <v>-1675.6293607481516</v>
      </c>
      <c r="V17" s="7">
        <f>V16+U17</f>
        <v>-42483.09489137089</v>
      </c>
      <c r="W17" s="7">
        <f>(1-Parameters!$L$7)*(C17-E17)+(1-Parameters!$L$8)*(D17+E17)</f>
        <v>715.7090724784781</v>
      </c>
      <c r="X17" s="7">
        <f>Parameters!$L$7*(C17-E17)+Parameters!$L$8*Parameters!$L$9*(D17+E17)</f>
        <v>6013.482179620746</v>
      </c>
      <c r="Y17" s="7">
        <f>Parameters!$L$8*(1-Parameters!$L$9)*(D17+E17)</f>
        <v>903.3433312250656</v>
      </c>
      <c r="Z17" s="7">
        <f>POWER(1/(1+Parameters!$L$32),A17-1)*(M17-N17)</f>
        <v>3240.7436022987636</v>
      </c>
    </row>
    <row r="18" spans="1:26">
      <c r="A18" s="7">
        <v>14</v>
      </c>
      <c r="B18" s="7">
        <f>Parameters!$L$20</f>
        <v>1000</v>
      </c>
      <c r="C18" s="7">
        <f>X17+B18</f>
        <v>7013.482179620746</v>
      </c>
      <c r="D18" s="7">
        <f>Y17</f>
        <v>903.3433312250656</v>
      </c>
      <c r="E18" s="7">
        <f>Parameters!$L$6*C18</f>
        <v>140.26964359241492</v>
      </c>
      <c r="F18" s="7">
        <f>IF(Parameters!$L$5=1,E18,0)</f>
        <v>0.0</v>
      </c>
      <c r="G18" s="7">
        <f>Parameters!$L$27*G17+F18</f>
        <v>0.0</v>
      </c>
      <c r="H18" s="7">
        <f>IF(AND(Parameters!$L$5=1,Parameters!$L$26=1),SUMPRODUCT(--($A$5:A18&lt;A18),--(MOD(A18-$A$5:A18,Parameters!$L$28)=0),$F$5:F18,POWER(Parameters!$L$27,IF(A18-$A$5:A18=0,1,A18-$A$5:A18))),0)</f>
        <v>0.0</v>
      </c>
      <c r="I18" s="7">
        <f>Parameters!$L$23*I17+B18*Parameters!$L$22</f>
        <v>1536.97506265341</v>
      </c>
      <c r="J18" s="7">
        <f>E18*Parameters!$L$14*(1-Parameters!$L$15)</f>
        <v>2665.1232282558835</v>
      </c>
      <c r="K18" s="7">
        <f>H18*Parameters!$L$29</f>
        <v>0.0</v>
      </c>
      <c r="L18" s="7">
        <f>I18*Parameters!$L$24</f>
        <v>4610.925187960231</v>
      </c>
      <c r="M18" s="7">
        <f>J18+K18+L18</f>
        <v>7276.048416216114</v>
      </c>
      <c r="N18" s="7">
        <f>C18*Parameters!$L$17+D18*Parameters!$L$18+E18*Parameters!$L$16+I18*Parameters!$L$25+G18*Parameters!$L$30</f>
        <v>3464.4734944178763</v>
      </c>
      <c r="O18" s="7">
        <f>B18*Parameters!$L$19</f>
        <v>4000</v>
      </c>
      <c r="P18" s="7">
        <f>M18-N18-O18</f>
        <v>-188.42507820176252</v>
      </c>
      <c r="Q18" s="7">
        <f>Parameters!$L$21</f>
        <v>1000</v>
      </c>
      <c r="R18" s="7">
        <f>P18-Q18</f>
        <v>-1188.4250782017625</v>
      </c>
      <c r="S18" s="7">
        <f>IF(A18&lt;1+Parameters!$L$31,0,INDEX($M$5:$M$40,A18-Parameters!$L$31))</f>
        <v>6970.763912906089</v>
      </c>
      <c r="T18" s="7">
        <f>T17+M18-S18</f>
        <v>7276.048416216114</v>
      </c>
      <c r="U18" s="7">
        <f>S18-N18-O18-Q18</f>
        <v>-1493.7095815117873</v>
      </c>
      <c r="V18" s="7">
        <f>V17+U18</f>
        <v>-43976.80447288268</v>
      </c>
      <c r="W18" s="7">
        <f>(1-Parameters!$L$7)*(C18-E18)+(1-Parameters!$L$8)*(D18+E18)</f>
        <v>739.5019023437071</v>
      </c>
      <c r="X18" s="7">
        <f>Parameters!$L$7*(C18-E18)+Parameters!$L$8*Parameters!$L$9*(D18+E18)</f>
        <v>6185.8912824254985</v>
      </c>
      <c r="Y18" s="7">
        <f>Parameters!$L$8*(1-Parameters!$L$9)*(D18+E18)</f>
        <v>991.4323260766065</v>
      </c>
      <c r="Z18" s="7">
        <f>POWER(1/(1+Parameters!$L$32),A18-1)*(M18-N18)</f>
        <v>3349.088328108846</v>
      </c>
    </row>
    <row r="19" spans="1:26">
      <c r="A19" s="7">
        <v>15</v>
      </c>
      <c r="B19" s="7">
        <f>Parameters!$L$20</f>
        <v>1000</v>
      </c>
      <c r="C19" s="7">
        <f>X18+B19</f>
        <v>7185.891282425498</v>
      </c>
      <c r="D19" s="7">
        <f>Y18</f>
        <v>991.4323260766065</v>
      </c>
      <c r="E19" s="7">
        <f>Parameters!$L$6*C19</f>
        <v>143.71782564850994</v>
      </c>
      <c r="F19" s="7">
        <f>IF(Parameters!$L$5=1,E19,0)</f>
        <v>0.0</v>
      </c>
      <c r="G19" s="7">
        <f>Parameters!$L$27*G18+F19</f>
        <v>0.0</v>
      </c>
      <c r="H19" s="7">
        <f>IF(AND(Parameters!$L$5=1,Parameters!$L$26=1),SUMPRODUCT(--($A$5:A19&lt;A19),--(MOD(A19-$A$5:A19,Parameters!$L$28)=0),$F$5:F19,POWER(Parameters!$L$27,IF(A19-$A$5:A19=0,1,A19-$A$5:A19))),0)</f>
        <v>0.0</v>
      </c>
      <c r="I19" s="7">
        <f>Parameters!$L$23*I18+B19*Parameters!$L$22</f>
        <v>1610.1263095207396</v>
      </c>
      <c r="J19" s="7">
        <f>E19*Parameters!$L$14*(1-Parameters!$L$15)</f>
        <v>2730.638687321689</v>
      </c>
      <c r="K19" s="7">
        <f>H19*Parameters!$L$29</f>
        <v>0.0</v>
      </c>
      <c r="L19" s="7">
        <f>I19*Parameters!$L$24</f>
        <v>4830.378928562219</v>
      </c>
      <c r="M19" s="7">
        <f>J19+K19+L19</f>
        <v>7561.017615883908</v>
      </c>
      <c r="N19" s="7">
        <f>C19*Parameters!$L$17+D19*Parameters!$L$18+E19*Parameters!$L$16+I19*Parameters!$L$25+G19*Parameters!$L$30</f>
        <v>3600.2645281748323</v>
      </c>
      <c r="O19" s="7">
        <f>B19*Parameters!$L$19</f>
        <v>4000</v>
      </c>
      <c r="P19" s="7">
        <f>M19-N19-O19</f>
        <v>-39.24691229092468</v>
      </c>
      <c r="Q19" s="7">
        <f>Parameters!$L$21</f>
        <v>1000</v>
      </c>
      <c r="R19" s="7">
        <f>P19-Q19</f>
        <v>-1039.2469122909247</v>
      </c>
      <c r="S19" s="7">
        <f>IF(A19&lt;1+Parameters!$L$31,0,INDEX($M$5:$M$40,A19-Parameters!$L$31))</f>
        <v>7276.048416216114</v>
      </c>
      <c r="T19" s="7">
        <f>T18+M19-S19</f>
        <v>7561.017615883908</v>
      </c>
      <c r="U19" s="7">
        <f>S19-N19-O19-Q19</f>
        <v>-1324.2161119587186</v>
      </c>
      <c r="V19" s="7">
        <f>V18+U19</f>
        <v>-45301.0205848414</v>
      </c>
      <c r="W19" s="7">
        <f>(1-Parameters!$L$7)*(C19-E19)+(1-Parameters!$L$8)*(D19+E19)</f>
        <v>760.9748532639546</v>
      </c>
      <c r="X19" s="7">
        <f>Parameters!$L$7*(C19-E19)+Parameters!$L$8*Parameters!$L$9*(D19+E19)</f>
        <v>6337.956111099289</v>
      </c>
      <c r="Y19" s="7">
        <f>Parameters!$L$8*(1-Parameters!$L$9)*(D19+E19)</f>
        <v>1078.3926441388608</v>
      </c>
      <c r="Z19" s="7">
        <f>POWER(1/(1+Parameters!$L$32),A19-1)*(M19-N19)</f>
        <v>3445.708517943323</v>
      </c>
    </row>
    <row r="20" spans="1:26">
      <c r="A20" s="7">
        <v>16</v>
      </c>
      <c r="B20" s="7">
        <f>Parameters!$L$20</f>
        <v>1000</v>
      </c>
      <c r="C20" s="7">
        <f>X19+B20</f>
        <v>7337.956111099289</v>
      </c>
      <c r="D20" s="7">
        <f>Y19</f>
        <v>1078.3926441388605</v>
      </c>
      <c r="E20" s="7">
        <f>Parameters!$L$6*C20</f>
        <v>146.7591222219858</v>
      </c>
      <c r="F20" s="7">
        <f>IF(Parameters!$L$5=1,E20,0)</f>
        <v>0.0</v>
      </c>
      <c r="G20" s="7">
        <f>Parameters!$L$27*G19+F20</f>
        <v>0.0</v>
      </c>
      <c r="H20" s="7">
        <f>IF(AND(Parameters!$L$5=1,Parameters!$L$26=1),SUMPRODUCT(--($A$5:A20&lt;A20),--(MOD(A20-$A$5:A20,Parameters!$L$28)=0),$F$5:F20,POWER(Parameters!$L$27,IF(A20-$A$5:A20=0,1,A20-$A$5:A20))),0)</f>
        <v>0.0</v>
      </c>
      <c r="I20" s="7">
        <f>Parameters!$L$23*I19+B20*Parameters!$L$22</f>
        <v>1679.6199940447025</v>
      </c>
      <c r="J20" s="7">
        <f>E20*Parameters!$L$14*(1-Parameters!$L$15)</f>
        <v>2788.42332221773</v>
      </c>
      <c r="K20" s="7">
        <f>H20*Parameters!$L$29</f>
        <v>0.0</v>
      </c>
      <c r="L20" s="7">
        <f>I20*Parameters!$L$24</f>
        <v>5038.859982134108</v>
      </c>
      <c r="M20" s="7">
        <f>J20+K20+L20</f>
        <v>7827.283304351838</v>
      </c>
      <c r="N20" s="7">
        <f>C20*Parameters!$L$17+D20*Parameters!$L$18+E20*Parameters!$L$16+I20*Parameters!$L$25+G20*Parameters!$L$30</f>
        <v>3727.1522746435535</v>
      </c>
      <c r="O20" s="7">
        <f>B20*Parameters!$L$19</f>
        <v>4000</v>
      </c>
      <c r="P20" s="7">
        <f>M20-N20-O20</f>
        <v>100.13102970828368</v>
      </c>
      <c r="Q20" s="7">
        <f>Parameters!$L$21</f>
        <v>1000</v>
      </c>
      <c r="R20" s="7">
        <f>P20-Q20</f>
        <v>-899.8689702917163</v>
      </c>
      <c r="S20" s="7">
        <f>IF(A20&lt;1+Parameters!$L$31,0,INDEX($M$5:$M$40,A20-Parameters!$L$31))</f>
        <v>7561.017615883908</v>
      </c>
      <c r="T20" s="7">
        <f>T19+M20-S20</f>
        <v>7827.283304351838</v>
      </c>
      <c r="U20" s="7">
        <f>S20-N20-O20-Q20</f>
        <v>-1166.1346587596458</v>
      </c>
      <c r="V20" s="7">
        <f>V19+U20</f>
        <v>-46467.155243601046</v>
      </c>
      <c r="W20" s="7">
        <f>(1-Parameters!$L$7)*(C20-E20)+(1-Parameters!$L$8)*(D20+E20)</f>
        <v>780.3772872057725</v>
      </c>
      <c r="X20" s="7">
        <f>Parameters!$L$7*(C20-E20)+Parameters!$L$8*Parameters!$L$9*(D20+E20)</f>
        <v>6472.077289989573</v>
      </c>
      <c r="Y20" s="7">
        <f>Parameters!$L$8*(1-Parameters!$L$9)*(D20+E20)</f>
        <v>1163.894178042804</v>
      </c>
      <c r="Z20" s="7">
        <f>POWER(1/(1+Parameters!$L$32),A20-1)*(M20-N20)</f>
        <v>3531.6457091667703</v>
      </c>
    </row>
    <row r="21" spans="1:26">
      <c r="A21" s="7">
        <v>17</v>
      </c>
      <c r="B21" s="7">
        <f>Parameters!$L$20</f>
        <v>1000</v>
      </c>
      <c r="C21" s="7">
        <f>X20+B21</f>
        <v>7472.077289989573</v>
      </c>
      <c r="D21" s="7">
        <f>Y20</f>
        <v>1163.894178042804</v>
      </c>
      <c r="E21" s="7">
        <f>Parameters!$L$6*C21</f>
        <v>149.44154579979147</v>
      </c>
      <c r="F21" s="7">
        <f>IF(Parameters!$L$5=1,E21,0)</f>
        <v>0.0</v>
      </c>
      <c r="G21" s="7">
        <f>Parameters!$L$27*G20+F21</f>
        <v>0.0</v>
      </c>
      <c r="H21" s="7">
        <f>IF(AND(Parameters!$L$5=1,Parameters!$L$26=1),SUMPRODUCT(--($A$5:A21&lt;A21),--(MOD(A21-$A$5:A21,Parameters!$L$28)=0),$F$5:F21,POWER(Parameters!$L$27,IF(A21-$A$5:A21=0,1,A21-$A$5:A21))),0)</f>
        <v>0.0</v>
      </c>
      <c r="I21" s="7">
        <f>Parameters!$L$23*I20+B21*Parameters!$L$22</f>
        <v>1745.6389943424672</v>
      </c>
      <c r="J21" s="7">
        <f>E21*Parameters!$L$14*(1-Parameters!$L$15)</f>
        <v>2839.389370196038</v>
      </c>
      <c r="K21" s="7">
        <f>H21*Parameters!$L$29</f>
        <v>0.0</v>
      </c>
      <c r="L21" s="7">
        <f>I21*Parameters!$L$24</f>
        <v>5236.916983027401</v>
      </c>
      <c r="M21" s="7">
        <f>J21+K21+L21</f>
        <v>8076.306353223439</v>
      </c>
      <c r="N21" s="7">
        <f>C21*Parameters!$L$17+D21*Parameters!$L$18+E21*Parameters!$L$16+I21*Parameters!$L$25+G21*Parameters!$L$30</f>
        <v>3845.8313189892992</v>
      </c>
      <c r="O21" s="7">
        <f>B21*Parameters!$L$19</f>
        <v>4000</v>
      </c>
      <c r="P21" s="7">
        <f>M21-N21-O21</f>
        <v>230.47503423413946</v>
      </c>
      <c r="Q21" s="7">
        <f>Parameters!$L$21</f>
        <v>1000</v>
      </c>
      <c r="R21" s="7">
        <f>P21-Q21</f>
        <v>-769.5249657658605</v>
      </c>
      <c r="S21" s="7">
        <f>IF(A21&lt;1+Parameters!$L$31,0,INDEX($M$5:$M$40,A21-Parameters!$L$31))</f>
        <v>7827.283304351838</v>
      </c>
      <c r="T21" s="7">
        <f>T20+M21-S21</f>
        <v>8076.306353223439</v>
      </c>
      <c r="U21" s="7">
        <f>S21-N21-O21-Q21</f>
        <v>-1018.5480146374616</v>
      </c>
      <c r="V21" s="7">
        <f>V20+U21</f>
        <v>-47485.70325823851</v>
      </c>
      <c r="W21" s="7">
        <f>(1-Parameters!$L$7)*(C21-E21)+(1-Parameters!$L$8)*(D21+E21)</f>
        <v>797.9303606111079</v>
      </c>
      <c r="X21" s="7">
        <f>Parameters!$L$7*(C21-E21)+Parameters!$L$8*Parameters!$L$9*(D21+E21)</f>
        <v>6590.372169770803</v>
      </c>
      <c r="Y21" s="7">
        <f>Parameters!$L$8*(1-Parameters!$L$9)*(D21+E21)</f>
        <v>1247.6689376504658</v>
      </c>
      <c r="Z21" s="7">
        <f>POWER(1/(1+Parameters!$L$32),A21-1)*(M21-N21)</f>
        <v>3607.8390584278654</v>
      </c>
    </row>
    <row r="22" spans="1:26">
      <c r="A22" s="7">
        <v>18</v>
      </c>
      <c r="B22" s="7">
        <f>Parameters!$L$20</f>
        <v>1000</v>
      </c>
      <c r="C22" s="7">
        <f>X21+B22</f>
        <v>7590.372169770803</v>
      </c>
      <c r="D22" s="7">
        <f>Y21</f>
        <v>1247.6689376504655</v>
      </c>
      <c r="E22" s="7">
        <f>Parameters!$L$6*C22</f>
        <v>151.80744339541607</v>
      </c>
      <c r="F22" s="7">
        <f>IF(Parameters!$L$5=1,E22,0)</f>
        <v>0.0</v>
      </c>
      <c r="G22" s="7">
        <f>Parameters!$L$27*G21+F22</f>
        <v>0.0</v>
      </c>
      <c r="H22" s="7">
        <f>IF(AND(Parameters!$L$5=1,Parameters!$L$26=1),SUMPRODUCT(--($A$5:A22&lt;A22),--(MOD(A22-$A$5:A22,Parameters!$L$28)=0),$F$5:F22,POWER(Parameters!$L$27,IF(A22-$A$5:A22=0,1,A22-$A$5:A22))),0)</f>
        <v>0.0</v>
      </c>
      <c r="I22" s="7">
        <f>Parameters!$L$23*I21+B22*Parameters!$L$22</f>
        <v>1808.3570446253439</v>
      </c>
      <c r="J22" s="7">
        <f>E22*Parameters!$L$14*(1-Parameters!$L$15)</f>
        <v>2884.341424512905</v>
      </c>
      <c r="K22" s="7">
        <f>H22*Parameters!$L$29</f>
        <v>0.0</v>
      </c>
      <c r="L22" s="7">
        <f>I22*Parameters!$L$24</f>
        <v>5425.071133876032</v>
      </c>
      <c r="M22" s="7">
        <f>J22+K22+L22</f>
        <v>8309.412558388936</v>
      </c>
      <c r="N22" s="7">
        <f>C22*Parameters!$L$17+D22*Parameters!$L$18+E22*Parameters!$L$16+I22*Parameters!$L$25+G22*Parameters!$L$30</f>
        <v>3956.932085464562</v>
      </c>
      <c r="O22" s="7">
        <f>B22*Parameters!$L$19</f>
        <v>4000</v>
      </c>
      <c r="P22" s="7">
        <f>M22-N22-O22</f>
        <v>352.4804729243742</v>
      </c>
      <c r="Q22" s="7">
        <f>Parameters!$L$21</f>
        <v>1000</v>
      </c>
      <c r="R22" s="7">
        <f>P22-Q22</f>
        <v>-647.5195270756258</v>
      </c>
      <c r="S22" s="7">
        <f>IF(A22&lt;1+Parameters!$L$31,0,INDEX($M$5:$M$40,A22-Parameters!$L$31))</f>
        <v>8076.306353223439</v>
      </c>
      <c r="T22" s="7">
        <f>T21+M22-S22</f>
        <v>8309.412558388936</v>
      </c>
      <c r="U22" s="7">
        <f>S22-N22-O22-Q22</f>
        <v>-880.6257322411229</v>
      </c>
      <c r="V22" s="7">
        <f>V21+U22</f>
        <v>-48366.32899047963</v>
      </c>
      <c r="W22" s="7">
        <f>(1-Parameters!$L$7)*(C22-E22)+(1-Parameters!$L$8)*(D22+E22)</f>
        <v>813.8302916898327</v>
      </c>
      <c r="X22" s="7">
        <f>Parameters!$L$7*(C22-E22)+Parameters!$L$8*Parameters!$L$9*(D22+E22)</f>
        <v>6694.708253737848</v>
      </c>
      <c r="Y22" s="7">
        <f>Parameters!$L$8*(1-Parameters!$L$9)*(D22+E22)</f>
        <v>1329.5025619935875</v>
      </c>
      <c r="Z22" s="7">
        <f>POWER(1/(1+Parameters!$L$32),A22-1)*(M22-N22)</f>
        <v>3675.136525393769</v>
      </c>
    </row>
    <row r="23" spans="1:26">
      <c r="A23" s="7">
        <v>19</v>
      </c>
      <c r="B23" s="7">
        <f>Parameters!$L$20</f>
        <v>1000</v>
      </c>
      <c r="C23" s="7">
        <f>X22+B23</f>
        <v>7694.708253737848</v>
      </c>
      <c r="D23" s="7">
        <f>Y22</f>
        <v>1329.5025619935875</v>
      </c>
      <c r="E23" s="7">
        <f>Parameters!$L$6*C23</f>
        <v>153.89416507475696</v>
      </c>
      <c r="F23" s="7">
        <f>IF(Parameters!$L$5=1,E23,0)</f>
        <v>0.0</v>
      </c>
      <c r="G23" s="7">
        <f>Parameters!$L$27*G22+F23</f>
        <v>0.0</v>
      </c>
      <c r="H23" s="7">
        <f>IF(AND(Parameters!$L$5=1,Parameters!$L$26=1),SUMPRODUCT(--($A$5:A23&lt;A23),--(MOD(A23-$A$5:A23,Parameters!$L$28)=0),$F$5:F23,POWER(Parameters!$L$27,IF(A23-$A$5:A23=0,1,A23-$A$5:A23))),0)</f>
        <v>0.0</v>
      </c>
      <c r="I23" s="7">
        <f>Parameters!$L$23*I22+B23*Parameters!$L$22</f>
        <v>1867.9391923940766</v>
      </c>
      <c r="J23" s="7">
        <f>E23*Parameters!$L$14*(1-Parameters!$L$15)</f>
        <v>2923.9891364203822</v>
      </c>
      <c r="K23" s="7">
        <f>H23*Parameters!$L$29</f>
        <v>0.0</v>
      </c>
      <c r="L23" s="7">
        <f>I23*Parameters!$L$24</f>
        <v>5603.81757718223</v>
      </c>
      <c r="M23" s="7">
        <f>J23+K23+L23</f>
        <v>8527.806713602611</v>
      </c>
      <c r="N23" s="7">
        <f>C23*Parameters!$L$17+D23*Parameters!$L$18+E23*Parameters!$L$16+I23*Parameters!$L$25+G23*Parameters!$L$30</f>
        <v>4061.0275183899435</v>
      </c>
      <c r="O23" s="7">
        <f>B23*Parameters!$L$19</f>
        <v>4000</v>
      </c>
      <c r="P23" s="7">
        <f>M23-N23-O23</f>
        <v>466.7791952126681</v>
      </c>
      <c r="Q23" s="7">
        <f>Parameters!$L$21</f>
        <v>1000</v>
      </c>
      <c r="R23" s="7">
        <f>P23-Q23</f>
        <v>-533.2208047873319</v>
      </c>
      <c r="S23" s="7">
        <f>IF(A23&lt;1+Parameters!$L$31,0,INDEX($M$5:$M$40,A23-Parameters!$L$31))</f>
        <v>8309.412558388936</v>
      </c>
      <c r="T23" s="7">
        <f>T22+M23-S23</f>
        <v>8527.806713602611</v>
      </c>
      <c r="U23" s="7">
        <f>S23-N23-O23-Q23</f>
        <v>-751.6149600010067</v>
      </c>
      <c r="V23" s="7">
        <f>V22+U23</f>
        <v>-49117.943950480636</v>
      </c>
      <c r="W23" s="7">
        <f>(1-Parameters!$L$7)*(C23-E23)+(1-Parameters!$L$8)*(D23+E23)</f>
        <v>828.2512452197262</v>
      </c>
      <c r="X23" s="7">
        <f>Parameters!$L$7*(C23-E23)+Parameters!$L$8*Parameters!$L$9*(D23+E23)</f>
        <v>6786.732679796783</v>
      </c>
      <c r="Y23" s="7">
        <f>Parameters!$L$8*(1-Parameters!$L$9)*(D23+E23)</f>
        <v>1409.226890714927</v>
      </c>
      <c r="Z23" s="7">
        <f>POWER(1/(1+Parameters!$L$32),A23-1)*(M23-N23)</f>
        <v>3734.3047458662663</v>
      </c>
    </row>
    <row r="24" spans="1:26">
      <c r="A24" s="7">
        <v>20</v>
      </c>
      <c r="B24" s="7">
        <f>Parameters!$L$20</f>
        <v>1000</v>
      </c>
      <c r="C24" s="7">
        <f>X23+B24</f>
        <v>7786.732679796783</v>
      </c>
      <c r="D24" s="7">
        <f>Y23</f>
        <v>1409.2268907149273</v>
      </c>
      <c r="E24" s="7">
        <f>Parameters!$L$6*C24</f>
        <v>155.73465359593564</v>
      </c>
      <c r="F24" s="7">
        <f>IF(Parameters!$L$5=1,E24,0)</f>
        <v>0.0</v>
      </c>
      <c r="G24" s="7">
        <f>Parameters!$L$27*G23+F24</f>
        <v>0.0</v>
      </c>
      <c r="H24" s="7">
        <f>IF(AND(Parameters!$L$5=1,Parameters!$L$26=1),SUMPRODUCT(--($A$5:A24&lt;A24),--(MOD(A24-$A$5:A24,Parameters!$L$28)=0),$F$5:F24,POWER(Parameters!$L$27,IF(A24-$A$5:A24=0,1,A24-$A$5:A24))),0)</f>
        <v>0.0</v>
      </c>
      <c r="I24" s="7">
        <f>Parameters!$L$23*I23+B24*Parameters!$L$22</f>
        <v>1924.5422327743727</v>
      </c>
      <c r="J24" s="7">
        <f>E24*Parameters!$L$14*(1-Parameters!$L$15)</f>
        <v>2958.958418322777</v>
      </c>
      <c r="K24" s="7">
        <f>H24*Parameters!$L$29</f>
        <v>0.0</v>
      </c>
      <c r="L24" s="7">
        <f>I24*Parameters!$L$24</f>
        <v>5773.626698323118</v>
      </c>
      <c r="M24" s="7">
        <f>J24+K24+L24</f>
        <v>8732.585116645896</v>
      </c>
      <c r="N24" s="7">
        <f>C24*Parameters!$L$17+D24*Parameters!$L$18+E24*Parameters!$L$16+I24*Parameters!$L$25+G24*Parameters!$L$30</f>
        <v>4158.639019279621</v>
      </c>
      <c r="O24" s="7">
        <f>B24*Parameters!$L$19</f>
        <v>4000</v>
      </c>
      <c r="P24" s="7">
        <f>M24-N24-O24</f>
        <v>573.9460973662754</v>
      </c>
      <c r="Q24" s="7">
        <f>Parameters!$L$21</f>
        <v>1000</v>
      </c>
      <c r="R24" s="7">
        <f>P24-Q24</f>
        <v>-426.05390263372465</v>
      </c>
      <c r="S24" s="7">
        <f>IF(A24&lt;1+Parameters!$L$31,0,INDEX($M$5:$M$40,A24-Parameters!$L$31))</f>
        <v>8527.806713602611</v>
      </c>
      <c r="T24" s="7">
        <f>T23+M24-S24</f>
        <v>8732.585116645896</v>
      </c>
      <c r="U24" s="7">
        <f>S24-N24-O24-Q24</f>
        <v>-630.8323056770096</v>
      </c>
      <c r="V24" s="7">
        <f>V23+U24</f>
        <v>-49748.776256157646</v>
      </c>
      <c r="W24" s="7">
        <f>(1-Parameters!$L$7)*(C24-E24)+(1-Parameters!$L$8)*(D24+E24)</f>
        <v>841.3478798356277</v>
      </c>
      <c r="X24" s="7">
        <f>Parameters!$L$7*(C24-E24)+Parameters!$L$8*Parameters!$L$9*(D24+E24)</f>
        <v>6867.8982235807625</v>
      </c>
      <c r="Y24" s="7">
        <f>Parameters!$L$8*(1-Parameters!$L$9)*(D24+E24)</f>
        <v>1486.7134670953199</v>
      </c>
      <c r="Z24" s="7">
        <f>POWER(1/(1+Parameters!$L$32),A24-1)*(M24-N24)</f>
        <v>3786.037754034557</v>
      </c>
    </row>
    <row r="25" spans="1:26">
      <c r="A25" s="7">
        <v>21</v>
      </c>
      <c r="B25" s="7">
        <f>Parameters!$L$20</f>
        <v>1000</v>
      </c>
      <c r="C25" s="7">
        <f>X24+B25</f>
        <v>7867.898223580762</v>
      </c>
      <c r="D25" s="7">
        <f>Y24</f>
        <v>1486.7134670953196</v>
      </c>
      <c r="E25" s="7">
        <f>Parameters!$L$6*C25</f>
        <v>157.35796447161525</v>
      </c>
      <c r="F25" s="7">
        <f>IF(Parameters!$L$5=1,E25,0)</f>
        <v>0.0</v>
      </c>
      <c r="G25" s="7">
        <f>Parameters!$L$27*G24+F25</f>
        <v>0.0</v>
      </c>
      <c r="H25" s="7">
        <f>IF(AND(Parameters!$L$5=1,Parameters!$L$26=1),SUMPRODUCT(--($A$5:A25&lt;A25),--(MOD(A25-$A$5:A25,Parameters!$L$28)=0),$F$5:F25,POWER(Parameters!$L$27,IF(A25-$A$5:A25=0,1,A25-$A$5:A25))),0)</f>
        <v>0.0</v>
      </c>
      <c r="I25" s="7">
        <f>Parameters!$L$23*I24+B25*Parameters!$L$22</f>
        <v>1978.315121135654</v>
      </c>
      <c r="J25" s="7">
        <f>E25*Parameters!$L$14*(1-Parameters!$L$15)</f>
        <v>2989.8013249606893</v>
      </c>
      <c r="K25" s="7">
        <f>H25*Parameters!$L$29</f>
        <v>0.0</v>
      </c>
      <c r="L25" s="7">
        <f>I25*Parameters!$L$24</f>
        <v>5934.945363406961</v>
      </c>
      <c r="M25" s="7">
        <f>J25+K25+L25</f>
        <v>8924.74668836765</v>
      </c>
      <c r="N25" s="7">
        <f>C25*Parameters!$L$17+D25*Parameters!$L$18+E25*Parameters!$L$16+I25*Parameters!$L$25+G25*Parameters!$L$30</f>
        <v>4250.24172566133</v>
      </c>
      <c r="O25" s="7">
        <f>B25*Parameters!$L$19</f>
        <v>4000</v>
      </c>
      <c r="P25" s="7">
        <f>M25-N25-O25</f>
        <v>674.5049627063199</v>
      </c>
      <c r="Q25" s="7">
        <f>Parameters!$L$21</f>
        <v>1000</v>
      </c>
      <c r="R25" s="7">
        <f>P25-Q25</f>
        <v>-325.49503729368007</v>
      </c>
      <c r="S25" s="7">
        <f>IF(A25&lt;1+Parameters!$L$31,0,INDEX($M$5:$M$40,A25-Parameters!$L$31))</f>
        <v>8732.585116645896</v>
      </c>
      <c r="T25" s="7">
        <f>T24+M25-S25</f>
        <v>8924.74668836765</v>
      </c>
      <c r="U25" s="7">
        <f>S25-N25-O25-Q25</f>
        <v>-517.6566090154338</v>
      </c>
      <c r="V25" s="7">
        <f>V24+U25</f>
        <v>-50266.432865173076</v>
      </c>
      <c r="W25" s="7">
        <f>(1-Parameters!$L$7)*(C25-E25)+(1-Parameters!$L$8)*(D25+E25)</f>
        <v>853.2575974892613</v>
      </c>
      <c r="X25" s="7">
        <f>Parameters!$L$7*(C25-E25)+Parameters!$L$8*Parameters!$L$9*(D25+E25)</f>
        <v>6939.486233198231</v>
      </c>
      <c r="Y25" s="7">
        <f>Parameters!$L$8*(1-Parameters!$L$9)*(D25+E25)</f>
        <v>1561.8678599885882</v>
      </c>
      <c r="Z25" s="7">
        <f>POWER(1/(1+Parameters!$L$32),A25-1)*(M25-N25)</f>
        <v>3830.96469375021</v>
      </c>
    </row>
    <row r="26" spans="1:26">
      <c r="A26" s="7">
        <v>22</v>
      </c>
      <c r="B26" s="7">
        <f>Parameters!$L$20</f>
        <v>1000</v>
      </c>
      <c r="C26" s="7">
        <f>X25+B26</f>
        <v>7939.486233198232</v>
      </c>
      <c r="D26" s="7">
        <f>Y25</f>
        <v>1561.8678599885882</v>
      </c>
      <c r="E26" s="7">
        <f>Parameters!$L$6*C26</f>
        <v>158.78972466396465</v>
      </c>
      <c r="F26" s="7">
        <f>IF(Parameters!$L$5=1,E26,0)</f>
        <v>0.0</v>
      </c>
      <c r="G26" s="7">
        <f>Parameters!$L$27*G25+F26</f>
        <v>0.0</v>
      </c>
      <c r="H26" s="7">
        <f>IF(AND(Parameters!$L$5=1,Parameters!$L$26=1),SUMPRODUCT(--($A$5:A26&lt;A26),--(MOD(A26-$A$5:A26,Parameters!$L$28)=0),$F$5:F26,POWER(Parameters!$L$27,IF(A26-$A$5:A26=0,1,A26-$A$5:A26))),0)</f>
        <v>0.0</v>
      </c>
      <c r="I26" s="7">
        <f>Parameters!$L$23*I25+B26*Parameters!$L$22</f>
        <v>2029.3993650788711</v>
      </c>
      <c r="J26" s="7">
        <f>E26*Parameters!$L$14*(1-Parameters!$L$15)</f>
        <v>3017.004768615328</v>
      </c>
      <c r="K26" s="7">
        <f>H26*Parameters!$L$29</f>
        <v>0.0</v>
      </c>
      <c r="L26" s="7">
        <f>I26*Parameters!$L$24</f>
        <v>6088.198095236614</v>
      </c>
      <c r="M26" s="7">
        <f>J26+K26+L26</f>
        <v>9105.202863851942</v>
      </c>
      <c r="N26" s="7">
        <f>C26*Parameters!$L$17+D26*Parameters!$L$18+E26*Parameters!$L$16+I26*Parameters!$L$25+G26*Parameters!$L$30</f>
        <v>4336.269207157164</v>
      </c>
      <c r="O26" s="7">
        <f>B26*Parameters!$L$19</f>
        <v>4000</v>
      </c>
      <c r="P26" s="7">
        <f>M26-N26-O26</f>
        <v>768.9336566947786</v>
      </c>
      <c r="Q26" s="7">
        <f>Parameters!$L$21</f>
        <v>1000</v>
      </c>
      <c r="R26" s="7">
        <f>P26-Q26</f>
        <v>-231.06634330522138</v>
      </c>
      <c r="S26" s="7">
        <f>IF(A26&lt;1+Parameters!$L$31,0,INDEX($M$5:$M$40,A26-Parameters!$L$31))</f>
        <v>8924.74668836765</v>
      </c>
      <c r="T26" s="7">
        <f>T25+M26-S26</f>
        <v>9105.202863851942</v>
      </c>
      <c r="U26" s="7">
        <f>S26-N26-O26-Q26</f>
        <v>-411.5225187895139</v>
      </c>
      <c r="V26" s="7">
        <f>V25+U26</f>
        <v>-50677.95538396259</v>
      </c>
      <c r="W26" s="7">
        <f>(1-Parameters!$L$7)*(C26-E26)+(1-Parameters!$L$8)*(D26+E26)</f>
        <v>864.1025300860542</v>
      </c>
      <c r="X26" s="7">
        <f>Parameters!$L$7*(C26-E26)+Parameters!$L$8*Parameters!$L$9*(D26+E26)</f>
        <v>7002.626857680841</v>
      </c>
      <c r="Y26" s="7">
        <f>Parameters!$L$8*(1-Parameters!$L$9)*(D26+E26)</f>
        <v>1634.6247054199252</v>
      </c>
      <c r="Z26" s="7">
        <f>POWER(1/(1+Parameters!$L$32),A26-1)*(M26-N26)</f>
        <v>3869.656641336261</v>
      </c>
    </row>
    <row r="27" spans="1:26">
      <c r="A27" s="7">
        <v>23</v>
      </c>
      <c r="B27" s="7">
        <f>Parameters!$L$20</f>
        <v>1000</v>
      </c>
      <c r="C27" s="7">
        <f>X26+B27</f>
        <v>8002.626857680841</v>
      </c>
      <c r="D27" s="7">
        <f>Y26</f>
        <v>1634.624705419925</v>
      </c>
      <c r="E27" s="7">
        <f>Parameters!$L$6*C27</f>
        <v>160.0525371536168</v>
      </c>
      <c r="F27" s="7">
        <f>IF(Parameters!$L$5=1,E27,0)</f>
        <v>0.0</v>
      </c>
      <c r="G27" s="7">
        <f>Parameters!$L$27*G26+F27</f>
        <v>0.0</v>
      </c>
      <c r="H27" s="7">
        <f>IF(AND(Parameters!$L$5=1,Parameters!$L$26=1),SUMPRODUCT(--($A$5:A27&lt;A27),--(MOD(A27-$A$5:A27,Parameters!$L$28)=0),$F$5:F27,POWER(Parameters!$L$27,IF(A27-$A$5:A27=0,1,A27-$A$5:A27))),0)</f>
        <v>0.0</v>
      </c>
      <c r="I27" s="7">
        <f>Parameters!$L$23*I26+B27*Parameters!$L$22</f>
        <v>2077.9293968249276</v>
      </c>
      <c r="J27" s="7">
        <f>E27*Parameters!$L$14*(1-Parameters!$L$15)</f>
        <v>3040.9982059187196</v>
      </c>
      <c r="K27" s="7">
        <f>H27*Parameters!$L$29</f>
        <v>0.0</v>
      </c>
      <c r="L27" s="7">
        <f>I27*Parameters!$L$24</f>
        <v>6233.788190474783</v>
      </c>
      <c r="M27" s="7">
        <f>J27+K27+L27</f>
        <v>9274.786396393501</v>
      </c>
      <c r="N27" s="7">
        <f>C27*Parameters!$L$17+D27*Parameters!$L$18+E27*Parameters!$L$16+I27*Parameters!$L$25+G27*Parameters!$L$30</f>
        <v>4417.117645580295</v>
      </c>
      <c r="O27" s="7">
        <f>B27*Parameters!$L$19</f>
        <v>4000</v>
      </c>
      <c r="P27" s="7">
        <f>M27-N27-O27</f>
        <v>857.6687508132063</v>
      </c>
      <c r="Q27" s="7">
        <f>Parameters!$L$21</f>
        <v>1000</v>
      </c>
      <c r="R27" s="7">
        <f>P27-Q27</f>
        <v>-142.33124918679368</v>
      </c>
      <c r="S27" s="7">
        <f>IF(A27&lt;1+Parameters!$L$31,0,INDEX($M$5:$M$40,A27-Parameters!$L$31))</f>
        <v>9105.202863851942</v>
      </c>
      <c r="T27" s="7">
        <f>T26+M27-S27</f>
        <v>9274.786396393501</v>
      </c>
      <c r="U27" s="7">
        <f>S27-N27-O27-Q27</f>
        <v>-311.91478172835286</v>
      </c>
      <c r="V27" s="7">
        <f>V26+U27</f>
        <v>-50989.87016569094</v>
      </c>
      <c r="W27" s="7">
        <f>(1-Parameters!$L$7)*(C27-E27)+(1-Parameters!$L$8)*(D27+E27)</f>
        <v>873.9912941813993</v>
      </c>
      <c r="X27" s="7">
        <f>Parameters!$L$7*(C27-E27)+Parameters!$L$8*Parameters!$L$9*(D27+E27)</f>
        <v>7058.316888474502</v>
      </c>
      <c r="Y27" s="7">
        <f>Parameters!$L$8*(1-Parameters!$L$9)*(D27+E27)</f>
        <v>1704.9433804448647</v>
      </c>
      <c r="Z27" s="7">
        <f>POWER(1/(1+Parameters!$L$32),A27-1)*(M27-N27)</f>
        <v>3902.6326472495252</v>
      </c>
    </row>
    <row r="28" spans="1:26">
      <c r="A28" s="7">
        <v>24</v>
      </c>
      <c r="B28" s="7">
        <f>Parameters!$L$20</f>
        <v>1000</v>
      </c>
      <c r="C28" s="7">
        <f>X27+B28</f>
        <v>8058.316888474501</v>
      </c>
      <c r="D28" s="7">
        <f>Y27</f>
        <v>1704.9433804448647</v>
      </c>
      <c r="E28" s="7">
        <f>Parameters!$L$6*C28</f>
        <v>161.16633776949004</v>
      </c>
      <c r="F28" s="7">
        <f>IF(Parameters!$L$5=1,E28,0)</f>
        <v>0.0</v>
      </c>
      <c r="G28" s="7">
        <f>Parameters!$L$27*G27+F28</f>
        <v>0.0</v>
      </c>
      <c r="H28" s="7">
        <f>IF(AND(Parameters!$L$5=1,Parameters!$L$26=1),SUMPRODUCT(--($A$5:A28&lt;A28),--(MOD(A28-$A$5:A28,Parameters!$L$28)=0),$F$5:F28,POWER(Parameters!$L$27,IF(A28-$A$5:A28=0,1,A28-$A$5:A28))),0)</f>
        <v>0.0</v>
      </c>
      <c r="I28" s="7">
        <f>Parameters!$L$23*I27+B28*Parameters!$L$22</f>
        <v>2124.032926983681</v>
      </c>
      <c r="J28" s="7">
        <f>E28*Parameters!$L$14*(1-Parameters!$L$15)</f>
        <v>3062.1604176203105</v>
      </c>
      <c r="K28" s="7">
        <f>H28*Parameters!$L$29</f>
        <v>0.0</v>
      </c>
      <c r="L28" s="7">
        <f>I28*Parameters!$L$24</f>
        <v>6372.098780951043</v>
      </c>
      <c r="M28" s="7">
        <f>J28+K28+L28</f>
        <v>9434.259198571353</v>
      </c>
      <c r="N28" s="7">
        <f>C28*Parameters!$L$17+D28*Parameters!$L$18+E28*Parameters!$L$16+I28*Parameters!$L$25+G28*Parameters!$L$30</f>
        <v>4493.149558026113</v>
      </c>
      <c r="O28" s="7">
        <f>B28*Parameters!$L$19</f>
        <v>4000</v>
      </c>
      <c r="P28" s="7">
        <f>M28-N28-O28</f>
        <v>941.1096405452408</v>
      </c>
      <c r="Q28" s="7">
        <f>Parameters!$L$21</f>
        <v>1000</v>
      </c>
      <c r="R28" s="7">
        <f>P28-Q28</f>
        <v>-58.890359454759164</v>
      </c>
      <c r="S28" s="7">
        <f>IF(A28&lt;1+Parameters!$L$31,0,INDEX($M$5:$M$40,A28-Parameters!$L$31))</f>
        <v>9274.786396393501</v>
      </c>
      <c r="T28" s="7">
        <f>T27+M28-S28</f>
        <v>9434.259198571353</v>
      </c>
      <c r="U28" s="7">
        <f>S28-N28-O28-Q28</f>
        <v>-218.36316163261108</v>
      </c>
      <c r="V28" s="7">
        <f>V27+U28</f>
        <v>-51208.23332732355</v>
      </c>
      <c r="W28" s="7">
        <f>(1-Parameters!$L$7)*(C28-E28)+(1-Parameters!$L$8)*(D28+E28)</f>
        <v>883.0205409812187</v>
      </c>
      <c r="X28" s="7">
        <f>Parameters!$L$7*(C28-E28)+Parameters!$L$8*Parameters!$L$9*(D28+E28)</f>
        <v>7107.43549563451</v>
      </c>
      <c r="Y28" s="7">
        <f>Parameters!$L$8*(1-Parameters!$L$9)*(D28+E28)</f>
        <v>1772.804232303637</v>
      </c>
      <c r="Z28" s="7">
        <f>POWER(1/(1+Parameters!$L$32),A28-1)*(M28-N28)</f>
        <v>3930.3650906280336</v>
      </c>
    </row>
    <row r="29" spans="1:26">
      <c r="A29" s="7">
        <v>25</v>
      </c>
      <c r="B29" s="7">
        <f>Parameters!$L$20</f>
        <v>1000</v>
      </c>
      <c r="C29" s="7">
        <f>X28+B29</f>
        <v>8107.4354956345105</v>
      </c>
      <c r="D29" s="7">
        <f>Y28</f>
        <v>1772.804232303637</v>
      </c>
      <c r="E29" s="7">
        <f>Parameters!$L$6*C29</f>
        <v>162.1487099126902</v>
      </c>
      <c r="F29" s="7">
        <f>IF(Parameters!$L$5=1,E29,0)</f>
        <v>0.0</v>
      </c>
      <c r="G29" s="7">
        <f>Parameters!$L$27*G28+F29</f>
        <v>0.0</v>
      </c>
      <c r="H29" s="7">
        <f>IF(AND(Parameters!$L$5=1,Parameters!$L$26=1),SUMPRODUCT(--($A$5:A29&lt;A29),--(MOD(A29-$A$5:A29,Parameters!$L$28)=0),$F$5:F29,POWER(Parameters!$L$27,IF(A29-$A$5:A29=0,1,A29-$A$5:A29))),0)</f>
        <v>0.0</v>
      </c>
      <c r="I29" s="7">
        <f>Parameters!$L$23*I28+B29*Parameters!$L$22</f>
        <v>2167.831280634497</v>
      </c>
      <c r="J29" s="7">
        <f>E29*Parameters!$L$14*(1-Parameters!$L$15)</f>
        <v>3080.825488341114</v>
      </c>
      <c r="K29" s="7">
        <f>H29*Parameters!$L$29</f>
        <v>0.0</v>
      </c>
      <c r="L29" s="7">
        <f>I29*Parameters!$L$24</f>
        <v>6503.493841903492</v>
      </c>
      <c r="M29" s="7">
        <f>J29+K29+L29</f>
        <v>9584.319330244605</v>
      </c>
      <c r="N29" s="7">
        <f>C29*Parameters!$L$17+D29*Parameters!$L$18+E29*Parameters!$L$16+I29*Parameters!$L$25+G29*Parameters!$L$30</f>
        <v>4564.69711507211</v>
      </c>
      <c r="O29" s="7">
        <f>B29*Parameters!$L$19</f>
        <v>4000</v>
      </c>
      <c r="P29" s="7">
        <f>M29-N29-O29</f>
        <v>1019.6222151724951</v>
      </c>
      <c r="Q29" s="7">
        <f>Parameters!$L$21</f>
        <v>1000</v>
      </c>
      <c r="R29" s="7">
        <f>P29-Q29</f>
        <v>19.62221517249509</v>
      </c>
      <c r="S29" s="7">
        <f>IF(A29&lt;1+Parameters!$L$31,0,INDEX($M$5:$M$40,A29-Parameters!$L$31))</f>
        <v>9434.259198571353</v>
      </c>
      <c r="T29" s="7">
        <f>T28+M29-S29</f>
        <v>9584.319330244605</v>
      </c>
      <c r="U29" s="7">
        <f>S29-N29-O29-Q29</f>
        <v>-130.43791650075673</v>
      </c>
      <c r="V29" s="7">
        <f>V28+U29</f>
        <v>-51338.671243824305</v>
      </c>
      <c r="W29" s="7">
        <f>(1-Parameters!$L$7)*(C29-E29)+(1-Parameters!$L$8)*(D29+E29)</f>
        <v>891.2763256829982</v>
      </c>
      <c r="X29" s="7">
        <f>Parameters!$L$7*(C29-E29)+Parameters!$L$8*Parameters!$L$9*(D29+E29)</f>
        <v>7150.758107149639</v>
      </c>
      <c r="Y29" s="7">
        <f>Parameters!$L$8*(1-Parameters!$L$9)*(D29+E29)</f>
        <v>1838.205295105511</v>
      </c>
      <c r="Z29" s="7">
        <f>POWER(1/(1+Parameters!$L$32),A29-1)*(M29-N29)</f>
        <v>3953.2844291334836</v>
      </c>
    </row>
    <row r="30" spans="1:26">
      <c r="A30" s="7">
        <v>26</v>
      </c>
      <c r="B30" s="7">
        <f>Parameters!$L$20</f>
        <v>1000</v>
      </c>
      <c r="C30" s="7">
        <f>X29+B30</f>
        <v>8150.758107149638</v>
      </c>
      <c r="D30" s="7">
        <f>Y29</f>
        <v>1838.2052951055107</v>
      </c>
      <c r="E30" s="7">
        <f>Parameters!$L$6*C30</f>
        <v>163.01516214299275</v>
      </c>
      <c r="F30" s="7">
        <f>IF(Parameters!$L$5=1,E30,0)</f>
        <v>0.0</v>
      </c>
      <c r="G30" s="7">
        <f>Parameters!$L$27*G29+F30</f>
        <v>0.0</v>
      </c>
      <c r="H30" s="7">
        <f>IF(AND(Parameters!$L$5=1,Parameters!$L$26=1),SUMPRODUCT(--($A$5:A30&lt;A30),--(MOD(A30-$A$5:A30,Parameters!$L$28)=0),$F$5:F30,POWER(Parameters!$L$27,IF(A30-$A$5:A30=0,1,A30-$A$5:A30))),0)</f>
        <v>0.0</v>
      </c>
      <c r="I30" s="7">
        <f>Parameters!$L$23*I29+B30*Parameters!$L$22</f>
        <v>2209.439716602772</v>
      </c>
      <c r="J30" s="7">
        <f>E30*Parameters!$L$14*(1-Parameters!$L$15)</f>
        <v>3097.288080716862</v>
      </c>
      <c r="K30" s="7">
        <f>H30*Parameters!$L$29</f>
        <v>0.0</v>
      </c>
      <c r="L30" s="7">
        <f>I30*Parameters!$L$24</f>
        <v>6628.319149808316</v>
      </c>
      <c r="M30" s="7">
        <f>J30+K30+L30</f>
        <v>9725.607230525178</v>
      </c>
      <c r="N30" s="7">
        <f>C30*Parameters!$L$17+D30*Parameters!$L$18+E30*Parameters!$L$16+I30*Parameters!$L$25+G30*Parameters!$L$30</f>
        <v>4632.065100142025</v>
      </c>
      <c r="O30" s="7">
        <f>B30*Parameters!$L$19</f>
        <v>4000</v>
      </c>
      <c r="P30" s="7">
        <f>M30-N30-O30</f>
        <v>1093.5421303831536</v>
      </c>
      <c r="Q30" s="7">
        <f>Parameters!$L$21</f>
        <v>1000</v>
      </c>
      <c r="R30" s="7">
        <f>P30-Q30</f>
        <v>93.54213038315356</v>
      </c>
      <c r="S30" s="7">
        <f>IF(A30&lt;1+Parameters!$L$31,0,INDEX($M$5:$M$40,A30-Parameters!$L$31))</f>
        <v>9584.319330244605</v>
      </c>
      <c r="T30" s="7">
        <f>T29+M30-S30</f>
        <v>9725.607230525178</v>
      </c>
      <c r="U30" s="7">
        <f>S30-N30-O30-Q30</f>
        <v>-47.74576989741945</v>
      </c>
      <c r="V30" s="7">
        <f>V29+U30</f>
        <v>-51386.41701372172</v>
      </c>
      <c r="W30" s="7">
        <f>(1-Parameters!$L$7)*(C30-E30)+(1-Parameters!$L$8)*(D30+E30)</f>
        <v>898.8353173630895</v>
      </c>
      <c r="X30" s="7">
        <f>Parameters!$L$7*(C30-E30)+Parameters!$L$8*Parameters!$L$9*(D30+E30)</f>
        <v>7188.968650505981</v>
      </c>
      <c r="Y30" s="7">
        <f>Parameters!$L$8*(1-Parameters!$L$9)*(D30+E30)</f>
        <v>1901.1594343860781</v>
      </c>
      <c r="Z30" s="7">
        <f>POWER(1/(1+Parameters!$L$32),A30-1)*(M30-N30)</f>
        <v>3971.7834163321104</v>
      </c>
    </row>
    <row r="31" spans="1:26">
      <c r="A31" s="7">
        <v>27</v>
      </c>
      <c r="B31" s="7">
        <f>Parameters!$L$20</f>
        <v>1000</v>
      </c>
      <c r="C31" s="7">
        <f>X30+B31</f>
        <v>8188.968650505981</v>
      </c>
      <c r="D31" s="7">
        <f>Y30</f>
        <v>1901.1594343860781</v>
      </c>
      <c r="E31" s="7">
        <f>Parameters!$L$6*C31</f>
        <v>163.77937301011963</v>
      </c>
      <c r="F31" s="7">
        <f>IF(Parameters!$L$5=1,E31,0)</f>
        <v>0.0</v>
      </c>
      <c r="G31" s="7">
        <f>Parameters!$L$27*G30+F31</f>
        <v>0.0</v>
      </c>
      <c r="H31" s="7">
        <f>IF(AND(Parameters!$L$5=1,Parameters!$L$26=1),SUMPRODUCT(--($A$5:A31&lt;A31),--(MOD(A31-$A$5:A31,Parameters!$L$28)=0),$F$5:F31,POWER(Parameters!$L$27,IF(A31-$A$5:A31=0,1,A31-$A$5:A31))),0)</f>
        <v>0.0</v>
      </c>
      <c r="I31" s="7">
        <f>Parameters!$L$23*I30+B31*Parameters!$L$22</f>
        <v>2248.9677307726333</v>
      </c>
      <c r="J31" s="7">
        <f>E31*Parameters!$L$14*(1-Parameters!$L$15)</f>
        <v>3111.8080871922725</v>
      </c>
      <c r="K31" s="7">
        <f>H31*Parameters!$L$29</f>
        <v>0.0</v>
      </c>
      <c r="L31" s="7">
        <f>I31*Parameters!$L$24</f>
        <v>6746.9031923179</v>
      </c>
      <c r="M31" s="7">
        <f>J31+K31+L31</f>
        <v>9858.711279510173</v>
      </c>
      <c r="N31" s="7">
        <f>C31*Parameters!$L$17+D31*Parameters!$L$18+E31*Parameters!$L$16+I31*Parameters!$L$25+G31*Parameters!$L$30</f>
        <v>4695.533550741269</v>
      </c>
      <c r="O31" s="7">
        <f>B31*Parameters!$L$19</f>
        <v>4000</v>
      </c>
      <c r="P31" s="7">
        <f>M31-N31-O31</f>
        <v>1163.1777287689038</v>
      </c>
      <c r="Q31" s="7">
        <f>Parameters!$L$21</f>
        <v>1000</v>
      </c>
      <c r="R31" s="7">
        <f>P31-Q31</f>
        <v>163.17772876890376</v>
      </c>
      <c r="S31" s="7">
        <f>IF(A31&lt;1+Parameters!$L$31,0,INDEX($M$5:$M$40,A31-Parameters!$L$31))</f>
        <v>9725.607230525178</v>
      </c>
      <c r="T31" s="7">
        <f>T30+M31-S31</f>
        <v>9858.711279510173</v>
      </c>
      <c r="U31" s="7">
        <f>S31-N31-O31-Q31</f>
        <v>30.07367978390903</v>
      </c>
      <c r="V31" s="7">
        <f>V30+U31</f>
        <v>-51356.34333393781</v>
      </c>
      <c r="W31" s="7">
        <f>(1-Parameters!$L$7)*(C31-E31)+(1-Parameters!$L$8)*(D31+E31)</f>
        <v>905.7658681193958</v>
      </c>
      <c r="X31" s="7">
        <f>Parameters!$L$7*(C31-E31)+Parameters!$L$8*Parameters!$L$9*(D31+E31)</f>
        <v>7222.670349746276</v>
      </c>
      <c r="Y31" s="7">
        <f>Parameters!$L$8*(1-Parameters!$L$9)*(D31+E31)</f>
        <v>1961.6918670263876</v>
      </c>
      <c r="Z31" s="7">
        <f>POWER(1/(1+Parameters!$L$32),A31-1)*(M31-N31)</f>
        <v>3986.2208499626804</v>
      </c>
    </row>
    <row r="32" spans="1:26">
      <c r="A32" s="7">
        <v>28</v>
      </c>
      <c r="B32" s="7">
        <f>Parameters!$L$20</f>
        <v>1000</v>
      </c>
      <c r="C32" s="7">
        <f>X31+B32</f>
        <v>8222.670349746275</v>
      </c>
      <c r="D32" s="7">
        <f>Y31</f>
        <v>1961.6918670263879</v>
      </c>
      <c r="E32" s="7">
        <f>Parameters!$L$6*C32</f>
        <v>164.4534069949255</v>
      </c>
      <c r="F32" s="7">
        <f>IF(Parameters!$L$5=1,E32,0)</f>
        <v>0.0</v>
      </c>
      <c r="G32" s="7">
        <f>Parameters!$L$27*G31+F32</f>
        <v>0.0</v>
      </c>
      <c r="H32" s="7">
        <f>IF(AND(Parameters!$L$5=1,Parameters!$L$26=1),SUMPRODUCT(--($A$5:A32&lt;A32),--(MOD(A32-$A$5:A32,Parameters!$L$28)=0),$F$5:F32,POWER(Parameters!$L$27,IF(A32-$A$5:A32=0,1,A32-$A$5:A32))),0)</f>
        <v>0.0</v>
      </c>
      <c r="I32" s="7">
        <f>Parameters!$L$23*I31+B32*Parameters!$L$22</f>
        <v>2286.5193442340014</v>
      </c>
      <c r="J32" s="7">
        <f>E32*Parameters!$L$14*(1-Parameters!$L$15)</f>
        <v>3124.6147329035844</v>
      </c>
      <c r="K32" s="7">
        <f>H32*Parameters!$L$29</f>
        <v>0.0</v>
      </c>
      <c r="L32" s="7">
        <f>I32*Parameters!$L$24</f>
        <v>6859.558032702004</v>
      </c>
      <c r="M32" s="7">
        <f>J32+K32+L32</f>
        <v>9984.172765605588</v>
      </c>
      <c r="N32" s="7">
        <f>C32*Parameters!$L$17+D32*Parameters!$L$18+E32*Parameters!$L$16+I32*Parameters!$L$25+G32*Parameters!$L$30</f>
        <v>4755.360117549002</v>
      </c>
      <c r="O32" s="7">
        <f>B32*Parameters!$L$19</f>
        <v>4000</v>
      </c>
      <c r="P32" s="7">
        <f>M32-N32-O32</f>
        <v>1228.812648056586</v>
      </c>
      <c r="Q32" s="7">
        <f>Parameters!$L$21</f>
        <v>1000</v>
      </c>
      <c r="R32" s="7">
        <f>P32-Q32</f>
        <v>228.8126480565861</v>
      </c>
      <c r="S32" s="7">
        <f>IF(A32&lt;1+Parameters!$L$31,0,INDEX($M$5:$M$40,A32-Parameters!$L$31))</f>
        <v>9858.711279510173</v>
      </c>
      <c r="T32" s="7">
        <f>T31+M32-S32</f>
        <v>9984.172765605588</v>
      </c>
      <c r="U32" s="7">
        <f>S32-N32-O32-Q32</f>
        <v>103.35116196117087</v>
      </c>
      <c r="V32" s="7">
        <f>V31+U32</f>
        <v>-51252.99217197664</v>
      </c>
      <c r="W32" s="7">
        <f>(1-Parameters!$L$7)*(C32-E32)+(1-Parameters!$L$8)*(D32+E32)</f>
        <v>912.1289579762005</v>
      </c>
      <c r="X32" s="7">
        <f>Parameters!$L$7*(C32-E32)+Parameters!$L$8*Parameters!$L$9*(D32+E32)</f>
        <v>7252.395248476214</v>
      </c>
      <c r="Y32" s="7">
        <f>Parameters!$L$8*(1-Parameters!$L$9)*(D32+E32)</f>
        <v>2019.8380103202478</v>
      </c>
      <c r="Z32" s="7">
        <f>POWER(1/(1+Parameters!$L$32),A32-1)*(M32-N32)</f>
        <v>3996.9249066574707</v>
      </c>
    </row>
    <row r="33" spans="1:26">
      <c r="A33" s="7">
        <v>29</v>
      </c>
      <c r="B33" s="7">
        <f>Parameters!$L$20</f>
        <v>1000</v>
      </c>
      <c r="C33" s="7">
        <f>X32+B33</f>
        <v>8252.395248476216</v>
      </c>
      <c r="D33" s="7">
        <f>Y32</f>
        <v>2019.8380103202476</v>
      </c>
      <c r="E33" s="7">
        <f>Parameters!$L$6*C33</f>
        <v>165.0479049695243</v>
      </c>
      <c r="F33" s="7">
        <f>IF(Parameters!$L$5=1,E33,0)</f>
        <v>0.0</v>
      </c>
      <c r="G33" s="7">
        <f>Parameters!$L$27*G32+F33</f>
        <v>0.0</v>
      </c>
      <c r="H33" s="7">
        <f>IF(AND(Parameters!$L$5=1,Parameters!$L$26=1),SUMPRODUCT(--($A$5:A33&lt;A33),--(MOD(A33-$A$5:A33,Parameters!$L$28)=0),$F$5:F33,POWER(Parameters!$L$27,IF(A33-$A$5:A33=0,1,A33-$A$5:A33))),0)</f>
        <v>0.0</v>
      </c>
      <c r="I33" s="7">
        <f>Parameters!$L$23*I32+B33*Parameters!$L$22</f>
        <v>2322.1933770223013</v>
      </c>
      <c r="J33" s="7">
        <f>E33*Parameters!$L$14*(1-Parameters!$L$15)</f>
        <v>3135.9101944209615</v>
      </c>
      <c r="K33" s="7">
        <f>H33*Parameters!$L$29</f>
        <v>0.0</v>
      </c>
      <c r="L33" s="7">
        <f>I33*Parameters!$L$24</f>
        <v>6966.580131066904</v>
      </c>
      <c r="M33" s="7">
        <f>J33+K33+L33</f>
        <v>10102.490325487866</v>
      </c>
      <c r="N33" s="7">
        <f>C33*Parameters!$L$17+D33*Parameters!$L$18+E33*Parameters!$L$16+I33*Parameters!$L$25+G33*Parameters!$L$30</f>
        <v>4811.782173183663</v>
      </c>
      <c r="O33" s="7">
        <f>B33*Parameters!$L$19</f>
        <v>4000</v>
      </c>
      <c r="P33" s="7">
        <f>M33-N33-O33</f>
        <v>1290.7081523042034</v>
      </c>
      <c r="Q33" s="7">
        <f>Parameters!$L$21</f>
        <v>1000</v>
      </c>
      <c r="R33" s="7">
        <f>P33-Q33</f>
        <v>290.7081523042034</v>
      </c>
      <c r="S33" s="7">
        <f>IF(A33&lt;1+Parameters!$L$31,0,INDEX($M$5:$M$40,A33-Parameters!$L$31))</f>
        <v>9984.172765605588</v>
      </c>
      <c r="T33" s="7">
        <f>T32+M33-S33</f>
        <v>10102.490325487866</v>
      </c>
      <c r="U33" s="7">
        <f>S33-N33-O33-Q33</f>
        <v>172.39059242192525</v>
      </c>
      <c r="V33" s="7">
        <f>V32+U33</f>
        <v>-51080.601579554714</v>
      </c>
      <c r="W33" s="7">
        <f>(1-Parameters!$L$7)*(C33-E33)+(1-Parameters!$L$8)*(D33+E33)</f>
        <v>917.9790301151575</v>
      </c>
      <c r="X33" s="7">
        <f>Parameters!$L$7*(C33-E33)+Parameters!$L$8*Parameters!$L$9*(D33+E33)</f>
        <v>7278.612609156023</v>
      </c>
      <c r="Y33" s="7">
        <f>Parameters!$L$8*(1-Parameters!$L$9)*(D33+E33)</f>
        <v>2075.641619525283</v>
      </c>
      <c r="Z33" s="7">
        <f>POWER(1/(1+Parameters!$L$32),A33-1)*(M33-N33)</f>
        <v>4004.1961118709637</v>
      </c>
    </row>
    <row r="34" spans="1:26">
      <c r="A34" s="7">
        <v>30</v>
      </c>
      <c r="B34" s="7">
        <f>Parameters!$L$20</f>
        <v>1000</v>
      </c>
      <c r="C34" s="7">
        <f>X33+B34</f>
        <v>8278.612609156022</v>
      </c>
      <c r="D34" s="7">
        <f>Y33</f>
        <v>2075.641619525283</v>
      </c>
      <c r="E34" s="7">
        <f>Parameters!$L$6*C34</f>
        <v>165.5722521831204</v>
      </c>
      <c r="F34" s="7">
        <f>IF(Parameters!$L$5=1,E34,0)</f>
        <v>0.0</v>
      </c>
      <c r="G34" s="7">
        <f>Parameters!$L$27*G33+F34</f>
        <v>0.0</v>
      </c>
      <c r="H34" s="7">
        <f>IF(AND(Parameters!$L$5=1,Parameters!$L$26=1),SUMPRODUCT(--($A$5:A34&lt;A34),--(MOD(A34-$A$5:A34,Parameters!$L$28)=0),$F$5:F34,POWER(Parameters!$L$27,IF(A34-$A$5:A34=0,1,A34-$A$5:A34))),0)</f>
        <v>0.0</v>
      </c>
      <c r="I34" s="7">
        <f>Parameters!$L$23*I33+B34*Parameters!$L$22</f>
        <v>2356.083708171186</v>
      </c>
      <c r="J34" s="7">
        <f>E34*Parameters!$L$14*(1-Parameters!$L$15)</f>
        <v>3145.8727914792876</v>
      </c>
      <c r="K34" s="7">
        <f>H34*Parameters!$L$29</f>
        <v>0.0</v>
      </c>
      <c r="L34" s="7">
        <f>I34*Parameters!$L$24</f>
        <v>7068.251124513558</v>
      </c>
      <c r="M34" s="7">
        <f>J34+K34+L34</f>
        <v>10214.123915992846</v>
      </c>
      <c r="N34" s="7">
        <f>C34*Parameters!$L$17+D34*Parameters!$L$18+E34*Parameters!$L$16+I34*Parameters!$L$25+G34*Parameters!$L$30</f>
        <v>4865.018698778162</v>
      </c>
      <c r="O34" s="7">
        <f>B34*Parameters!$L$19</f>
        <v>4000</v>
      </c>
      <c r="P34" s="7">
        <f>M34-N34-O34</f>
        <v>1349.1052172146847</v>
      </c>
      <c r="Q34" s="7">
        <f>Parameters!$L$21</f>
        <v>1000</v>
      </c>
      <c r="R34" s="7">
        <f>P34-Q34</f>
        <v>349.10521721468467</v>
      </c>
      <c r="S34" s="7">
        <f>IF(A34&lt;1+Parameters!$L$31,0,INDEX($M$5:$M$40,A34-Parameters!$L$31))</f>
        <v>10102.490325487866</v>
      </c>
      <c r="T34" s="7">
        <f>T33+M34-S34</f>
        <v>10214.123915992846</v>
      </c>
      <c r="U34" s="7">
        <f>S34-N34-O34-Q34</f>
        <v>237.47162670970465</v>
      </c>
      <c r="V34" s="7">
        <f>V33+U34</f>
        <v>-50843.12995284501</v>
      </c>
      <c r="W34" s="7">
        <f>(1-Parameters!$L$7)*(C34-E34)+(1-Parameters!$L$8)*(D34+E34)</f>
        <v>923.3647292827101</v>
      </c>
      <c r="X34" s="7">
        <f>Parameters!$L$7*(C34-E34)+Parameters!$L$8*Parameters!$L$9*(D34+E34)</f>
        <v>7301.736321275612</v>
      </c>
      <c r="Y34" s="7">
        <f>Parameters!$L$8*(1-Parameters!$L$9)*(D34+E34)</f>
        <v>2129.1531781229833</v>
      </c>
      <c r="Z34" s="7">
        <f>POWER(1/(1+Parameters!$L$32),A34-1)*(M34-N34)</f>
        <v>4008.3099878093094</v>
      </c>
    </row>
    <row r="35" spans="1:26">
      <c r="A35" s="7">
        <v>31</v>
      </c>
      <c r="B35" s="7">
        <f>Parameters!$L$20</f>
        <v>1000</v>
      </c>
      <c r="C35" s="7">
        <f>X34+B35</f>
        <v>8301.73632127561</v>
      </c>
      <c r="D35" s="7">
        <f>Y34</f>
        <v>2129.1531781229833</v>
      </c>
      <c r="E35" s="7">
        <f>Parameters!$L$6*C35</f>
        <v>166.03472642551222</v>
      </c>
      <c r="F35" s="7">
        <f>IF(Parameters!$L$5=1,E35,0)</f>
        <v>0.0</v>
      </c>
      <c r="G35" s="7">
        <f>Parameters!$L$27*G34+F35</f>
        <v>0.0</v>
      </c>
      <c r="H35" s="7">
        <f>IF(AND(Parameters!$L$5=1,Parameters!$L$26=1),SUMPRODUCT(--($A$5:A35&lt;A35),--(MOD(A35-$A$5:A35,Parameters!$L$28)=0),$F$5:F35,POWER(Parameters!$L$27,IF(A35-$A$5:A35=0,1,A35-$A$5:A35))),0)</f>
        <v>0.0</v>
      </c>
      <c r="I35" s="7">
        <f>Parameters!$L$23*I34+B35*Parameters!$L$22</f>
        <v>2388.2795227626266</v>
      </c>
      <c r="J35" s="7">
        <f>E35*Parameters!$L$14*(1-Parameters!$L$15)</f>
        <v>3154.659802084732</v>
      </c>
      <c r="K35" s="7">
        <f>H35*Parameters!$L$29</f>
        <v>0.0</v>
      </c>
      <c r="L35" s="7">
        <f>I35*Parameters!$L$24</f>
        <v>7164.83856828788</v>
      </c>
      <c r="M35" s="7">
        <f>J35+K35+L35</f>
        <v>10319.498370372612</v>
      </c>
      <c r="N35" s="7">
        <f>C35*Parameters!$L$17+D35*Parameters!$L$18+E35*Parameters!$L$16+I35*Parameters!$L$25+G35*Parameters!$L$30</f>
        <v>4915.271973251</v>
      </c>
      <c r="O35" s="7">
        <f>B35*Parameters!$L$19</f>
        <v>4000</v>
      </c>
      <c r="P35" s="7">
        <f>M35-N35-O35</f>
        <v>1404.2263971216116</v>
      </c>
      <c r="Q35" s="7">
        <f>Parameters!$L$21</f>
        <v>1000</v>
      </c>
      <c r="R35" s="7">
        <f>P35-Q35</f>
        <v>404.2263971216116</v>
      </c>
      <c r="S35" s="7">
        <f>IF(A35&lt;1+Parameters!$L$31,0,INDEX($M$5:$M$40,A35-Parameters!$L$31))</f>
        <v>10214.123915992846</v>
      </c>
      <c r="T35" s="7">
        <f>T34+M35-S35</f>
        <v>10319.498370372612</v>
      </c>
      <c r="U35" s="7">
        <f>S35-N35-O35-Q35</f>
        <v>298.85194274184596</v>
      </c>
      <c r="V35" s="7">
        <f>V34+U35</f>
        <v>-50544.27801010317</v>
      </c>
      <c r="W35" s="7">
        <f>(1-Parameters!$L$7)*(C35-E35)+(1-Parameters!$L$8)*(D35+E35)</f>
        <v>928.3295547124345</v>
      </c>
      <c r="X35" s="7">
        <f>Parameters!$L$7*(C35-E35)+Parameters!$L$8*Parameters!$L$9*(D35+E35)</f>
        <v>7322.131435365088</v>
      </c>
      <c r="Y35" s="7">
        <f>Parameters!$L$8*(1-Parameters!$L$9)*(D35+E35)</f>
        <v>2180.4285093210706</v>
      </c>
      <c r="Z35" s="7">
        <f>POWER(1/(1+Parameters!$L$32),A35-1)*(M35-N35)</f>
        <v>4009.5194169346632</v>
      </c>
    </row>
    <row r="36" spans="1:26">
      <c r="A36" s="7">
        <v>32</v>
      </c>
      <c r="B36" s="7">
        <f>Parameters!$L$20</f>
        <v>1000</v>
      </c>
      <c r="C36" s="7">
        <f>X35+B36</f>
        <v>8322.131435365089</v>
      </c>
      <c r="D36" s="7">
        <f>Y35</f>
        <v>2180.4285093210706</v>
      </c>
      <c r="E36" s="7">
        <f>Parameters!$L$6*C36</f>
        <v>166.44262870730176</v>
      </c>
      <c r="F36" s="7">
        <f>IF(Parameters!$L$5=1,E36,0)</f>
        <v>0.0</v>
      </c>
      <c r="G36" s="7">
        <f>Parameters!$L$27*G35+F36</f>
        <v>0.0</v>
      </c>
      <c r="H36" s="7">
        <f>IF(AND(Parameters!$L$5=1,Parameters!$L$26=1),SUMPRODUCT(--($A$5:A36&lt;A36),--(MOD(A36-$A$5:A36,Parameters!$L$28)=0),$F$5:F36,POWER(Parameters!$L$27,IF(A36-$A$5:A36=0,1,A36-$A$5:A36))),0)</f>
        <v>0.0</v>
      </c>
      <c r="I36" s="7">
        <f>Parameters!$L$23*I35+B36*Parameters!$L$22</f>
        <v>2418.865546624495</v>
      </c>
      <c r="J36" s="7">
        <f>E36*Parameters!$L$14*(1-Parameters!$L$15)</f>
        <v>3162.4099454387333</v>
      </c>
      <c r="K36" s="7">
        <f>H36*Parameters!$L$29</f>
        <v>0.0</v>
      </c>
      <c r="L36" s="7">
        <f>I36*Parameters!$L$24</f>
        <v>7256.596639873485</v>
      </c>
      <c r="M36" s="7">
        <f>J36+K36+L36</f>
        <v>10419.006585312218</v>
      </c>
      <c r="N36" s="7">
        <f>C36*Parameters!$L$17+D36*Parameters!$L$18+E36*Parameters!$L$16+I36*Parameters!$L$25+G36*Parameters!$L$30</f>
        <v>4962.729087289611</v>
      </c>
      <c r="O36" s="7">
        <f>B36*Parameters!$L$19</f>
        <v>4000</v>
      </c>
      <c r="P36" s="7">
        <f>M36-N36-O36</f>
        <v>1456.2774980226068</v>
      </c>
      <c r="Q36" s="7">
        <f>Parameters!$L$21</f>
        <v>1000</v>
      </c>
      <c r="R36" s="7">
        <f>P36-Q36</f>
        <v>456.2774980226068</v>
      </c>
      <c r="S36" s="7">
        <f>IF(A36&lt;1+Parameters!$L$31,0,INDEX($M$5:$M$40,A36-Parameters!$L$31))</f>
        <v>10319.498370372612</v>
      </c>
      <c r="T36" s="7">
        <f>T35+M36-S36</f>
        <v>10419.006585312218</v>
      </c>
      <c r="U36" s="7">
        <f>S36-N36-O36-Q36</f>
        <v>356.769283083001</v>
      </c>
      <c r="V36" s="7">
        <f>V35+U36</f>
        <v>-50187.50872702017</v>
      </c>
      <c r="W36" s="7">
        <f>(1-Parameters!$L$7)*(C36-E36)+(1-Parameters!$L$8)*(D36+E36)</f>
        <v>932.9124375671972</v>
      </c>
      <c r="X36" s="7">
        <f>Parameters!$L$7*(C36-E36)+Parameters!$L$8*Parameters!$L$9*(D36+E36)</f>
        <v>7340.119925992009</v>
      </c>
      <c r="Y36" s="7">
        <f>Parameters!$L$8*(1-Parameters!$L$9)*(D36+E36)</f>
        <v>2229.5275811269535</v>
      </c>
      <c r="Z36" s="7">
        <f>POWER(1/(1+Parameters!$L$32),A36-1)*(M36-N36)</f>
        <v>4008.056754048675</v>
      </c>
    </row>
    <row r="37" spans="1:26">
      <c r="A37" s="7">
        <v>33</v>
      </c>
      <c r="B37" s="7">
        <f>Parameters!$L$20</f>
        <v>1000</v>
      </c>
      <c r="C37" s="7">
        <f>X36+B37</f>
        <v>8340.119925992007</v>
      </c>
      <c r="D37" s="7">
        <f>Y36</f>
        <v>2229.527581126954</v>
      </c>
      <c r="E37" s="7">
        <f>Parameters!$L$6*C37</f>
        <v>166.80239851984015</v>
      </c>
      <c r="F37" s="7">
        <f>IF(Parameters!$L$5=1,E37,0)</f>
        <v>0.0</v>
      </c>
      <c r="G37" s="7">
        <f>Parameters!$L$27*G36+F37</f>
        <v>0.0</v>
      </c>
      <c r="H37" s="7">
        <f>IF(AND(Parameters!$L$5=1,Parameters!$L$26=1),SUMPRODUCT(--($A$5:A37&lt;A37),--(MOD(A37-$A$5:A37,Parameters!$L$28)=0),$F$5:F37,POWER(Parameters!$L$27,IF(A37-$A$5:A37=0,1,A37-$A$5:A37))),0)</f>
        <v>0.0</v>
      </c>
      <c r="I37" s="7">
        <f>Parameters!$L$23*I36+B37*Parameters!$L$22</f>
        <v>2447.9222692932703</v>
      </c>
      <c r="J37" s="7">
        <f>E37*Parameters!$L$14*(1-Parameters!$L$15)</f>
        <v>3169.245571876963</v>
      </c>
      <c r="K37" s="7">
        <f>H37*Parameters!$L$29</f>
        <v>0.0</v>
      </c>
      <c r="L37" s="7">
        <f>I37*Parameters!$L$24</f>
        <v>7343.766807879811</v>
      </c>
      <c r="M37" s="7">
        <f>J37+K37+L37</f>
        <v>10513.012379756774</v>
      </c>
      <c r="N37" s="7">
        <f>C37*Parameters!$L$17+D37*Parameters!$L$18+E37*Parameters!$L$16+I37*Parameters!$L$25+G37*Parameters!$L$30</f>
        <v>5007.563301527554</v>
      </c>
      <c r="O37" s="7">
        <f>B37*Parameters!$L$19</f>
        <v>4000</v>
      </c>
      <c r="P37" s="7">
        <f>M37-N37-O37</f>
        <v>1505.4490782292196</v>
      </c>
      <c r="Q37" s="7">
        <f>Parameters!$L$21</f>
        <v>1000</v>
      </c>
      <c r="R37" s="7">
        <f>P37-Q37</f>
        <v>505.4490782292196</v>
      </c>
      <c r="S37" s="7">
        <f>IF(A37&lt;1+Parameters!$L$31,0,INDEX($M$5:$M$40,A37-Parameters!$L$31))</f>
        <v>10419.006585312218</v>
      </c>
      <c r="T37" s="7">
        <f>T36+M37-S37</f>
        <v>10513.012379756774</v>
      </c>
      <c r="U37" s="7">
        <f>S37-N37-O37-Q37</f>
        <v>411.44328378466344</v>
      </c>
      <c r="V37" s="7">
        <f>V36+U37</f>
        <v>-49776.06544323551</v>
      </c>
      <c r="W37" s="7">
        <f>(1-Parameters!$L$7)*(C37-E37)+(1-Parameters!$L$8)*(D37+E37)</f>
        <v>937.1482517295564</v>
      </c>
      <c r="X37" s="7">
        <f>Parameters!$L$7*(C37-E37)+Parameters!$L$8*Parameters!$L$9*(D37+E37)</f>
        <v>7355.985774724951</v>
      </c>
      <c r="Y37" s="7">
        <f>Parameters!$L$8*(1-Parameters!$L$9)*(D37+E37)</f>
        <v>2276.513480664454</v>
      </c>
      <c r="Z37" s="7">
        <f>POWER(1/(1+Parameters!$L$32),A37-1)*(M37-N37)</f>
        <v>4004.1357159575095</v>
      </c>
    </row>
    <row r="38" spans="1:26">
      <c r="A38" s="7">
        <v>34</v>
      </c>
      <c r="B38" s="7">
        <f>Parameters!$L$20</f>
        <v>1000</v>
      </c>
      <c r="C38" s="7">
        <f>X37+B38</f>
        <v>8355.985774724952</v>
      </c>
      <c r="D38" s="7">
        <f>Y37</f>
        <v>2276.513480664454</v>
      </c>
      <c r="E38" s="7">
        <f>Parameters!$L$6*C38</f>
        <v>167.11971549449902</v>
      </c>
      <c r="F38" s="7">
        <f>IF(Parameters!$L$5=1,E38,0)</f>
        <v>0.0</v>
      </c>
      <c r="G38" s="7">
        <f>Parameters!$L$27*G37+F38</f>
        <v>0.0</v>
      </c>
      <c r="H38" s="7">
        <f>IF(AND(Parameters!$L$5=1,Parameters!$L$26=1),SUMPRODUCT(--($A$5:A38&lt;A38),--(MOD(A38-$A$5:A38,Parameters!$L$28)=0),$F$5:F38,POWER(Parameters!$L$27,IF(A38-$A$5:A38=0,1,A38-$A$5:A38))),0)</f>
        <v>0.0</v>
      </c>
      <c r="I38" s="7">
        <f>Parameters!$L$23*I37+B38*Parameters!$L$22</f>
        <v>2475.5261558286065</v>
      </c>
      <c r="J38" s="7">
        <f>E38*Parameters!$L$14*(1-Parameters!$L$15)</f>
        <v>3175.274594395481</v>
      </c>
      <c r="K38" s="7">
        <f>H38*Parameters!$L$29</f>
        <v>0.0</v>
      </c>
      <c r="L38" s="7">
        <f>I38*Parameters!$L$24</f>
        <v>7426.57846748582</v>
      </c>
      <c r="M38" s="7">
        <f>J38+K38+L38</f>
        <v>10601.8530618813</v>
      </c>
      <c r="N38" s="7">
        <f>C38*Parameters!$L$17+D38*Parameters!$L$18+E38*Parameters!$L$16+I38*Parameters!$L$25+G38*Parameters!$L$30</f>
        <v>5049.935266158514</v>
      </c>
      <c r="O38" s="7">
        <f>B38*Parameters!$L$19</f>
        <v>4000</v>
      </c>
      <c r="P38" s="7">
        <f>M38-N38-O38</f>
        <v>1551.9177957227857</v>
      </c>
      <c r="Q38" s="7">
        <f>Parameters!$L$21</f>
        <v>1000</v>
      </c>
      <c r="R38" s="7">
        <f>P38-Q38</f>
        <v>551.9177957227857</v>
      </c>
      <c r="S38" s="7">
        <f>IF(A38&lt;1+Parameters!$L$31,0,INDEX($M$5:$M$40,A38-Parameters!$L$31))</f>
        <v>10513.012379756774</v>
      </c>
      <c r="T38" s="7">
        <f>T37+M38-S38</f>
        <v>10601.8530618813</v>
      </c>
      <c r="U38" s="7">
        <f>S38-N38-O38-Q38</f>
        <v>463.07711359825953</v>
      </c>
      <c r="V38" s="7">
        <f>V37+U38</f>
        <v>-49312.98832963725</v>
      </c>
      <c r="W38" s="7">
        <f>(1-Parameters!$L$7)*(C38-E38)+(1-Parameters!$L$8)*(D38+E38)</f>
        <v>941.0682657309927</v>
      </c>
      <c r="X38" s="7">
        <f>Parameters!$L$7*(C38-E38)+Parameters!$L$8*Parameters!$L$9*(D38+E38)</f>
        <v>7369.979453307407</v>
      </c>
      <c r="Y38" s="7">
        <f>Parameters!$L$8*(1-Parameters!$L$9)*(D38+E38)</f>
        <v>2321.4515363510054</v>
      </c>
      <c r="Z38" s="7">
        <f>POWER(1/(1+Parameters!$L$32),A38-1)*(M38-N38)</f>
        <v>3997.9530742151155</v>
      </c>
    </row>
    <row r="39" spans="1:26">
      <c r="A39" s="7">
        <v>35</v>
      </c>
      <c r="B39" s="7">
        <f>Parameters!$L$20</f>
        <v>1000</v>
      </c>
      <c r="C39" s="7">
        <f>X38+B39</f>
        <v>8369.979453307405</v>
      </c>
      <c r="D39" s="7">
        <f>Y38</f>
        <v>2321.4515363510054</v>
      </c>
      <c r="E39" s="7">
        <f>Parameters!$L$6*C39</f>
        <v>167.39958906614814</v>
      </c>
      <c r="F39" s="7">
        <f>IF(Parameters!$L$5=1,E39,0)</f>
        <v>0.0</v>
      </c>
      <c r="G39" s="7">
        <f>Parameters!$L$27*G38+F39</f>
        <v>0.0</v>
      </c>
      <c r="H39" s="7">
        <f>IF(AND(Parameters!$L$5=1,Parameters!$L$26=1),SUMPRODUCT(--($A$5:A39&lt;A39),--(MOD(A39-$A$5:A39,Parameters!$L$28)=0),$F$5:F39,POWER(Parameters!$L$27,IF(A39-$A$5:A39=0,1,A39-$A$5:A39))),0)</f>
        <v>0.0</v>
      </c>
      <c r="I39" s="7">
        <f>Parameters!$L$23*I38+B39*Parameters!$L$22</f>
        <v>2501.749848037176</v>
      </c>
      <c r="J39" s="7">
        <f>E39*Parameters!$L$14*(1-Parameters!$L$15)</f>
        <v>3180.5921922568145</v>
      </c>
      <c r="K39" s="7">
        <f>H39*Parameters!$L$29</f>
        <v>0.0</v>
      </c>
      <c r="L39" s="7">
        <f>I39*Parameters!$L$24</f>
        <v>7505.249544111528</v>
      </c>
      <c r="M39" s="7">
        <f>J39+K39+L39</f>
        <v>10685.841736368342</v>
      </c>
      <c r="N39" s="7">
        <f>C39*Parameters!$L$17+D39*Parameters!$L$18+E39*Parameters!$L$16+I39*Parameters!$L$25+G39*Parameters!$L$30</f>
        <v>5089.9941172524605</v>
      </c>
      <c r="O39" s="7">
        <f>B39*Parameters!$L$19</f>
        <v>4000</v>
      </c>
      <c r="P39" s="7">
        <f>M39-N39-O39</f>
        <v>1595.8476191158816</v>
      </c>
      <c r="Q39" s="7">
        <f>Parameters!$L$21</f>
        <v>1000</v>
      </c>
      <c r="R39" s="7">
        <f>P39-Q39</f>
        <v>595.8476191158816</v>
      </c>
      <c r="S39" s="7">
        <f>IF(A39&lt;1+Parameters!$L$31,0,INDEX($M$5:$M$40,A39-Parameters!$L$31))</f>
        <v>10601.8530618813</v>
      </c>
      <c r="T39" s="7">
        <f>T38+M39-S39</f>
        <v>10685.841736368342</v>
      </c>
      <c r="U39" s="7">
        <f>S39-N39-O39-Q39</f>
        <v>511.8589446288397</v>
      </c>
      <c r="V39" s="7">
        <f>V38+U39</f>
        <v>-48801.12938500841</v>
      </c>
      <c r="W39" s="7">
        <f>(1-Parameters!$L$7)*(C39-E39)+(1-Parameters!$L$8)*(D39+E39)</f>
        <v>944.7005426949834</v>
      </c>
      <c r="X39" s="7">
        <f>Parameters!$L$7*(C39-E39)+Parameters!$L$8*Parameters!$L$9*(D39+E39)</f>
        <v>7382.321877817132</v>
      </c>
      <c r="Y39" s="7">
        <f>Parameters!$L$8*(1-Parameters!$L$9)*(D39+E39)</f>
        <v>2364.4085691462956</v>
      </c>
      <c r="Z39" s="7">
        <f>POWER(1/(1+Parameters!$L$32),A39-1)*(M39-N39)</f>
        <v>3989.690173370162</v>
      </c>
    </row>
    <row r="40" spans="1:26">
      <c r="A40" s="7">
        <v>36</v>
      </c>
      <c r="B40" s="7">
        <f>Parameters!$L$20</f>
        <v>1000</v>
      </c>
      <c r="C40" s="7">
        <f>X39+B40</f>
        <v>8382.321877817132</v>
      </c>
      <c r="D40" s="7">
        <f>Y39</f>
        <v>2364.4085691462956</v>
      </c>
      <c r="E40" s="7">
        <f>Parameters!$L$6*C40</f>
        <v>167.64643755634265</v>
      </c>
      <c r="F40" s="7">
        <f>IF(Parameters!$L$5=1,E40,0)</f>
        <v>0.0</v>
      </c>
      <c r="G40" s="7">
        <f>Parameters!$L$27*G39+F40</f>
        <v>0.0</v>
      </c>
      <c r="H40" s="7">
        <f>IF(AND(Parameters!$L$5=1,Parameters!$L$26=1),SUMPRODUCT(--($A$5:A40&lt;A40),--(MOD(A40-$A$5:A40,Parameters!$L$28)=0),$F$5:F40,POWER(Parameters!$L$27,IF(A40-$A$5:A40=0,1,A40-$A$5:A40))),0)</f>
        <v>0.0</v>
      </c>
      <c r="I40" s="7">
        <f>Parameters!$L$23*I39+B40*Parameters!$L$22</f>
        <v>2526.662355635317</v>
      </c>
      <c r="J40" s="7">
        <f>E40*Parameters!$L$14*(1-Parameters!$L$15)</f>
        <v>3185.2823135705103</v>
      </c>
      <c r="K40" s="7">
        <f>H40*Parameters!$L$29</f>
        <v>0.0</v>
      </c>
      <c r="L40" s="7">
        <f>I40*Parameters!$L$24</f>
        <v>7579.987066905951</v>
      </c>
      <c r="M40" s="7">
        <f>J40+K40+L40</f>
        <v>10765.26938047646</v>
      </c>
      <c r="N40" s="7">
        <f>C40*Parameters!$L$17+D40*Parameters!$L$18+E40*Parameters!$L$16+I40*Parameters!$L$25+G40*Parameters!$L$30</f>
        <v>5127.878463292289</v>
      </c>
      <c r="O40" s="7">
        <f>B40*Parameters!$L$19</f>
        <v>4000</v>
      </c>
      <c r="P40" s="7">
        <f>M40-N40-O40</f>
        <v>1637.3909171841715</v>
      </c>
      <c r="Q40" s="7">
        <f>Parameters!$L$21</f>
        <v>1000</v>
      </c>
      <c r="R40" s="7">
        <f>P40-Q40</f>
        <v>637.3909171841715</v>
      </c>
      <c r="S40" s="7">
        <f>IF(A40&lt;1+Parameters!$L$31,0,INDEX($M$5:$M$40,A40-Parameters!$L$31))</f>
        <v>10685.841736368342</v>
      </c>
      <c r="T40" s="7">
        <f>T39+M40-S40</f>
        <v>10765.26938047646</v>
      </c>
      <c r="U40" s="7">
        <f>S40-N40-O40-Q40</f>
        <v>557.9632730760532</v>
      </c>
      <c r="V40" s="7">
        <f>V39+U40</f>
        <v>-48243.166111932354</v>
      </c>
      <c r="W40" s="7">
        <f>(1-Parameters!$L$7)*(C40-E40)+(1-Parameters!$L$8)*(D40+E40)</f>
        <v>948.0702943612108</v>
      </c>
      <c r="X40" s="7">
        <f>Parameters!$L$7*(C40-E40)+Parameters!$L$8*Parameters!$L$9*(D40+E40)</f>
        <v>7393.2078962347105</v>
      </c>
      <c r="Y40" s="7">
        <f>Parameters!$L$8*(1-Parameters!$L$9)*(D40+E40)</f>
        <v>2405.4522563675064</v>
      </c>
      <c r="Z40" s="7">
        <f>POWER(1/(1+Parameters!$L$32),A40-1)*(M40-N40)</f>
        <v>3979.5142944503345</v>
      </c>
    </row>
    <row r="43" spans="1:26">
      <c r="A43" s="1" t="s">
        <v>189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45" customHeight="1">
      <c r="A44" s="4" t="s">
        <v>164</v>
      </c>
      <c r="B44" s="4" t="s">
        <v>165</v>
      </c>
      <c r="C44" s="4" t="s">
        <v>166</v>
      </c>
      <c r="D44" s="4" t="s">
        <v>167</v>
      </c>
      <c r="E44" s="4" t="s">
        <v>168</v>
      </c>
      <c r="F44" s="4" t="s">
        <v>169</v>
      </c>
      <c r="G44" s="4" t="s">
        <v>170</v>
      </c>
      <c r="H44" s="4" t="s">
        <v>171</v>
      </c>
      <c r="I44" s="4" t="s">
        <v>172</v>
      </c>
      <c r="J44" s="4" t="s">
        <v>173</v>
      </c>
      <c r="K44" s="4" t="s">
        <v>174</v>
      </c>
      <c r="L44" s="4" t="s">
        <v>175</v>
      </c>
      <c r="M44" s="4" t="s">
        <v>176</v>
      </c>
      <c r="N44" s="4" t="s">
        <v>177</v>
      </c>
      <c r="O44" s="4" t="s">
        <v>99</v>
      </c>
      <c r="P44" s="4" t="s">
        <v>178</v>
      </c>
      <c r="Q44" s="4" t="s">
        <v>179</v>
      </c>
      <c r="R44" s="4" t="s">
        <v>180</v>
      </c>
      <c r="S44" s="4" t="s">
        <v>181</v>
      </c>
      <c r="T44" s="4" t="s">
        <v>182</v>
      </c>
      <c r="U44" s="4" t="s">
        <v>183</v>
      </c>
      <c r="V44" s="4" t="s">
        <v>184</v>
      </c>
      <c r="W44" s="4" t="s">
        <v>185</v>
      </c>
      <c r="X44" s="4" t="s">
        <v>186</v>
      </c>
      <c r="Y44" s="4" t="s">
        <v>187</v>
      </c>
      <c r="Z44" s="4" t="s">
        <v>188</v>
      </c>
    </row>
    <row r="45" spans="1:26">
      <c r="A45" s="7">
        <v>1</v>
      </c>
      <c r="B45" s="7">
        <f>1</f>
        <v>1</v>
      </c>
      <c r="C45" s="7">
        <f>B45</f>
        <v>1</v>
      </c>
      <c r="D45" s="7">
        <f>0</f>
        <v>0.0</v>
      </c>
      <c r="E45" s="7">
        <f>Parameters!$L$6*C45</f>
        <v>0.02</v>
      </c>
      <c r="F45" s="7">
        <f>IF(Parameters!$L$5=1,E45,0)</f>
        <v>0.0</v>
      </c>
      <c r="G45" s="7">
        <f>F45</f>
        <v>0.0</v>
      </c>
      <c r="H45" s="7">
        <f>IF(AND(Parameters!$L$5=1,Parameters!$L$26=1),SUMPRODUCT(--($A$45:A45&lt;A45),--(MOD(A45-$A$45:A45,Parameters!$L$28)=0),$F$45:F45,POWER(Parameters!$L$27,IF(A45-$A$45:A45=0,1,A45-$A$45:A45))),0)</f>
        <v>0.0</v>
      </c>
      <c r="I45" s="7">
        <f>B45*Parameters!$L$22</f>
        <v>0.15</v>
      </c>
      <c r="J45" s="7">
        <f>E45*Parameters!$L$14*(1-Parameters!$L$15)</f>
        <v>0.38</v>
      </c>
      <c r="K45" s="7">
        <f>H45*Parameters!$L$29</f>
        <v>0.0</v>
      </c>
      <c r="L45" s="7">
        <f>I45*Parameters!$L$24</f>
        <v>0.44999999999999996</v>
      </c>
      <c r="M45" s="7">
        <f>J45+K45+L45</f>
        <v>0.83</v>
      </c>
      <c r="N45" s="7">
        <f>C45*Parameters!$L$17+D45*Parameters!$L$18+E45*Parameters!$L$16+I45*Parameters!$L$25+G45*Parameters!$L$30</f>
        <v>0.395</v>
      </c>
      <c r="O45" s="7">
        <f>0</f>
        <v>0</v>
      </c>
      <c r="P45" s="7">
        <f>M45-N45-O45</f>
        <v>0.43499999999999994</v>
      </c>
      <c r="Q45" s="7">
        <f>0</f>
        <v>0</v>
      </c>
      <c r="R45" s="7">
        <f>P45-Q45</f>
        <v>0.43499999999999994</v>
      </c>
      <c r="S45" s="7">
        <f>IF(A45&lt;1+Parameters!$L$31,0,INDEX($M$45:$M$80,A45-Parameters!$L$31))</f>
        <v>0.0</v>
      </c>
      <c r="T45" s="7">
        <f>M45-S45</f>
        <v>0.83</v>
      </c>
      <c r="U45" s="7">
        <f>S45-N45-O45-Q45</f>
        <v>-0.395</v>
      </c>
      <c r="V45" s="7">
        <f>U45</f>
        <v>-0.395</v>
      </c>
      <c r="W45" s="7">
        <f>(1-Parameters!$L$7)*(C45-E45)+(1-Parameters!$L$8)*(D45+E45)</f>
        <v>0.09899999999999998</v>
      </c>
      <c r="X45" s="7">
        <f>Parameters!$L$7*(C45-E45)+Parameters!$L$8*Parameters!$L$9*(D45+E45)</f>
        <v>0.882</v>
      </c>
      <c r="Y45" s="7">
        <f>Parameters!$L$8*(1-Parameters!$L$9)*(D45+E45)</f>
        <v>0.019</v>
      </c>
      <c r="Z45" s="7">
        <f>POWER(1/(1+Parameters!$L$32),A45-1)*(M45-N45)</f>
        <v>0.43499999999999994</v>
      </c>
    </row>
    <row r="46" spans="1:26">
      <c r="A46" s="7">
        <v>2</v>
      </c>
      <c r="B46" s="7">
        <f>0</f>
        <v>0</v>
      </c>
      <c r="C46" s="7">
        <f>X45+B46</f>
        <v>0.882</v>
      </c>
      <c r="D46" s="7">
        <f>Y45</f>
        <v>0.019</v>
      </c>
      <c r="E46" s="7">
        <f>Parameters!$L$6*C46</f>
        <v>0.01764</v>
      </c>
      <c r="F46" s="7">
        <f>IF(Parameters!$L$5=1,E46,0)</f>
        <v>0.0</v>
      </c>
      <c r="G46" s="7">
        <f>Parameters!$L$27*G45+F46</f>
        <v>0.0</v>
      </c>
      <c r="H46" s="7">
        <f>IF(AND(Parameters!$L$5=1,Parameters!$L$26=1),SUMPRODUCT(--($A$45:A46&lt;A46),--(MOD(A46-$A$45:A46,Parameters!$L$28)=0),$F$45:F46,POWER(Parameters!$L$27,IF(A46-$A$45:A46=0,1,A46-$A$45:A46))),0)</f>
        <v>0.0</v>
      </c>
      <c r="I46" s="7">
        <f>Parameters!$L$23*I45+B46*Parameters!$L$22</f>
        <v>0.1425</v>
      </c>
      <c r="J46" s="7">
        <f>E46*Parameters!$L$14*(1-Parameters!$L$15)</f>
        <v>0.33516</v>
      </c>
      <c r="K46" s="7">
        <f>H46*Parameters!$L$29</f>
        <v>0.0</v>
      </c>
      <c r="L46" s="7">
        <f>I46*Parameters!$L$24</f>
        <v>0.4275</v>
      </c>
      <c r="M46" s="7">
        <f>J46+K46+L46</f>
        <v>0.76266</v>
      </c>
      <c r="N46" s="7">
        <f>C46*Parameters!$L$17+D46*Parameters!$L$18+E46*Parameters!$L$16+I46*Parameters!$L$25+G46*Parameters!$L$30</f>
        <v>0.36299</v>
      </c>
      <c r="O46" s="7">
        <f>0</f>
        <v>0</v>
      </c>
      <c r="P46" s="7">
        <f>M46-N46-O46</f>
        <v>0.39967</v>
      </c>
      <c r="Q46" s="7">
        <f>0</f>
        <v>0</v>
      </c>
      <c r="R46" s="7">
        <f>P46-Q46</f>
        <v>0.39967</v>
      </c>
      <c r="S46" s="7">
        <f>IF(A46&lt;1+Parameters!$L$31,0,INDEX($M$45:$M$80,A46-Parameters!$L$31))</f>
        <v>0.83</v>
      </c>
      <c r="T46" s="7">
        <f>T45+M46-S46</f>
        <v>0.76266</v>
      </c>
      <c r="U46" s="7">
        <f>S46-N46-O46-Q46</f>
        <v>0.46701</v>
      </c>
      <c r="V46" s="7">
        <f>V45+U46</f>
        <v>0.07200999999999996</v>
      </c>
      <c r="W46" s="7">
        <f>(1-Parameters!$L$7)*(C46-E46)+(1-Parameters!$L$8)*(D46+E46)</f>
        <v>0.08826799999999999</v>
      </c>
      <c r="X46" s="7">
        <f>Parameters!$L$7*(C46-E46)+Parameters!$L$8*Parameters!$L$9*(D46+E46)</f>
        <v>0.7779240000000001</v>
      </c>
      <c r="Y46" s="7">
        <f>Parameters!$L$8*(1-Parameters!$L$9)*(D46+E46)</f>
        <v>0.034808</v>
      </c>
      <c r="Z46" s="7">
        <f>POWER(1/(1+Parameters!$L$32),A46-1)*(M46-N46)</f>
        <v>0.39571287128712873</v>
      </c>
    </row>
    <row r="47" spans="1:26">
      <c r="A47" s="7">
        <v>3</v>
      </c>
      <c r="B47" s="7">
        <f>0</f>
        <v>0</v>
      </c>
      <c r="C47" s="7">
        <f>X46+B47</f>
        <v>0.7779240000000001</v>
      </c>
      <c r="D47" s="7">
        <f>Y46</f>
        <v>0.034808</v>
      </c>
      <c r="E47" s="7">
        <f>Parameters!$L$6*C47</f>
        <v>0.015558480000000001</v>
      </c>
      <c r="F47" s="7">
        <f>IF(Parameters!$L$5=1,E47,0)</f>
        <v>0.0</v>
      </c>
      <c r="G47" s="7">
        <f>Parameters!$L$27*G46+F47</f>
        <v>0.0</v>
      </c>
      <c r="H47" s="7">
        <f>IF(AND(Parameters!$L$5=1,Parameters!$L$26=1),SUMPRODUCT(--($A$45:A47&lt;A47),--(MOD(A47-$A$45:A47,Parameters!$L$28)=0),$F$45:F47,POWER(Parameters!$L$27,IF(A47-$A$45:A47=0,1,A47-$A$45:A47))),0)</f>
        <v>0.0</v>
      </c>
      <c r="I47" s="7">
        <f>Parameters!$L$23*I46+B47*Parameters!$L$22</f>
        <v>0.135375</v>
      </c>
      <c r="J47" s="7">
        <f>E47*Parameters!$L$14*(1-Parameters!$L$15)</f>
        <v>0.29561112</v>
      </c>
      <c r="K47" s="7">
        <f>H47*Parameters!$L$29</f>
        <v>0.0</v>
      </c>
      <c r="L47" s="7">
        <f>I47*Parameters!$L$24</f>
        <v>0.40612499999999996</v>
      </c>
      <c r="M47" s="7">
        <f>J47+K47+L47</f>
        <v>0.70173612</v>
      </c>
      <c r="N47" s="7">
        <f>C47*Parameters!$L$17+D47*Parameters!$L$18+E47*Parameters!$L$16+I47*Parameters!$L$25+G47*Parameters!$L$30</f>
        <v>0.33402718</v>
      </c>
      <c r="O47" s="7">
        <f>0</f>
        <v>0</v>
      </c>
      <c r="P47" s="7">
        <f>M47-N47-O47</f>
        <v>0.36770894</v>
      </c>
      <c r="Q47" s="7">
        <f>0</f>
        <v>0</v>
      </c>
      <c r="R47" s="7">
        <f>P47-Q47</f>
        <v>0.36770894</v>
      </c>
      <c r="S47" s="7">
        <f>IF(A47&lt;1+Parameters!$L$31,0,INDEX($M$45:$M$80,A47-Parameters!$L$31))</f>
        <v>0.76266</v>
      </c>
      <c r="T47" s="7">
        <f>T46+M47-S47</f>
        <v>0.70173612</v>
      </c>
      <c r="U47" s="7">
        <f>S47-N47-O47-Q47</f>
        <v>0.42863282</v>
      </c>
      <c r="V47" s="7">
        <f>V46+U47</f>
        <v>0.5006428199999999</v>
      </c>
      <c r="W47" s="7">
        <f>(1-Parameters!$L$7)*(C47-E47)+(1-Parameters!$L$8)*(D47+E47)</f>
        <v>0.07875487599999999</v>
      </c>
      <c r="X47" s="7">
        <f>Parameters!$L$7*(C47-E47)+Parameters!$L$8*Parameters!$L$9*(D47+E47)</f>
        <v>0.686128968</v>
      </c>
      <c r="Y47" s="7">
        <f>Parameters!$L$8*(1-Parameters!$L$9)*(D47+E47)</f>
        <v>0.047848155999999996</v>
      </c>
      <c r="Z47" s="7">
        <f>POWER(1/(1+Parameters!$L$32),A47-1)*(M47-N47)</f>
        <v>0.3604636212136065</v>
      </c>
    </row>
    <row r="48" spans="1:26">
      <c r="A48" s="7">
        <v>4</v>
      </c>
      <c r="B48" s="7">
        <f>0</f>
        <v>0</v>
      </c>
      <c r="C48" s="7">
        <f>X47+B48</f>
        <v>0.686128968</v>
      </c>
      <c r="D48" s="7">
        <f>Y47</f>
        <v>0.047848155999999996</v>
      </c>
      <c r="E48" s="7">
        <f>Parameters!$L$6*C48</f>
        <v>0.01372257936</v>
      </c>
      <c r="F48" s="7">
        <f>IF(Parameters!$L$5=1,E48,0)</f>
        <v>0.0</v>
      </c>
      <c r="G48" s="7">
        <f>Parameters!$L$27*G47+F48</f>
        <v>0.0</v>
      </c>
      <c r="H48" s="7">
        <f>IF(AND(Parameters!$L$5=1,Parameters!$L$26=1),SUMPRODUCT(--($A$45:A48&lt;A48),--(MOD(A48-$A$45:A48,Parameters!$L$28)=0),$F$45:F48,POWER(Parameters!$L$27,IF(A48-$A$45:A48=0,1,A48-$A$45:A48))),0)</f>
        <v>0.0</v>
      </c>
      <c r="I48" s="7">
        <f>Parameters!$L$23*I47+B48*Parameters!$L$22</f>
        <v>0.12860624999999998</v>
      </c>
      <c r="J48" s="7">
        <f>E48*Parameters!$L$14*(1-Parameters!$L$15)</f>
        <v>0.26072900784</v>
      </c>
      <c r="K48" s="7">
        <f>H48*Parameters!$L$29</f>
        <v>0.0</v>
      </c>
      <c r="L48" s="7">
        <f>I48*Parameters!$L$24</f>
        <v>0.38581874999999993</v>
      </c>
      <c r="M48" s="7">
        <f>J48+K48+L48</f>
        <v>0.64654775784</v>
      </c>
      <c r="N48" s="7">
        <f>C48*Parameters!$L$17+D48*Parameters!$L$18+E48*Parameters!$L$16+I48*Parameters!$L$25+G48*Parameters!$L$30</f>
        <v>0.30778847276</v>
      </c>
      <c r="O48" s="7">
        <f>0</f>
        <v>0</v>
      </c>
      <c r="P48" s="7">
        <f>M48-N48-O48</f>
        <v>0.33875928507999997</v>
      </c>
      <c r="Q48" s="7">
        <f>0</f>
        <v>0</v>
      </c>
      <c r="R48" s="7">
        <f>P48-Q48</f>
        <v>0.33875928507999997</v>
      </c>
      <c r="S48" s="7">
        <f>IF(A48&lt;1+Parameters!$L$31,0,INDEX($M$45:$M$80,A48-Parameters!$L$31))</f>
        <v>0.70173612</v>
      </c>
      <c r="T48" s="7">
        <f>T47+M48-S48</f>
        <v>0.64654775784</v>
      </c>
      <c r="U48" s="7">
        <f>S48-N48-O48-Q48</f>
        <v>0.39394764724</v>
      </c>
      <c r="V48" s="7">
        <f>V47+U48</f>
        <v>0.8945904672399999</v>
      </c>
      <c r="W48" s="7">
        <f>(1-Parameters!$L$7)*(C48-E48)+(1-Parameters!$L$8)*(D48+E48)</f>
        <v>0.07031917563199999</v>
      </c>
      <c r="X48" s="7">
        <f>Parameters!$L$7*(C48-E48)+Parameters!$L$8*Parameters!$L$9*(D48+E48)</f>
        <v>0.605165749776</v>
      </c>
      <c r="Y48" s="7">
        <f>Parameters!$L$8*(1-Parameters!$L$9)*(D48+E48)</f>
        <v>0.05849219859199999</v>
      </c>
      <c r="Z48" s="7">
        <f>POWER(1/(1+Parameters!$L$32),A48-1)*(M48-N48)</f>
        <v>0.32879642461766023</v>
      </c>
    </row>
    <row r="49" spans="1:26">
      <c r="A49" s="7">
        <v>5</v>
      </c>
      <c r="B49" s="7">
        <f>0</f>
        <v>0</v>
      </c>
      <c r="C49" s="7">
        <f>X48+B49</f>
        <v>0.605165749776</v>
      </c>
      <c r="D49" s="7">
        <f>Y48</f>
        <v>0.05849219859199999</v>
      </c>
      <c r="E49" s="7">
        <f>Parameters!$L$6*C49</f>
        <v>0.01210331499552</v>
      </c>
      <c r="F49" s="7">
        <f>IF(Parameters!$L$5=1,E49,0)</f>
        <v>0.0</v>
      </c>
      <c r="G49" s="7">
        <f>Parameters!$L$27*G48+F49</f>
        <v>0.0</v>
      </c>
      <c r="H49" s="7">
        <f>IF(AND(Parameters!$L$5=1,Parameters!$L$26=1),SUMPRODUCT(--($A$45:A49&lt;A49),--(MOD(A49-$A$45:A49,Parameters!$L$28)=0),$F$45:F49,POWER(Parameters!$L$27,IF(A49-$A$45:A49=0,1,A49-$A$45:A49))),0)</f>
        <v>0.0</v>
      </c>
      <c r="I49" s="7">
        <f>Parameters!$L$23*I48+B49*Parameters!$L$22</f>
        <v>0.12217593749999997</v>
      </c>
      <c r="J49" s="7">
        <f>E49*Parameters!$L$14*(1-Parameters!$L$15)</f>
        <v>0.22996298491488001</v>
      </c>
      <c r="K49" s="7">
        <f>H49*Parameters!$L$29</f>
        <v>0.0</v>
      </c>
      <c r="L49" s="7">
        <f>I49*Parameters!$L$24</f>
        <v>0.3665278124999999</v>
      </c>
      <c r="M49" s="7">
        <f>J49+K49+L49</f>
        <v>0.5964907974148799</v>
      </c>
      <c r="N49" s="7">
        <f>C49*Parameters!$L$17+D49*Parameters!$L$18+E49*Parameters!$L$16+I49*Parameters!$L$25+G49*Parameters!$L$30</f>
        <v>0.28398710797432</v>
      </c>
      <c r="O49" s="7">
        <f>0</f>
        <v>0</v>
      </c>
      <c r="P49" s="7">
        <f>M49-N49-O49</f>
        <v>0.3125036894405599</v>
      </c>
      <c r="Q49" s="7">
        <f>0</f>
        <v>0</v>
      </c>
      <c r="R49" s="7">
        <f>P49-Q49</f>
        <v>0.3125036894405599</v>
      </c>
      <c r="S49" s="7">
        <f>IF(A49&lt;1+Parameters!$L$31,0,INDEX($M$45:$M$80,A49-Parameters!$L$31))</f>
        <v>0.64654775784</v>
      </c>
      <c r="T49" s="7">
        <f>T48+M49-S49</f>
        <v>0.5964907974148799</v>
      </c>
      <c r="U49" s="7">
        <f>S49-N49-O49-Q49</f>
        <v>0.36256064986568</v>
      </c>
      <c r="V49" s="7">
        <f>V48+U49</f>
        <v>1.25715111710568</v>
      </c>
      <c r="W49" s="7">
        <f>(1-Parameters!$L$7)*(C49-E49)+(1-Parameters!$L$8)*(D49+E49)</f>
        <v>0.062836019157424</v>
      </c>
      <c r="X49" s="7">
        <f>Parameters!$L$7*(C49-E49)+Parameters!$L$8*Parameters!$L$9*(D49+E49)</f>
        <v>0.533756191302432</v>
      </c>
      <c r="Y49" s="7">
        <f>Parameters!$L$8*(1-Parameters!$L$9)*(D49+E49)</f>
        <v>0.06706573790814399</v>
      </c>
      <c r="Z49" s="7">
        <f>POWER(1/(1+Parameters!$L$32),A49-1)*(M49-N49)</f>
        <v>0.30030990313074024</v>
      </c>
    </row>
    <row r="50" spans="1:26">
      <c r="A50" s="7">
        <v>6</v>
      </c>
      <c r="B50" s="7">
        <f>0</f>
        <v>0</v>
      </c>
      <c r="C50" s="7">
        <f>X49+B50</f>
        <v>0.533756191302432</v>
      </c>
      <c r="D50" s="7">
        <f>Y49</f>
        <v>0.06706573790814399</v>
      </c>
      <c r="E50" s="7">
        <f>Parameters!$L$6*C50</f>
        <v>0.01067512382604864</v>
      </c>
      <c r="F50" s="7">
        <f>IF(Parameters!$L$5=1,E50,0)</f>
        <v>0.0</v>
      </c>
      <c r="G50" s="7">
        <f>Parameters!$L$27*G49+F50</f>
        <v>0.0</v>
      </c>
      <c r="H50" s="7">
        <f>IF(AND(Parameters!$L$5=1,Parameters!$L$26=1),SUMPRODUCT(--($A$45:A50&lt;A50),--(MOD(A50-$A$45:A50,Parameters!$L$28)=0),$F$45:F50,POWER(Parameters!$L$27,IF(A50-$A$45:A50=0,1,A50-$A$45:A50))),0)</f>
        <v>0.0</v>
      </c>
      <c r="I50" s="7">
        <f>Parameters!$L$23*I49+B50*Parameters!$L$22</f>
        <v>0.11606714062499997</v>
      </c>
      <c r="J50" s="7">
        <f>E50*Parameters!$L$14*(1-Parameters!$L$15)</f>
        <v>0.20282735269492416</v>
      </c>
      <c r="K50" s="7">
        <f>H50*Parameters!$L$29</f>
        <v>0.0</v>
      </c>
      <c r="L50" s="7">
        <f>I50*Parameters!$L$24</f>
        <v>0.3482014218749999</v>
      </c>
      <c r="M50" s="7">
        <f>J50+K50+L50</f>
        <v>0.551028774569924</v>
      </c>
      <c r="N50" s="7">
        <f>C50*Parameters!$L$17+D50*Parameters!$L$18+E50*Parameters!$L$16+I50*Parameters!$L$25+G50*Parameters!$L$30</f>
        <v>0.26236842048335024</v>
      </c>
      <c r="O50" s="7">
        <f>0</f>
        <v>0</v>
      </c>
      <c r="P50" s="7">
        <f>M50-N50-O50</f>
        <v>0.2886603540865738</v>
      </c>
      <c r="Q50" s="7">
        <f>0</f>
        <v>0</v>
      </c>
      <c r="R50" s="7">
        <f>P50-Q50</f>
        <v>0.2886603540865738</v>
      </c>
      <c r="S50" s="7">
        <f>IF(A50&lt;1+Parameters!$L$31,0,INDEX($M$45:$M$80,A50-Parameters!$L$31))</f>
        <v>0.5964907974148799</v>
      </c>
      <c r="T50" s="7">
        <f>T49+M50-S50</f>
        <v>0.551028774569924</v>
      </c>
      <c r="U50" s="7">
        <f>S50-N50-O50-Q50</f>
        <v>0.33412237693152963</v>
      </c>
      <c r="V50" s="7">
        <f>V49+U50</f>
        <v>1.5912734940372095</v>
      </c>
      <c r="W50" s="7">
        <f>(1-Parameters!$L$7)*(C50-E50)+(1-Parameters!$L$8)*(D50+E50)</f>
        <v>0.05619514983434796</v>
      </c>
      <c r="X50" s="7">
        <f>Parameters!$L$7*(C50-E50)+Parameters!$L$8*Parameters!$L$9*(D50+E50)</f>
        <v>0.4707729607287451</v>
      </c>
      <c r="Y50" s="7">
        <f>Parameters!$L$8*(1-Parameters!$L$9)*(D50+E50)</f>
        <v>0.073853818647483</v>
      </c>
      <c r="Z50" s="7">
        <f>POWER(1/(1+Parameters!$L$32),A50-1)*(M50-N50)</f>
        <v>0.2746504222857895</v>
      </c>
    </row>
    <row r="51" spans="1:26">
      <c r="A51" s="7">
        <v>7</v>
      </c>
      <c r="B51" s="7">
        <f>0</f>
        <v>0</v>
      </c>
      <c r="C51" s="7">
        <f>X50+B51</f>
        <v>0.470772960728745</v>
      </c>
      <c r="D51" s="7">
        <f>Y50</f>
        <v>0.073853818647483</v>
      </c>
      <c r="E51" s="7">
        <f>Parameters!$L$6*C51</f>
        <v>0.0094154592145749</v>
      </c>
      <c r="F51" s="7">
        <f>IF(Parameters!$L$5=1,E51,0)</f>
        <v>0.0</v>
      </c>
      <c r="G51" s="7">
        <f>Parameters!$L$27*G50+F51</f>
        <v>0.0</v>
      </c>
      <c r="H51" s="7">
        <f>IF(AND(Parameters!$L$5=1,Parameters!$L$26=1),SUMPRODUCT(--($A$45:A51&lt;A51),--(MOD(A51-$A$45:A51,Parameters!$L$28)=0),$F$45:F51,POWER(Parameters!$L$27,IF(A51-$A$45:A51=0,1,A51-$A$45:A51))),0)</f>
        <v>0.0</v>
      </c>
      <c r="I51" s="7">
        <f>Parameters!$L$23*I50+B51*Parameters!$L$22</f>
        <v>0.11026378359374997</v>
      </c>
      <c r="J51" s="7">
        <f>E51*Parameters!$L$14*(1-Parameters!$L$15)</f>
        <v>0.1788937250769231</v>
      </c>
      <c r="K51" s="7">
        <f>H51*Parameters!$L$29</f>
        <v>0.0</v>
      </c>
      <c r="L51" s="7">
        <f>I51*Parameters!$L$24</f>
        <v>0.3307913507812499</v>
      </c>
      <c r="M51" s="7">
        <f>J51+K51+L51</f>
        <v>0.509685075858173</v>
      </c>
      <c r="N51" s="7">
        <f>C51*Parameters!$L$17+D51*Parameters!$L$18+E51*Parameters!$L$16+I51*Parameters!$L$25+G51*Parameters!$L$30</f>
        <v>0.2427061485538149</v>
      </c>
      <c r="O51" s="7">
        <f>0</f>
        <v>0</v>
      </c>
      <c r="P51" s="7">
        <f>M51-N51-O51</f>
        <v>0.2669789273043581</v>
      </c>
      <c r="Q51" s="7">
        <f>0</f>
        <v>0</v>
      </c>
      <c r="R51" s="7">
        <f>P51-Q51</f>
        <v>0.2669789273043581</v>
      </c>
      <c r="S51" s="7">
        <f>IF(A51&lt;1+Parameters!$L$31,0,INDEX($M$45:$M$80,A51-Parameters!$L$31))</f>
        <v>0.551028774569924</v>
      </c>
      <c r="T51" s="7">
        <f>T50+M51-S51</f>
        <v>0.509685075858173</v>
      </c>
      <c r="U51" s="7">
        <f>S51-N51-O51-Q51</f>
        <v>0.30832262601610916</v>
      </c>
      <c r="V51" s="7">
        <f>V50+U51</f>
        <v>1.8995961200533187</v>
      </c>
      <c r="W51" s="7">
        <f>(1-Parameters!$L$7)*(C51-E51)+(1-Parameters!$L$8)*(D51+E51)</f>
        <v>0.050299214044519897</v>
      </c>
      <c r="X51" s="7">
        <f>Parameters!$L$7*(C51-E51)+Parameters!$L$8*Parameters!$L$9*(D51+E51)</f>
        <v>0.4152217513627531</v>
      </c>
      <c r="Y51" s="7">
        <f>Parameters!$L$8*(1-Parameters!$L$9)*(D51+E51)</f>
        <v>0.079105813968955</v>
      </c>
      <c r="Z51" s="7">
        <f>POWER(1/(1+Parameters!$L$32),A51-1)*(M51-N51)</f>
        <v>0.2515062263803498</v>
      </c>
    </row>
    <row r="52" spans="1:26">
      <c r="A52" s="7">
        <v>8</v>
      </c>
      <c r="B52" s="7">
        <f>0</f>
        <v>0</v>
      </c>
      <c r="C52" s="7">
        <f>X51+B52</f>
        <v>0.41522175136275313</v>
      </c>
      <c r="D52" s="7">
        <f>Y51</f>
        <v>0.07910581396895501</v>
      </c>
      <c r="E52" s="7">
        <f>Parameters!$L$6*C52</f>
        <v>0.008304435027255063</v>
      </c>
      <c r="F52" s="7">
        <f>IF(Parameters!$L$5=1,E52,0)</f>
        <v>0.0</v>
      </c>
      <c r="G52" s="7">
        <f>Parameters!$L$27*G51+F52</f>
        <v>0.0</v>
      </c>
      <c r="H52" s="7">
        <f>IF(AND(Parameters!$L$5=1,Parameters!$L$26=1),SUMPRODUCT(--($A$45:A52&lt;A52),--(MOD(A52-$A$45:A52,Parameters!$L$28)=0),$F$45:F52,POWER(Parameters!$L$27,IF(A52-$A$45:A52=0,1,A52-$A$45:A52))),0)</f>
        <v>0.0</v>
      </c>
      <c r="I52" s="7">
        <f>Parameters!$L$23*I51+B52*Parameters!$L$22</f>
        <v>0.10475059441406247</v>
      </c>
      <c r="J52" s="7">
        <f>E52*Parameters!$L$14*(1-Parameters!$L$15)</f>
        <v>0.15778426551784622</v>
      </c>
      <c r="K52" s="7">
        <f>H52*Parameters!$L$29</f>
        <v>0.0</v>
      </c>
      <c r="L52" s="7">
        <f>I52*Parameters!$L$24</f>
        <v>0.3142517832421874</v>
      </c>
      <c r="M52" s="7">
        <f>J52+K52+L52</f>
        <v>0.4720360487600336</v>
      </c>
      <c r="N52" s="7">
        <f>C52*Parameters!$L$17+D52*Parameters!$L$18+E52*Parameters!$L$16+I52*Parameters!$L$25+G52*Parameters!$L$30</f>
        <v>0.22479916462758973</v>
      </c>
      <c r="O52" s="7">
        <f>0</f>
        <v>0</v>
      </c>
      <c r="P52" s="7">
        <f>M52-N52-O52</f>
        <v>0.24723688413244385</v>
      </c>
      <c r="Q52" s="7">
        <f>0</f>
        <v>0</v>
      </c>
      <c r="R52" s="7">
        <f>P52-Q52</f>
        <v>0.24723688413244385</v>
      </c>
      <c r="S52" s="7">
        <f>IF(A52&lt;1+Parameters!$L$31,0,INDEX($M$45:$M$80,A52-Parameters!$L$31))</f>
        <v>0.509685075858173</v>
      </c>
      <c r="T52" s="7">
        <f>T51+M52-S52</f>
        <v>0.4720360487600336</v>
      </c>
      <c r="U52" s="7">
        <f>S52-N52-O52-Q52</f>
        <v>0.28488591123058327</v>
      </c>
      <c r="V52" s="7">
        <f>V51+U52</f>
        <v>2.1844820312839017</v>
      </c>
      <c r="W52" s="7">
        <f>(1-Parameters!$L$7)*(C52-E52)+(1-Parameters!$L$8)*(D52+E52)</f>
        <v>0.045062244083360306</v>
      </c>
      <c r="X52" s="7">
        <f>Parameters!$L$7*(C52-E52)+Parameters!$L$8*Parameters!$L$9*(D52+E52)</f>
        <v>0.36622558470194827</v>
      </c>
      <c r="Y52" s="7">
        <f>Parameters!$L$8*(1-Parameters!$L$9)*(D52+E52)</f>
        <v>0.08303973654639957</v>
      </c>
      <c r="Z52" s="7">
        <f>POWER(1/(1+Parameters!$L$32),A52-1)*(M52-N52)</f>
        <v>0.23060230561986644</v>
      </c>
    </row>
    <row r="53" spans="1:26">
      <c r="A53" s="7">
        <v>9</v>
      </c>
      <c r="B53" s="7">
        <f>0</f>
        <v>0</v>
      </c>
      <c r="C53" s="7">
        <f>X52+B53</f>
        <v>0.36622558470194827</v>
      </c>
      <c r="D53" s="7">
        <f>Y52</f>
        <v>0.08303973654639957</v>
      </c>
      <c r="E53" s="7">
        <f>Parameters!$L$6*C53</f>
        <v>0.007324511694038966</v>
      </c>
      <c r="F53" s="7">
        <f>IF(Parameters!$L$5=1,E53,0)</f>
        <v>0.0</v>
      </c>
      <c r="G53" s="7">
        <f>Parameters!$L$27*G52+F53</f>
        <v>0.0</v>
      </c>
      <c r="H53" s="7">
        <f>IF(AND(Parameters!$L$5=1,Parameters!$L$26=1),SUMPRODUCT(--($A$45:A53&lt;A53),--(MOD(A53-$A$45:A53,Parameters!$L$28)=0),$F$45:F53,POWER(Parameters!$L$27,IF(A53-$A$45:A53=0,1,A53-$A$45:A53))),0)</f>
        <v>0.0</v>
      </c>
      <c r="I53" s="7">
        <f>Parameters!$L$23*I52+B53*Parameters!$L$22</f>
        <v>0.09951306469335934</v>
      </c>
      <c r="J53" s="7">
        <f>E53*Parameters!$L$14*(1-Parameters!$L$15)</f>
        <v>0.13916572218674034</v>
      </c>
      <c r="K53" s="7">
        <f>H53*Parameters!$L$29</f>
        <v>0.0</v>
      </c>
      <c r="L53" s="7">
        <f>I53*Parameters!$L$24</f>
        <v>0.298539194080078</v>
      </c>
      <c r="M53" s="7">
        <f>J53+K53+L53</f>
        <v>0.43770491626681834</v>
      </c>
      <c r="N53" s="7">
        <f>C53*Parameters!$L$17+D53*Parameters!$L$18+E53*Parameters!$L$16+I53*Parameters!$L$25+G53*Parameters!$L$30</f>
        <v>0.2084685877245029</v>
      </c>
      <c r="O53" s="7">
        <f>0</f>
        <v>0</v>
      </c>
      <c r="P53" s="7">
        <f>M53-N53-O53</f>
        <v>0.22923632854231543</v>
      </c>
      <c r="Q53" s="7">
        <f>0</f>
        <v>0</v>
      </c>
      <c r="R53" s="7">
        <f>P53-Q53</f>
        <v>0.22923632854231543</v>
      </c>
      <c r="S53" s="7">
        <f>IF(A53&lt;1+Parameters!$L$31,0,INDEX($M$45:$M$80,A53-Parameters!$L$31))</f>
        <v>0.4720360487600336</v>
      </c>
      <c r="T53" s="7">
        <f>T52+M53-S53</f>
        <v>0.43770491626681834</v>
      </c>
      <c r="U53" s="7">
        <f>S53-N53-O53-Q53</f>
        <v>0.26356746103553064</v>
      </c>
      <c r="V53" s="7">
        <f>V52+U53</f>
        <v>2.4480494923194325</v>
      </c>
      <c r="W53" s="7">
        <f>(1-Parameters!$L$7)*(C53-E53)+(1-Parameters!$L$8)*(D53+E53)</f>
        <v>0.040408319712812855</v>
      </c>
      <c r="X53" s="7">
        <f>Parameters!$L$7*(C53-E53)+Parameters!$L$8*Parameters!$L$9*(D53+E53)</f>
        <v>0.3230109657071184</v>
      </c>
      <c r="Y53" s="7">
        <f>Parameters!$L$8*(1-Parameters!$L$9)*(D53+E53)</f>
        <v>0.08584603582841661</v>
      </c>
      <c r="Z53" s="7">
        <f>POWER(1/(1+Parameters!$L$32),A53-1)*(M53-N53)</f>
        <v>0.21169590339227148</v>
      </c>
    </row>
    <row r="54" spans="1:26">
      <c r="A54" s="7">
        <v>10</v>
      </c>
      <c r="B54" s="7">
        <f>0</f>
        <v>0</v>
      </c>
      <c r="C54" s="7">
        <f>X53+B54</f>
        <v>0.3230109657071184</v>
      </c>
      <c r="D54" s="7">
        <f>Y53</f>
        <v>0.0858460358284166</v>
      </c>
      <c r="E54" s="7">
        <f>Parameters!$L$6*C54</f>
        <v>0.006460219314142368</v>
      </c>
      <c r="F54" s="7">
        <f>IF(Parameters!$L$5=1,E54,0)</f>
        <v>0.0</v>
      </c>
      <c r="G54" s="7">
        <f>Parameters!$L$27*G53+F54</f>
        <v>0.0</v>
      </c>
      <c r="H54" s="7">
        <f>IF(AND(Parameters!$L$5=1,Parameters!$L$26=1),SUMPRODUCT(--($A$45:A54&lt;A54),--(MOD(A54-$A$45:A54,Parameters!$L$28)=0),$F$45:F54,POWER(Parameters!$L$27,IF(A54-$A$45:A54=0,1,A54-$A$45:A54))),0)</f>
        <v>0.0</v>
      </c>
      <c r="I54" s="7">
        <f>Parameters!$L$23*I53+B54*Parameters!$L$22</f>
        <v>0.09453741145869136</v>
      </c>
      <c r="J54" s="7">
        <f>E54*Parameters!$L$14*(1-Parameters!$L$15)</f>
        <v>0.12274416696870499</v>
      </c>
      <c r="K54" s="7">
        <f>H54*Parameters!$L$29</f>
        <v>0.0</v>
      </c>
      <c r="L54" s="7">
        <f>I54*Parameters!$L$24</f>
        <v>0.2836122343760741</v>
      </c>
      <c r="M54" s="7">
        <f>J54+K54+L54</f>
        <v>0.4063564013447791</v>
      </c>
      <c r="N54" s="7">
        <f>C54*Parameters!$L$17+D54*Parameters!$L$18+E54*Parameters!$L$16+I54*Parameters!$L$25+G54*Parameters!$L$30</f>
        <v>0.19355523266983188</v>
      </c>
      <c r="O54" s="7">
        <f>0</f>
        <v>0</v>
      </c>
      <c r="P54" s="7">
        <f>M54-N54-O54</f>
        <v>0.2128011686749472</v>
      </c>
      <c r="Q54" s="7">
        <f>0</f>
        <v>0</v>
      </c>
      <c r="R54" s="7">
        <f>P54-Q54</f>
        <v>0.2128011686749472</v>
      </c>
      <c r="S54" s="7">
        <f>IF(A54&lt;1+Parameters!$L$31,0,INDEX($M$45:$M$80,A54-Parameters!$L$31))</f>
        <v>0.43770491626681834</v>
      </c>
      <c r="T54" s="7">
        <f>T53+M54-S54</f>
        <v>0.4063564013447791</v>
      </c>
      <c r="U54" s="7">
        <f>S54-N54-O54-Q54</f>
        <v>0.24414968359698647</v>
      </c>
      <c r="V54" s="7">
        <f>V53+U54</f>
        <v>2.6921991759164188</v>
      </c>
      <c r="W54" s="7">
        <f>(1-Parameters!$L$7)*(C54-E54)+(1-Parameters!$L$8)*(D54+E54)</f>
        <v>0.03627038739642555</v>
      </c>
      <c r="X54" s="7">
        <f>Parameters!$L$7*(C54-E54)+Parameters!$L$8*Parameters!$L$9*(D54+E54)</f>
        <v>0.2848956717536784</v>
      </c>
      <c r="Y54" s="7">
        <f>Parameters!$L$8*(1-Parameters!$L$9)*(D54+E54)</f>
        <v>0.08769094238543101</v>
      </c>
      <c r="Z54" s="7">
        <f>POWER(1/(1+Parameters!$L$32),A54-1)*(M54-N54)</f>
        <v>0.1945725831642993</v>
      </c>
    </row>
    <row r="55" spans="1:26">
      <c r="A55" s="7">
        <v>11</v>
      </c>
      <c r="B55" s="7">
        <f>0</f>
        <v>0</v>
      </c>
      <c r="C55" s="7">
        <f>X54+B55</f>
        <v>0.2848956717536784</v>
      </c>
      <c r="D55" s="7">
        <f>Y54</f>
        <v>0.08769094238543101</v>
      </c>
      <c r="E55" s="7">
        <f>Parameters!$L$6*C55</f>
        <v>0.005697913435073568</v>
      </c>
      <c r="F55" s="7">
        <f>IF(Parameters!$L$5=1,E55,0)</f>
        <v>0.0</v>
      </c>
      <c r="G55" s="7">
        <f>Parameters!$L$27*G54+F55</f>
        <v>0.0</v>
      </c>
      <c r="H55" s="7">
        <f>IF(AND(Parameters!$L$5=1,Parameters!$L$26=1),SUMPRODUCT(--($A$45:A55&lt;A55),--(MOD(A55-$A$45:A55,Parameters!$L$28)=0),$F$45:F55,POWER(Parameters!$L$27,IF(A55-$A$45:A55=0,1,A55-$A$45:A55))),0)</f>
        <v>0.0</v>
      </c>
      <c r="I55" s="7">
        <f>Parameters!$L$23*I54+B55*Parameters!$L$22</f>
        <v>0.0898105408857568</v>
      </c>
      <c r="J55" s="7">
        <f>E55*Parameters!$L$14*(1-Parameters!$L$15)</f>
        <v>0.10826035526639778</v>
      </c>
      <c r="K55" s="7">
        <f>H55*Parameters!$L$29</f>
        <v>0.0</v>
      </c>
      <c r="L55" s="7">
        <f>I55*Parameters!$L$24</f>
        <v>0.2694316226572704</v>
      </c>
      <c r="M55" s="7">
        <f>J55+K55+L55</f>
        <v>0.37769197792366815</v>
      </c>
      <c r="N55" s="7">
        <f>C55*Parameters!$L$17+D55*Parameters!$L$18+E55*Parameters!$L$16+I55*Parameters!$L$25+G55*Parameters!$L$30</f>
        <v>0.17991735659677097</v>
      </c>
      <c r="O55" s="7">
        <f>0</f>
        <v>0</v>
      </c>
      <c r="P55" s="7">
        <f>M55-N55-O55</f>
        <v>0.1977746213268972</v>
      </c>
      <c r="Q55" s="7">
        <f>0</f>
        <v>0</v>
      </c>
      <c r="R55" s="7">
        <f>P55-Q55</f>
        <v>0.1977746213268972</v>
      </c>
      <c r="S55" s="7">
        <f>IF(A55&lt;1+Parameters!$L$31,0,INDEX($M$45:$M$80,A55-Parameters!$L$31))</f>
        <v>0.4063564013447791</v>
      </c>
      <c r="T55" s="7">
        <f>T54+M55-S55</f>
        <v>0.37769197792366815</v>
      </c>
      <c r="U55" s="7">
        <f>S55-N55-O55-Q55</f>
        <v>0.2264390447480081</v>
      </c>
      <c r="V55" s="7">
        <f>V54+U55</f>
        <v>2.918638220664427</v>
      </c>
      <c r="W55" s="7">
        <f>(1-Parameters!$L$7)*(C55-E55)+(1-Parameters!$L$8)*(D55+E55)</f>
        <v>0.03258921862288571</v>
      </c>
      <c r="X55" s="7">
        <f>Parameters!$L$7*(C55-E55)+Parameters!$L$8*Parameters!$L$9*(D55+E55)</f>
        <v>0.2512779824867444</v>
      </c>
      <c r="Y55" s="7">
        <f>Parameters!$L$8*(1-Parameters!$L$9)*(D55+E55)</f>
        <v>0.08871941302947936</v>
      </c>
      <c r="Z55" s="7">
        <f>POWER(1/(1+Parameters!$L$32),A55-1)*(M55-N55)</f>
        <v>0.17904278465658469</v>
      </c>
    </row>
    <row r="56" spans="1:26">
      <c r="A56" s="7">
        <v>12</v>
      </c>
      <c r="B56" s="7">
        <f>0</f>
        <v>0</v>
      </c>
      <c r="C56" s="7">
        <f>X55+B56</f>
        <v>0.2512779824867444</v>
      </c>
      <c r="D56" s="7">
        <f>Y55</f>
        <v>0.08871941302947935</v>
      </c>
      <c r="E56" s="7">
        <f>Parameters!$L$6*C56</f>
        <v>0.005025559649734888</v>
      </c>
      <c r="F56" s="7">
        <f>IF(Parameters!$L$5=1,E56,0)</f>
        <v>0.0</v>
      </c>
      <c r="G56" s="7">
        <f>Parameters!$L$27*G55+F56</f>
        <v>0.0</v>
      </c>
      <c r="H56" s="7">
        <f>IF(AND(Parameters!$L$5=1,Parameters!$L$26=1),SUMPRODUCT(--($A$45:A56&lt;A56),--(MOD(A56-$A$45:A56,Parameters!$L$28)=0),$F$45:F56,POWER(Parameters!$L$27,IF(A56-$A$45:A56=0,1,A56-$A$45:A56))),0)</f>
        <v>0.0</v>
      </c>
      <c r="I56" s="7">
        <f>Parameters!$L$23*I55+B56*Parameters!$L$22</f>
        <v>0.08532001384146895</v>
      </c>
      <c r="J56" s="7">
        <f>E56*Parameters!$L$14*(1-Parameters!$L$15)</f>
        <v>0.09548563334496288</v>
      </c>
      <c r="K56" s="7">
        <f>H56*Parameters!$L$29</f>
        <v>0.0</v>
      </c>
      <c r="L56" s="7">
        <f>I56*Parameters!$L$24</f>
        <v>0.2559600415244069</v>
      </c>
      <c r="M56" s="7">
        <f>J56+K56+L56</f>
        <v>0.35144567486936973</v>
      </c>
      <c r="N56" s="7">
        <f>C56*Parameters!$L$17+D56*Parameters!$L$18+E56*Parameters!$L$16+I56*Parameters!$L$25+G56*Parameters!$L$30</f>
        <v>0.16742866783123234</v>
      </c>
      <c r="O56" s="7">
        <f>0</f>
        <v>0</v>
      </c>
      <c r="P56" s="7">
        <f>M56-N56-O56</f>
        <v>0.1840170070381374</v>
      </c>
      <c r="Q56" s="7">
        <f>0</f>
        <v>0</v>
      </c>
      <c r="R56" s="7">
        <f>P56-Q56</f>
        <v>0.1840170070381374</v>
      </c>
      <c r="S56" s="7">
        <f>IF(A56&lt;1+Parameters!$L$31,0,INDEX($M$45:$M$80,A56-Parameters!$L$31))</f>
        <v>0.37769197792366815</v>
      </c>
      <c r="T56" s="7">
        <f>T55+M56-S56</f>
        <v>0.35144567486936973</v>
      </c>
      <c r="U56" s="7">
        <f>S56-N56-O56-Q56</f>
        <v>0.21026331009243582</v>
      </c>
      <c r="V56" s="7">
        <f>V55+U56</f>
        <v>3.1289015307568624</v>
      </c>
      <c r="W56" s="7">
        <f>(1-Parameters!$L$7)*(C56-E56)+(1-Parameters!$L$8)*(D56+E56)</f>
        <v>0.02931249091766166</v>
      </c>
      <c r="X56" s="7">
        <f>Parameters!$L$7*(C56-E56)+Parameters!$L$8*Parameters!$L$9*(D56+E56)</f>
        <v>0.22162718055330854</v>
      </c>
      <c r="Y56" s="7">
        <f>Parameters!$L$8*(1-Parameters!$L$9)*(D56+E56)</f>
        <v>0.08905772404525351</v>
      </c>
      <c r="Z56" s="7">
        <f>POWER(1/(1+Parameters!$L$32),A56-1)*(M56-N56)</f>
        <v>0.16493880783492343</v>
      </c>
    </row>
    <row r="57" spans="1:26">
      <c r="A57" s="7">
        <v>13</v>
      </c>
      <c r="B57" s="7">
        <f>0</f>
        <v>0</v>
      </c>
      <c r="C57" s="7">
        <f>X56+B57</f>
        <v>0.22162718055330854</v>
      </c>
      <c r="D57" s="7">
        <f>Y56</f>
        <v>0.08905772404525351</v>
      </c>
      <c r="E57" s="7">
        <f>Parameters!$L$6*C57</f>
        <v>0.004432543611066171</v>
      </c>
      <c r="F57" s="7">
        <f>IF(Parameters!$L$5=1,E57,0)</f>
        <v>0.0</v>
      </c>
      <c r="G57" s="7">
        <f>Parameters!$L$27*G56+F57</f>
        <v>0.0</v>
      </c>
      <c r="H57" s="7">
        <f>IF(AND(Parameters!$L$5=1,Parameters!$L$26=1),SUMPRODUCT(--($A$45:A57&lt;A57),--(MOD(A57-$A$45:A57,Parameters!$L$28)=0),$F$45:F57,POWER(Parameters!$L$27,IF(A57-$A$45:A57=0,1,A57-$A$45:A57))),0)</f>
        <v>0.0</v>
      </c>
      <c r="I57" s="7">
        <f>Parameters!$L$23*I56+B57*Parameters!$L$22</f>
        <v>0.0810540131493955</v>
      </c>
      <c r="J57" s="7">
        <f>E57*Parameters!$L$14*(1-Parameters!$L$15)</f>
        <v>0.08421832861025724</v>
      </c>
      <c r="K57" s="7">
        <f>H57*Parameters!$L$29</f>
        <v>0.0</v>
      </c>
      <c r="L57" s="7">
        <f>I57*Parameters!$L$24</f>
        <v>0.2431620394481865</v>
      </c>
      <c r="M57" s="7">
        <f>J57+K57+L57</f>
        <v>0.3273803680584437</v>
      </c>
      <c r="N57" s="7">
        <f>C57*Parameters!$L$17+D57*Parameters!$L$18+E57*Parameters!$L$16+I57*Parameters!$L$25+G57*Parameters!$L$30</f>
        <v>0.15597656637438323</v>
      </c>
      <c r="O57" s="7">
        <f>0</f>
        <v>0</v>
      </c>
      <c r="P57" s="7">
        <f>M57-N57-O57</f>
        <v>0.1714038016840605</v>
      </c>
      <c r="Q57" s="7">
        <f>0</f>
        <v>0</v>
      </c>
      <c r="R57" s="7">
        <f>P57-Q57</f>
        <v>0.1714038016840605</v>
      </c>
      <c r="S57" s="7">
        <f>IF(A57&lt;1+Parameters!$L$31,0,INDEX($M$45:$M$80,A57-Parameters!$L$31))</f>
        <v>0.35144567486936973</v>
      </c>
      <c r="T57" s="7">
        <f>T56+M57-S57</f>
        <v>0.3273803680584437</v>
      </c>
      <c r="U57" s="7">
        <f>S57-N57-O57-Q57</f>
        <v>0.1954691084949865</v>
      </c>
      <c r="V57" s="7">
        <f>V56+U57</f>
        <v>3.324370639251849</v>
      </c>
      <c r="W57" s="7">
        <f>(1-Parameters!$L$7)*(C57-E57)+(1-Parameters!$L$8)*(D57+E57)</f>
        <v>0.02639397707704022</v>
      </c>
      <c r="X57" s="7">
        <f>Parameters!$L$7*(C57-E57)+Parameters!$L$8*Parameters!$L$9*(D57+E57)</f>
        <v>0.19547517324801814</v>
      </c>
      <c r="Y57" s="7">
        <f>Parameters!$L$8*(1-Parameters!$L$9)*(D57+E57)</f>
        <v>0.08881575427350369</v>
      </c>
      <c r="Z57" s="7">
        <f>POWER(1/(1+Parameters!$L$32),A57-1)*(M57-N57)</f>
        <v>0.1521121710120215</v>
      </c>
    </row>
    <row r="58" spans="1:26">
      <c r="A58" s="7">
        <v>14</v>
      </c>
      <c r="B58" s="7">
        <f>0</f>
        <v>0</v>
      </c>
      <c r="C58" s="7">
        <f>X57+B58</f>
        <v>0.19547517324801814</v>
      </c>
      <c r="D58" s="7">
        <f>Y57</f>
        <v>0.08881575427350369</v>
      </c>
      <c r="E58" s="7">
        <f>Parameters!$L$6*C58</f>
        <v>0.003909503464960363</v>
      </c>
      <c r="F58" s="7">
        <f>IF(Parameters!$L$5=1,E58,0)</f>
        <v>0.0</v>
      </c>
      <c r="G58" s="7">
        <f>Parameters!$L$27*G57+F58</f>
        <v>0.0</v>
      </c>
      <c r="H58" s="7">
        <f>IF(AND(Parameters!$L$5=1,Parameters!$L$26=1),SUMPRODUCT(--($A$45:A58&lt;A58),--(MOD(A58-$A$45:A58,Parameters!$L$28)=0),$F$45:F58,POWER(Parameters!$L$27,IF(A58-$A$45:A58=0,1,A58-$A$45:A58))),0)</f>
        <v>0.0</v>
      </c>
      <c r="I58" s="7">
        <f>Parameters!$L$23*I57+B58*Parameters!$L$22</f>
        <v>0.07700131249192572</v>
      </c>
      <c r="J58" s="7">
        <f>E58*Parameters!$L$14*(1-Parameters!$L$15)</f>
        <v>0.07428056583424689</v>
      </c>
      <c r="K58" s="7">
        <f>H58*Parameters!$L$29</f>
        <v>0.0</v>
      </c>
      <c r="L58" s="7">
        <f>I58*Parameters!$L$24</f>
        <v>0.2310039374757772</v>
      </c>
      <c r="M58" s="7">
        <f>J58+K58+L58</f>
        <v>0.3052845033100241</v>
      </c>
      <c r="N58" s="7">
        <f>C58*Parameters!$L$17+D58*Parameters!$L$18+E58*Parameters!$L$16+I58*Parameters!$L$25+G58*Parameters!$L$30</f>
        <v>0.1454605888220805</v>
      </c>
      <c r="O58" s="7">
        <f>0</f>
        <v>0</v>
      </c>
      <c r="P58" s="7">
        <f>M58-N58-O58</f>
        <v>0.1598239144879436</v>
      </c>
      <c r="Q58" s="7">
        <f>0</f>
        <v>0</v>
      </c>
      <c r="R58" s="7">
        <f>P58-Q58</f>
        <v>0.1598239144879436</v>
      </c>
      <c r="S58" s="7">
        <f>IF(A58&lt;1+Parameters!$L$31,0,INDEX($M$45:$M$80,A58-Parameters!$L$31))</f>
        <v>0.3273803680584437</v>
      </c>
      <c r="T58" s="7">
        <f>T57+M58-S58</f>
        <v>0.3052845033100241</v>
      </c>
      <c r="U58" s="7">
        <f>S58-N58-O58-Q58</f>
        <v>0.18191977923636324</v>
      </c>
      <c r="V58" s="7">
        <f>V57+U58</f>
        <v>3.506290418488212</v>
      </c>
      <c r="W58" s="7">
        <f>(1-Parameters!$L$7)*(C58-E58)+(1-Parameters!$L$8)*(D58+E58)</f>
        <v>0.02379282986522898</v>
      </c>
      <c r="X58" s="7">
        <f>Parameters!$L$7*(C58-E58)+Parameters!$L$8*Parameters!$L$9*(D58+E58)</f>
        <v>0.172409102804752</v>
      </c>
      <c r="Y58" s="7">
        <f>Parameters!$L$8*(1-Parameters!$L$9)*(D58+E58)</f>
        <v>0.08808899485154084</v>
      </c>
      <c r="Z58" s="7">
        <f>POWER(1/(1+Parameters!$L$32),A58-1)*(M58-N58)</f>
        <v>0.140431296129871</v>
      </c>
    </row>
    <row r="59" spans="1:26">
      <c r="A59" s="7">
        <v>15</v>
      </c>
      <c r="B59" s="7">
        <f>0</f>
        <v>0</v>
      </c>
      <c r="C59" s="7">
        <f>X58+B59</f>
        <v>0.172409102804752</v>
      </c>
      <c r="D59" s="7">
        <f>Y58</f>
        <v>0.08808899485154084</v>
      </c>
      <c r="E59" s="7">
        <f>Parameters!$L$6*C59</f>
        <v>0.00344818205609504</v>
      </c>
      <c r="F59" s="7">
        <f>IF(Parameters!$L$5=1,E59,0)</f>
        <v>0.0</v>
      </c>
      <c r="G59" s="7">
        <f>Parameters!$L$27*G58+F59</f>
        <v>0.0</v>
      </c>
      <c r="H59" s="7">
        <f>IF(AND(Parameters!$L$5=1,Parameters!$L$26=1),SUMPRODUCT(--($A$45:A59&lt;A59),--(MOD(A59-$A$45:A59,Parameters!$L$28)=0),$F$45:F59,POWER(Parameters!$L$27,IF(A59-$A$45:A59=0,1,A59-$A$45:A59))),0)</f>
        <v>0.0</v>
      </c>
      <c r="I59" s="7">
        <f>Parameters!$L$23*I58+B59*Parameters!$L$22</f>
        <v>0.07315124686732943</v>
      </c>
      <c r="J59" s="7">
        <f>E59*Parameters!$L$14*(1-Parameters!$L$15)</f>
        <v>0.06551545906580576</v>
      </c>
      <c r="K59" s="7">
        <f>H59*Parameters!$L$29</f>
        <v>0.0</v>
      </c>
      <c r="L59" s="7">
        <f>I59*Parameters!$L$24</f>
        <v>0.2194537406019883</v>
      </c>
      <c r="M59" s="7">
        <f>J59+K59+L59</f>
        <v>0.28496919966779405</v>
      </c>
      <c r="N59" s="7">
        <f>C59*Parameters!$L$17+D59*Parameters!$L$18+E59*Parameters!$L$16+I59*Parameters!$L$25+G59*Parameters!$L$30</f>
        <v>0.13579103375695578</v>
      </c>
      <c r="O59" s="7">
        <f>0</f>
        <v>0</v>
      </c>
      <c r="P59" s="7">
        <f>M59-N59-O59</f>
        <v>0.14917816591083827</v>
      </c>
      <c r="Q59" s="7">
        <f>0</f>
        <v>0</v>
      </c>
      <c r="R59" s="7">
        <f>P59-Q59</f>
        <v>0.14917816591083827</v>
      </c>
      <c r="S59" s="7">
        <f>IF(A59&lt;1+Parameters!$L$31,0,INDEX($M$45:$M$80,A59-Parameters!$L$31))</f>
        <v>0.3052845033100241</v>
      </c>
      <c r="T59" s="7">
        <f>T58+M59-S59</f>
        <v>0.28496919966779405</v>
      </c>
      <c r="U59" s="7">
        <f>S59-N59-O59-Q59</f>
        <v>0.16949346955306832</v>
      </c>
      <c r="V59" s="7">
        <f>V58+U59</f>
        <v>3.6757838880412805</v>
      </c>
      <c r="W59" s="7">
        <f>(1-Parameters!$L$7)*(C59-E59)+(1-Parameters!$L$8)*(D59+E59)</f>
        <v>0.02147295092024749</v>
      </c>
      <c r="X59" s="7">
        <f>Parameters!$L$7*(C59-E59)+Parameters!$L$8*Parameters!$L$9*(D59+E59)</f>
        <v>0.15206482867379126</v>
      </c>
      <c r="Y59" s="7">
        <f>Parameters!$L$8*(1-Parameters!$L$9)*(D59+E59)</f>
        <v>0.08696031806225409</v>
      </c>
      <c r="Z59" s="7">
        <f>POWER(1/(1+Parameters!$L$32),A59-1)*(M59-N59)</f>
        <v>0.12977948021179292</v>
      </c>
    </row>
    <row r="60" spans="1:26">
      <c r="A60" s="7">
        <v>16</v>
      </c>
      <c r="B60" s="7">
        <f>0</f>
        <v>0</v>
      </c>
      <c r="C60" s="7">
        <f>X59+B60</f>
        <v>0.15206482867379126</v>
      </c>
      <c r="D60" s="7">
        <f>Y59</f>
        <v>0.08696031806225409</v>
      </c>
      <c r="E60" s="7">
        <f>Parameters!$L$6*C60</f>
        <v>0.003041296573475825</v>
      </c>
      <c r="F60" s="7">
        <f>IF(Parameters!$L$5=1,E60,0)</f>
        <v>0.0</v>
      </c>
      <c r="G60" s="7">
        <f>Parameters!$L$27*G59+F60</f>
        <v>0.0</v>
      </c>
      <c r="H60" s="7">
        <f>IF(AND(Parameters!$L$5=1,Parameters!$L$26=1),SUMPRODUCT(--($A$45:A60&lt;A60),--(MOD(A60-$A$45:A60,Parameters!$L$28)=0),$F$45:F60,POWER(Parameters!$L$27,IF(A60-$A$45:A60=0,1,A60-$A$45:A60))),0)</f>
        <v>0.0</v>
      </c>
      <c r="I60" s="7">
        <f>Parameters!$L$23*I59+B60*Parameters!$L$22</f>
        <v>0.06949368452396296</v>
      </c>
      <c r="J60" s="7">
        <f>E60*Parameters!$L$14*(1-Parameters!$L$15)</f>
        <v>0.057784634896040674</v>
      </c>
      <c r="K60" s="7">
        <f>H60*Parameters!$L$29</f>
        <v>0.0</v>
      </c>
      <c r="L60" s="7">
        <f>I60*Parameters!$L$24</f>
        <v>0.20848105357188887</v>
      </c>
      <c r="M60" s="7">
        <f>J60+K60+L60</f>
        <v>0.26626568846792953</v>
      </c>
      <c r="N60" s="7">
        <f>C60*Parameters!$L$17+D60*Parameters!$L$18+E60*Parameters!$L$16+I60*Parameters!$L$25+G60*Parameters!$L$30</f>
        <v>0.1268877464687217</v>
      </c>
      <c r="O60" s="7">
        <f>0</f>
        <v>0</v>
      </c>
      <c r="P60" s="7">
        <f>M60-N60-O60</f>
        <v>0.13937794199920783</v>
      </c>
      <c r="Q60" s="7">
        <f>0</f>
        <v>0</v>
      </c>
      <c r="R60" s="7">
        <f>P60-Q60</f>
        <v>0.13937794199920783</v>
      </c>
      <c r="S60" s="7">
        <f>IF(A60&lt;1+Parameters!$L$31,0,INDEX($M$45:$M$80,A60-Parameters!$L$31))</f>
        <v>0.28496919966779405</v>
      </c>
      <c r="T60" s="7">
        <f>T59+M60-S60</f>
        <v>0.26626568846792953</v>
      </c>
      <c r="U60" s="7">
        <f>S60-N60-O60-Q60</f>
        <v>0.15808145319907235</v>
      </c>
      <c r="V60" s="7">
        <f>V59+U60</f>
        <v>3.8338653412403527</v>
      </c>
      <c r="W60" s="7">
        <f>(1-Parameters!$L$7)*(C60-E60)+(1-Parameters!$L$8)*(D60+E60)</f>
        <v>0.01940243394181804</v>
      </c>
      <c r="X60" s="7">
        <f>Parameters!$L$7*(C60-E60)+Parameters!$L$8*Parameters!$L$9*(D60+E60)</f>
        <v>0.1341211788902839</v>
      </c>
      <c r="Y60" s="7">
        <f>Parameters!$L$8*(1-Parameters!$L$9)*(D60+E60)</f>
        <v>0.08550153390394341</v>
      </c>
      <c r="Z60" s="7">
        <f>POWER(1/(1+Parameters!$L$32),A60-1)*(M60-N60)</f>
        <v>0.12005311714367792</v>
      </c>
    </row>
    <row r="61" spans="1:26">
      <c r="A61" s="7">
        <v>17</v>
      </c>
      <c r="B61" s="7">
        <f>0</f>
        <v>0</v>
      </c>
      <c r="C61" s="7">
        <f>X60+B61</f>
        <v>0.13412117889028388</v>
      </c>
      <c r="D61" s="7">
        <f>Y60</f>
        <v>0.08550153390394341</v>
      </c>
      <c r="E61" s="7">
        <f>Parameters!$L$6*C61</f>
        <v>0.0026824235778056776</v>
      </c>
      <c r="F61" s="7">
        <f>IF(Parameters!$L$5=1,E61,0)</f>
        <v>0.0</v>
      </c>
      <c r="G61" s="7">
        <f>Parameters!$L$27*G60+F61</f>
        <v>0.0</v>
      </c>
      <c r="H61" s="7">
        <f>IF(AND(Parameters!$L$5=1,Parameters!$L$26=1),SUMPRODUCT(--($A$45:A61&lt;A61),--(MOD(A61-$A$45:A61,Parameters!$L$28)=0),$F$45:F61,POWER(Parameters!$L$27,IF(A61-$A$45:A61=0,1,A61-$A$45:A61))),0)</f>
        <v>0.0</v>
      </c>
      <c r="I61" s="7">
        <f>Parameters!$L$23*I60+B61*Parameters!$L$22</f>
        <v>0.06601900029776481</v>
      </c>
      <c r="J61" s="7">
        <f>E61*Parameters!$L$14*(1-Parameters!$L$15)</f>
        <v>0.05096604797830787</v>
      </c>
      <c r="K61" s="7">
        <f>H61*Parameters!$L$29</f>
        <v>0.0</v>
      </c>
      <c r="L61" s="7">
        <f>I61*Parameters!$L$24</f>
        <v>0.19805700089329442</v>
      </c>
      <c r="M61" s="7">
        <f>J61+K61+L61</f>
        <v>0.2490230488716023</v>
      </c>
      <c r="N61" s="7">
        <f>C61*Parameters!$L$17+D61*Parameters!$L$18+E61*Parameters!$L$16+I61*Parameters!$L$25+G61*Parameters!$L$30</f>
        <v>0.11867904434574494</v>
      </c>
      <c r="O61" s="7">
        <f>0</f>
        <v>0</v>
      </c>
      <c r="P61" s="7">
        <f>M61-N61-O61</f>
        <v>0.13034400452585734</v>
      </c>
      <c r="Q61" s="7">
        <f>0</f>
        <v>0</v>
      </c>
      <c r="R61" s="7">
        <f>P61-Q61</f>
        <v>0.13034400452585734</v>
      </c>
      <c r="S61" s="7">
        <f>IF(A61&lt;1+Parameters!$L$31,0,INDEX($M$45:$M$80,A61-Parameters!$L$31))</f>
        <v>0.26626568846792953</v>
      </c>
      <c r="T61" s="7">
        <f>T60+M61-S61</f>
        <v>0.2490230488716023</v>
      </c>
      <c r="U61" s="7">
        <f>S61-N61-O61-Q61</f>
        <v>0.14758664412218458</v>
      </c>
      <c r="V61" s="7">
        <f>V60+U61</f>
        <v>3.981451985362537</v>
      </c>
      <c r="W61" s="7">
        <f>(1-Parameters!$L$7)*(C61-E61)+(1-Parameters!$L$8)*(D61+E61)</f>
        <v>0.017553073405335275</v>
      </c>
      <c r="X61" s="7">
        <f>Parameters!$L$7*(C61-E61)+Parameters!$L$8*Parameters!$L$9*(D61+E61)</f>
        <v>0.11829487978123038</v>
      </c>
      <c r="Y61" s="7">
        <f>Parameters!$L$8*(1-Parameters!$L$9)*(D61+E61)</f>
        <v>0.08377475960766163</v>
      </c>
      <c r="Z61" s="7">
        <f>POWER(1/(1+Parameters!$L$32),A61-1)*(M61-N61)</f>
        <v>0.11116013846076739</v>
      </c>
    </row>
    <row r="62" spans="1:26">
      <c r="A62" s="7">
        <v>18</v>
      </c>
      <c r="B62" s="7">
        <f>0</f>
        <v>0</v>
      </c>
      <c r="C62" s="7">
        <f>X61+B62</f>
        <v>0.11829487978123039</v>
      </c>
      <c r="D62" s="7">
        <f>Y61</f>
        <v>0.08377475960766162</v>
      </c>
      <c r="E62" s="7">
        <f>Parameters!$L$6*C62</f>
        <v>0.002365897595624608</v>
      </c>
      <c r="F62" s="7">
        <f>IF(Parameters!$L$5=1,E62,0)</f>
        <v>0.0</v>
      </c>
      <c r="G62" s="7">
        <f>Parameters!$L$27*G61+F62</f>
        <v>0.0</v>
      </c>
      <c r="H62" s="7">
        <f>IF(AND(Parameters!$L$5=1,Parameters!$L$26=1),SUMPRODUCT(--($A$45:A62&lt;A62),--(MOD(A62-$A$45:A62,Parameters!$L$28)=0),$F$45:F62,POWER(Parameters!$L$27,IF(A62-$A$45:A62=0,1,A62-$A$45:A62))),0)</f>
        <v>0.0</v>
      </c>
      <c r="I62" s="7">
        <f>Parameters!$L$23*I61+B62*Parameters!$L$22</f>
        <v>0.06271805028287657</v>
      </c>
      <c r="J62" s="7">
        <f>E62*Parameters!$L$14*(1-Parameters!$L$15)</f>
        <v>0.044952054316867544</v>
      </c>
      <c r="K62" s="7">
        <f>H62*Parameters!$L$29</f>
        <v>0.0</v>
      </c>
      <c r="L62" s="7">
        <f>I62*Parameters!$L$24</f>
        <v>0.1881541508486297</v>
      </c>
      <c r="M62" s="7">
        <f>J62+K62+L62</f>
        <v>0.23310620516549724</v>
      </c>
      <c r="N62" s="7">
        <f>C62*Parameters!$L$17+D62*Parameters!$L$18+E62*Parameters!$L$16+I62*Parameters!$L$25+G62*Parameters!$L$30</f>
        <v>0.11110076647526282</v>
      </c>
      <c r="O62" s="7">
        <f>0</f>
        <v>0</v>
      </c>
      <c r="P62" s="7">
        <f>M62-N62-O62</f>
        <v>0.12200543869023442</v>
      </c>
      <c r="Q62" s="7">
        <f>0</f>
        <v>0</v>
      </c>
      <c r="R62" s="7">
        <f>P62-Q62</f>
        <v>0.12200543869023442</v>
      </c>
      <c r="S62" s="7">
        <f>IF(A62&lt;1+Parameters!$L$31,0,INDEX($M$45:$M$80,A62-Parameters!$L$31))</f>
        <v>0.2490230488716023</v>
      </c>
      <c r="T62" s="7">
        <f>T61+M62-S62</f>
        <v>0.23310620516549724</v>
      </c>
      <c r="U62" s="7">
        <f>S62-N62-O62-Q62</f>
        <v>0.13792228239633947</v>
      </c>
      <c r="V62" s="7">
        <f>V61+U62</f>
        <v>4.119374267758877</v>
      </c>
      <c r="W62" s="7">
        <f>(1-Parameters!$L$7)*(C62-E62)+(1-Parameters!$L$8)*(D62+E62)</f>
        <v>0.01589993107872489</v>
      </c>
      <c r="X62" s="7">
        <f>Parameters!$L$7*(C62-E62)+Parameters!$L$8*Parameters!$L$9*(D62+E62)</f>
        <v>0.1043360839670452</v>
      </c>
      <c r="Y62" s="7">
        <f>Parameters!$L$8*(1-Parameters!$L$9)*(D62+E62)</f>
        <v>0.08183362434312191</v>
      </c>
      <c r="Z62" s="7">
        <f>POWER(1/(1+Parameters!$L$32),A62-1)*(M62-N62)</f>
        <v>0.1030186457622188</v>
      </c>
    </row>
    <row r="63" spans="1:26">
      <c r="A63" s="7">
        <v>19</v>
      </c>
      <c r="B63" s="7">
        <f>0</f>
        <v>0</v>
      </c>
      <c r="C63" s="7">
        <f>X62+B63</f>
        <v>0.1043360839670452</v>
      </c>
      <c r="D63" s="7">
        <f>Y62</f>
        <v>0.08183362434312191</v>
      </c>
      <c r="E63" s="7">
        <f>Parameters!$L$6*C63</f>
        <v>0.002086721679340904</v>
      </c>
      <c r="F63" s="7">
        <f>IF(Parameters!$L$5=1,E63,0)</f>
        <v>0.0</v>
      </c>
      <c r="G63" s="7">
        <f>Parameters!$L$27*G62+F63</f>
        <v>0.0</v>
      </c>
      <c r="H63" s="7">
        <f>IF(AND(Parameters!$L$5=1,Parameters!$L$26=1),SUMPRODUCT(--($A$45:A63&lt;A63),--(MOD(A63-$A$45:A63,Parameters!$L$28)=0),$F$45:F63,POWER(Parameters!$L$27,IF(A63-$A$45:A63=0,1,A63-$A$45:A63))),0)</f>
        <v>0.0</v>
      </c>
      <c r="I63" s="7">
        <f>Parameters!$L$23*I62+B63*Parameters!$L$22</f>
        <v>0.05958214776873273</v>
      </c>
      <c r="J63" s="7">
        <f>E63*Parameters!$L$14*(1-Parameters!$L$15)</f>
        <v>0.03964771190747718</v>
      </c>
      <c r="K63" s="7">
        <f>H63*Parameters!$L$29</f>
        <v>0.0</v>
      </c>
      <c r="L63" s="7">
        <f>I63*Parameters!$L$24</f>
        <v>0.1787464433061982</v>
      </c>
      <c r="M63" s="7">
        <f>J63+K63+L63</f>
        <v>0.2183941552136754</v>
      </c>
      <c r="N63" s="7">
        <f>C63*Parameters!$L$17+D63*Parameters!$L$18+E63*Parameters!$L$16+I63*Parameters!$L$25+G63*Parameters!$L$30</f>
        <v>0.10409543292538179</v>
      </c>
      <c r="O63" s="7">
        <f>0</f>
        <v>0</v>
      </c>
      <c r="P63" s="7">
        <f>M63-N63-O63</f>
        <v>0.1142987222882936</v>
      </c>
      <c r="Q63" s="7">
        <f>0</f>
        <v>0</v>
      </c>
      <c r="R63" s="7">
        <f>P63-Q63</f>
        <v>0.1142987222882936</v>
      </c>
      <c r="S63" s="7">
        <f>IF(A63&lt;1+Parameters!$L$31,0,INDEX($M$45:$M$80,A63-Parameters!$L$31))</f>
        <v>0.23310620516549724</v>
      </c>
      <c r="T63" s="7">
        <f>T62+M63-S63</f>
        <v>0.2183941552136754</v>
      </c>
      <c r="U63" s="7">
        <f>S63-N63-O63-Q63</f>
        <v>0.12901077224011545</v>
      </c>
      <c r="V63" s="7">
        <f>V62+U63</f>
        <v>4.248385039998992</v>
      </c>
      <c r="W63" s="7">
        <f>(1-Parameters!$L$7)*(C63-E63)+(1-Parameters!$L$8)*(D63+E63)</f>
        <v>0.014420953529893574</v>
      </c>
      <c r="X63" s="7">
        <f>Parameters!$L$7*(C63-E63)+Parameters!$L$8*Parameters!$L$9*(D63+E63)</f>
        <v>0.09202442605893388</v>
      </c>
      <c r="Y63" s="7">
        <f>Parameters!$L$8*(1-Parameters!$L$9)*(D63+E63)</f>
        <v>0.07972432872133967</v>
      </c>
      <c r="Z63" s="7">
        <f>POWER(1/(1+Parameters!$L$32),A63-1)*(M63-N63)</f>
        <v>0.09555571082293078</v>
      </c>
    </row>
    <row r="64" spans="1:26">
      <c r="A64" s="7">
        <v>20</v>
      </c>
      <c r="B64" s="7">
        <f>0</f>
        <v>0</v>
      </c>
      <c r="C64" s="7">
        <f>X63+B64</f>
        <v>0.09202442605893386</v>
      </c>
      <c r="D64" s="7">
        <f>Y63</f>
        <v>0.07972432872133968</v>
      </c>
      <c r="E64" s="7">
        <f>Parameters!$L$6*C64</f>
        <v>0.0018404885211786774</v>
      </c>
      <c r="F64" s="7">
        <f>IF(Parameters!$L$5=1,E64,0)</f>
        <v>0.0</v>
      </c>
      <c r="G64" s="7">
        <f>Parameters!$L$27*G63+F64</f>
        <v>0.0</v>
      </c>
      <c r="H64" s="7">
        <f>IF(AND(Parameters!$L$5=1,Parameters!$L$26=1),SUMPRODUCT(--($A$45:A64&lt;A64),--(MOD(A64-$A$45:A64,Parameters!$L$28)=0),$F$45:F64,POWER(Parameters!$L$27,IF(A64-$A$45:A64=0,1,A64-$A$45:A64))),0)</f>
        <v>0.0</v>
      </c>
      <c r="I64" s="7">
        <f>Parameters!$L$23*I63+B64*Parameters!$L$22</f>
        <v>0.056603040380296094</v>
      </c>
      <c r="J64" s="7">
        <f>E64*Parameters!$L$14*(1-Parameters!$L$15)</f>
        <v>0.03496928190239487</v>
      </c>
      <c r="K64" s="7">
        <f>H64*Parameters!$L$29</f>
        <v>0.0</v>
      </c>
      <c r="L64" s="7">
        <f>I64*Parameters!$L$24</f>
        <v>0.16980912114088828</v>
      </c>
      <c r="M64" s="7">
        <f>J64+K64+L64</f>
        <v>0.20477840304328315</v>
      </c>
      <c r="N64" s="7">
        <f>C64*Parameters!$L$17+D64*Parameters!$L$18+E64*Parameters!$L$16+I64*Parameters!$L$25+G64*Parameters!$L$30</f>
        <v>0.09761150088967671</v>
      </c>
      <c r="O64" s="7">
        <f>0</f>
        <v>0</v>
      </c>
      <c r="P64" s="7">
        <f>M64-N64-O64</f>
        <v>0.10716690215360644</v>
      </c>
      <c r="Q64" s="7">
        <f>0</f>
        <v>0</v>
      </c>
      <c r="R64" s="7">
        <f>P64-Q64</f>
        <v>0.10716690215360644</v>
      </c>
      <c r="S64" s="7">
        <f>IF(A64&lt;1+Parameters!$L$31,0,INDEX($M$45:$M$80,A64-Parameters!$L$31))</f>
        <v>0.2183941552136754</v>
      </c>
      <c r="T64" s="7">
        <f>T63+M64-S64</f>
        <v>0.20477840304328315</v>
      </c>
      <c r="U64" s="7">
        <f>S64-N64-O64-Q64</f>
        <v>0.12078265432399868</v>
      </c>
      <c r="V64" s="7">
        <f>V63+U64</f>
        <v>4.369167694322991</v>
      </c>
      <c r="W64" s="7">
        <f>(1-Parameters!$L$7)*(C64-E64)+(1-Parameters!$L$8)*(D64+E64)</f>
        <v>0.013096634615901439</v>
      </c>
      <c r="X64" s="7">
        <f>Parameters!$L$7*(C64-E64)+Parameters!$L$8*Parameters!$L$9*(D64+E64)</f>
        <v>0.08116554378397968</v>
      </c>
      <c r="Y64" s="7">
        <f>Parameters!$L$8*(1-Parameters!$L$9)*(D64+E64)</f>
        <v>0.07748657638039243</v>
      </c>
      <c r="Z64" s="7">
        <f>POWER(1/(1+Parameters!$L$32),A64-1)*(M64-N64)</f>
        <v>0.08870632248379781</v>
      </c>
    </row>
    <row r="65" spans="1:26">
      <c r="A65" s="7">
        <v>21</v>
      </c>
      <c r="B65" s="7">
        <f>0</f>
        <v>0</v>
      </c>
      <c r="C65" s="7">
        <f>X64+B65</f>
        <v>0.08116554378397967</v>
      </c>
      <c r="D65" s="7">
        <f>Y64</f>
        <v>0.07748657638039243</v>
      </c>
      <c r="E65" s="7">
        <f>Parameters!$L$6*C65</f>
        <v>0.0016233108756795933</v>
      </c>
      <c r="F65" s="7">
        <f>IF(Parameters!$L$5=1,E65,0)</f>
        <v>0.0</v>
      </c>
      <c r="G65" s="7">
        <f>Parameters!$L$27*G64+F65</f>
        <v>0.0</v>
      </c>
      <c r="H65" s="7">
        <f>IF(AND(Parameters!$L$5=1,Parameters!$L$26=1),SUMPRODUCT(--($A$45:A65&lt;A65),--(MOD(A65-$A$45:A65,Parameters!$L$28)=0),$F$45:F65,POWER(Parameters!$L$27,IF(A65-$A$45:A65=0,1,A65-$A$45:A65))),0)</f>
        <v>0.0</v>
      </c>
      <c r="I65" s="7">
        <f>Parameters!$L$23*I64+B65*Parameters!$L$22</f>
        <v>0.05377288836128129</v>
      </c>
      <c r="J65" s="7">
        <f>E65*Parameters!$L$14*(1-Parameters!$L$15)</f>
        <v>0.030842906637912275</v>
      </c>
      <c r="K65" s="7">
        <f>H65*Parameters!$L$29</f>
        <v>0.0</v>
      </c>
      <c r="L65" s="7">
        <f>I65*Parameters!$L$24</f>
        <v>0.16131866508384385</v>
      </c>
      <c r="M65" s="7">
        <f>J65+K65+L65</f>
        <v>0.19216157172175613</v>
      </c>
      <c r="N65" s="7">
        <f>C65*Parameters!$L$17+D65*Parameters!$L$18+E65*Parameters!$L$16+I65*Parameters!$L$25+G65*Parameters!$L$30</f>
        <v>0.09160270638171034</v>
      </c>
      <c r="O65" s="7">
        <f>0</f>
        <v>0</v>
      </c>
      <c r="P65" s="7">
        <f>M65-N65-O65</f>
        <v>0.1005588653400458</v>
      </c>
      <c r="Q65" s="7">
        <f>0</f>
        <v>0</v>
      </c>
      <c r="R65" s="7">
        <f>P65-Q65</f>
        <v>0.1005588653400458</v>
      </c>
      <c r="S65" s="7">
        <f>IF(A65&lt;1+Parameters!$L$31,0,INDEX($M$45:$M$80,A65-Parameters!$L$31))</f>
        <v>0.20477840304328315</v>
      </c>
      <c r="T65" s="7">
        <f>T64+M65-S65</f>
        <v>0.19216157172175613</v>
      </c>
      <c r="U65" s="7">
        <f>S65-N65-O65-Q65</f>
        <v>0.11317569666157282</v>
      </c>
      <c r="V65" s="7">
        <f>V64+U65</f>
        <v>4.482343390984564</v>
      </c>
      <c r="W65" s="7">
        <f>(1-Parameters!$L$7)*(C65-E65)+(1-Parameters!$L$8)*(D65+E65)</f>
        <v>0.01190971765363361</v>
      </c>
      <c r="X65" s="7">
        <f>Parameters!$L$7*(C65-E65)+Parameters!$L$8*Parameters!$L$9*(D65+E65)</f>
        <v>0.07158800961747007</v>
      </c>
      <c r="Y65" s="7">
        <f>Parameters!$L$8*(1-Parameters!$L$9)*(D65+E65)</f>
        <v>0.0751543928932684</v>
      </c>
      <c r="Z65" s="7">
        <f>POWER(1/(1+Parameters!$L$32),A65-1)*(M65-N65)</f>
        <v>0.08241246203282725</v>
      </c>
    </row>
    <row r="66" spans="1:26">
      <c r="A66" s="7">
        <v>22</v>
      </c>
      <c r="B66" s="7">
        <f>0</f>
        <v>0</v>
      </c>
      <c r="C66" s="7">
        <f>X65+B66</f>
        <v>0.07158800961747007</v>
      </c>
      <c r="D66" s="7">
        <f>Y65</f>
        <v>0.07515439289326842</v>
      </c>
      <c r="E66" s="7">
        <f>Parameters!$L$6*C66</f>
        <v>0.0014317601923494014</v>
      </c>
      <c r="F66" s="7">
        <f>IF(Parameters!$L$5=1,E66,0)</f>
        <v>0.0</v>
      </c>
      <c r="G66" s="7">
        <f>Parameters!$L$27*G65+F66</f>
        <v>0.0</v>
      </c>
      <c r="H66" s="7">
        <f>IF(AND(Parameters!$L$5=1,Parameters!$L$26=1),SUMPRODUCT(--($A$45:A66&lt;A66),--(MOD(A66-$A$45:A66,Parameters!$L$28)=0),$F$45:F66,POWER(Parameters!$L$27,IF(A66-$A$45:A66=0,1,A66-$A$45:A66))),0)</f>
        <v>0.0</v>
      </c>
      <c r="I66" s="7">
        <f>Parameters!$L$23*I65+B66*Parameters!$L$22</f>
        <v>0.05108424394321722</v>
      </c>
      <c r="J66" s="7">
        <f>E66*Parameters!$L$14*(1-Parameters!$L$15)</f>
        <v>0.027203443654638625</v>
      </c>
      <c r="K66" s="7">
        <f>H66*Parameters!$L$29</f>
        <v>0.0</v>
      </c>
      <c r="L66" s="7">
        <f>I66*Parameters!$L$24</f>
        <v>0.15325273182965166</v>
      </c>
      <c r="M66" s="7">
        <f>J66+K66+L66</f>
        <v>0.18045617548429027</v>
      </c>
      <c r="N66" s="7">
        <f>C66*Parameters!$L$17+D66*Parameters!$L$18+E66*Parameters!$L$16+I66*Parameters!$L$25+G66*Parameters!$L$30</f>
        <v>0.08602748149583325</v>
      </c>
      <c r="O66" s="7">
        <f>0</f>
        <v>0</v>
      </c>
      <c r="P66" s="7">
        <f>M66-N66-O66</f>
        <v>0.09442869398845702</v>
      </c>
      <c r="Q66" s="7">
        <f>0</f>
        <v>0</v>
      </c>
      <c r="R66" s="7">
        <f>P66-Q66</f>
        <v>0.09442869398845702</v>
      </c>
      <c r="S66" s="7">
        <f>IF(A66&lt;1+Parameters!$L$31,0,INDEX($M$45:$M$80,A66-Parameters!$L$31))</f>
        <v>0.19216157172175613</v>
      </c>
      <c r="T66" s="7">
        <f>T65+M66-S66</f>
        <v>0.18045617548429027</v>
      </c>
      <c r="U66" s="7">
        <f>S66-N66-O66-Q66</f>
        <v>0.10613409022592288</v>
      </c>
      <c r="V66" s="7">
        <f>V65+U66</f>
        <v>4.588477481210487</v>
      </c>
      <c r="W66" s="7">
        <f>(1-Parameters!$L$7)*(C66-E66)+(1-Parameters!$L$8)*(D66+E66)</f>
        <v>0.010844932596792959</v>
      </c>
      <c r="X66" s="7">
        <f>Parameters!$L$7*(C66-E66)+Parameters!$L$8*Parameters!$L$9*(D66+E66)</f>
        <v>0.0631406244826086</v>
      </c>
      <c r="Y66" s="7">
        <f>Parameters!$L$8*(1-Parameters!$L$9)*(D66+E66)</f>
        <v>0.07275684543133693</v>
      </c>
      <c r="Z66" s="7">
        <f>POWER(1/(1+Parameters!$L$32),A66-1)*(M66-N66)</f>
        <v>0.07662229108852729</v>
      </c>
    </row>
    <row r="67" spans="1:26">
      <c r="A67" s="7">
        <v>23</v>
      </c>
      <c r="B67" s="7">
        <f>0</f>
        <v>0</v>
      </c>
      <c r="C67" s="7">
        <f>X66+B67</f>
        <v>0.0631406244826086</v>
      </c>
      <c r="D67" s="7">
        <f>Y66</f>
        <v>0.07275684543133693</v>
      </c>
      <c r="E67" s="7">
        <f>Parameters!$L$6*C67</f>
        <v>0.001262812489652172</v>
      </c>
      <c r="F67" s="7">
        <f>IF(Parameters!$L$5=1,E67,0)</f>
        <v>0.0</v>
      </c>
      <c r="G67" s="7">
        <f>Parameters!$L$27*G66+F67</f>
        <v>0.0</v>
      </c>
      <c r="H67" s="7">
        <f>IF(AND(Parameters!$L$5=1,Parameters!$L$26=1),SUMPRODUCT(--($A$45:A67&lt;A67),--(MOD(A67-$A$45:A67,Parameters!$L$28)=0),$F$45:F67,POWER(Parameters!$L$27,IF(A67-$A$45:A67=0,1,A67-$A$45:A67))),0)</f>
        <v>0.0</v>
      </c>
      <c r="I67" s="7">
        <f>Parameters!$L$23*I66+B67*Parameters!$L$22</f>
        <v>0.04853003174605636</v>
      </c>
      <c r="J67" s="7">
        <f>E67*Parameters!$L$14*(1-Parameters!$L$15)</f>
        <v>0.023993437303391266</v>
      </c>
      <c r="K67" s="7">
        <f>H67*Parameters!$L$29</f>
        <v>0.0</v>
      </c>
      <c r="L67" s="7">
        <f>I67*Parameters!$L$24</f>
        <v>0.14559009523816907</v>
      </c>
      <c r="M67" s="7">
        <f>J67+K67+L67</f>
        <v>0.16958353254156033</v>
      </c>
      <c r="N67" s="7">
        <f>C67*Parameters!$L$17+D67*Parameters!$L$18+E67*Parameters!$L$16+I67*Parameters!$L$25+G67*Parameters!$L$30</f>
        <v>0.08084843842313139</v>
      </c>
      <c r="O67" s="7">
        <f>0</f>
        <v>0</v>
      </c>
      <c r="P67" s="7">
        <f>M67-N67-O67</f>
        <v>0.08873509411842895</v>
      </c>
      <c r="Q67" s="7">
        <f>0</f>
        <v>0</v>
      </c>
      <c r="R67" s="7">
        <f>P67-Q67</f>
        <v>0.08873509411842895</v>
      </c>
      <c r="S67" s="7">
        <f>IF(A67&lt;1+Parameters!$L$31,0,INDEX($M$45:$M$80,A67-Parameters!$L$31))</f>
        <v>0.18045617548429027</v>
      </c>
      <c r="T67" s="7">
        <f>T66+M67-S67</f>
        <v>0.16958353254156033</v>
      </c>
      <c r="U67" s="7">
        <f>S67-N67-O67-Q67</f>
        <v>0.09960773706115889</v>
      </c>
      <c r="V67" s="7">
        <f>V66+U67</f>
        <v>4.688085218271645</v>
      </c>
      <c r="W67" s="7">
        <f>(1-Parameters!$L$7)*(C67-E67)+(1-Parameters!$L$8)*(D67+E67)</f>
        <v>0.009888764095345098</v>
      </c>
      <c r="X67" s="7">
        <f>Parameters!$L$7*(C67-E67)+Parameters!$L$8*Parameters!$L$9*(D67+E67)</f>
        <v>0.055690030793660784</v>
      </c>
      <c r="Y67" s="7">
        <f>Parameters!$L$8*(1-Parameters!$L$9)*(D67+E67)</f>
        <v>0.07031867502493963</v>
      </c>
      <c r="Z67" s="7">
        <f>POWER(1/(1+Parameters!$L$32),A67-1)*(M67-N67)</f>
        <v>0.07128943800570327</v>
      </c>
    </row>
    <row r="68" spans="1:26">
      <c r="A68" s="7">
        <v>24</v>
      </c>
      <c r="B68" s="7">
        <f>0</f>
        <v>0</v>
      </c>
      <c r="C68" s="7">
        <f>X67+B68</f>
        <v>0.055690030793660784</v>
      </c>
      <c r="D68" s="7">
        <f>Y67</f>
        <v>0.07031867502493963</v>
      </c>
      <c r="E68" s="7">
        <f>Parameters!$L$6*C68</f>
        <v>0.0011138006158732158</v>
      </c>
      <c r="F68" s="7">
        <f>IF(Parameters!$L$5=1,E68,0)</f>
        <v>0.0</v>
      </c>
      <c r="G68" s="7">
        <f>Parameters!$L$27*G67+F68</f>
        <v>0.0</v>
      </c>
      <c r="H68" s="7">
        <f>IF(AND(Parameters!$L$5=1,Parameters!$L$26=1),SUMPRODUCT(--($A$45:A68&lt;A68),--(MOD(A68-$A$45:A68,Parameters!$L$28)=0),$F$45:F68,POWER(Parameters!$L$27,IF(A68-$A$45:A68=0,1,A68-$A$45:A68))),0)</f>
        <v>0.0</v>
      </c>
      <c r="I68" s="7">
        <f>Parameters!$L$23*I67+B68*Parameters!$L$22</f>
        <v>0.046103530158753535</v>
      </c>
      <c r="J68" s="7">
        <f>E68*Parameters!$L$14*(1-Parameters!$L$15)</f>
        <v>0.0211622117015911</v>
      </c>
      <c r="K68" s="7">
        <f>H68*Parameters!$L$29</f>
        <v>0.0</v>
      </c>
      <c r="L68" s="7">
        <f>I68*Parameters!$L$24</f>
        <v>0.1383105904762606</v>
      </c>
      <c r="M68" s="7">
        <f>J68+K68+L68</f>
        <v>0.1594728021778517</v>
      </c>
      <c r="N68" s="7">
        <f>C68*Parameters!$L$17+D68*Parameters!$L$18+E68*Parameters!$L$16+I68*Parameters!$L$25+G68*Parameters!$L$30</f>
        <v>0.07603191244581803</v>
      </c>
      <c r="O68" s="7">
        <f>0</f>
        <v>0</v>
      </c>
      <c r="P68" s="7">
        <f>M68-N68-O68</f>
        <v>0.08344088973203367</v>
      </c>
      <c r="Q68" s="7">
        <f>0</f>
        <v>0</v>
      </c>
      <c r="R68" s="7">
        <f>P68-Q68</f>
        <v>0.08344088973203367</v>
      </c>
      <c r="S68" s="7">
        <f>IF(A68&lt;1+Parameters!$L$31,0,INDEX($M$45:$M$80,A68-Parameters!$L$31))</f>
        <v>0.16958353254156033</v>
      </c>
      <c r="T68" s="7">
        <f>T67+M68-S68</f>
        <v>0.1594728021778517</v>
      </c>
      <c r="U68" s="7">
        <f>S68-N68-O68-Q68</f>
        <v>0.0935516200957423</v>
      </c>
      <c r="V68" s="7">
        <f>V67+U68</f>
        <v>4.781636838367388</v>
      </c>
      <c r="W68" s="7">
        <f>(1-Parameters!$L$7)*(C68-E68)+(1-Parameters!$L$8)*(D68+E68)</f>
        <v>0.0090292467998194</v>
      </c>
      <c r="X68" s="7">
        <f>Parameters!$L$7*(C68-E68)+Parameters!$L$8*Parameters!$L$9*(D68+E68)</f>
        <v>0.04911860716000881</v>
      </c>
      <c r="Y68" s="7">
        <f>Parameters!$L$8*(1-Parameters!$L$9)*(D68+E68)</f>
        <v>0.06786085185877219</v>
      </c>
      <c r="Z68" s="7">
        <f>POWER(1/(1+Parameters!$L$32),A68-1)*(M68-N68)</f>
        <v>0.06637237057899799</v>
      </c>
    </row>
    <row r="69" spans="1:26">
      <c r="A69" s="7">
        <v>25</v>
      </c>
      <c r="B69" s="7">
        <f>0</f>
        <v>0</v>
      </c>
      <c r="C69" s="7">
        <f>X68+B69</f>
        <v>0.04911860716000881</v>
      </c>
      <c r="D69" s="7">
        <f>Y68</f>
        <v>0.0678608518587722</v>
      </c>
      <c r="E69" s="7">
        <f>Parameters!$L$6*C69</f>
        <v>0.0009823721432001763</v>
      </c>
      <c r="F69" s="7">
        <f>IF(Parameters!$L$5=1,E69,0)</f>
        <v>0.0</v>
      </c>
      <c r="G69" s="7">
        <f>Parameters!$L$27*G68+F69</f>
        <v>0.0</v>
      </c>
      <c r="H69" s="7">
        <f>IF(AND(Parameters!$L$5=1,Parameters!$L$26=1),SUMPRODUCT(--($A$45:A69&lt;A69),--(MOD(A69-$A$45:A69,Parameters!$L$28)=0),$F$45:F69,POWER(Parameters!$L$27,IF(A69-$A$45:A69=0,1,A69-$A$45:A69))),0)</f>
        <v>0.0</v>
      </c>
      <c r="I69" s="7">
        <f>Parameters!$L$23*I68+B69*Parameters!$L$22</f>
        <v>0.04379835365081586</v>
      </c>
      <c r="J69" s="7">
        <f>E69*Parameters!$L$14*(1-Parameters!$L$15)</f>
        <v>0.01866507072080335</v>
      </c>
      <c r="K69" s="7">
        <f>H69*Parameters!$L$29</f>
        <v>0.0</v>
      </c>
      <c r="L69" s="7">
        <f>I69*Parameters!$L$24</f>
        <v>0.13139506095244757</v>
      </c>
      <c r="M69" s="7">
        <f>J69+K69+L69</f>
        <v>0.1500601316732509</v>
      </c>
      <c r="N69" s="7">
        <f>C69*Parameters!$L$17+D69*Parameters!$L$18+E69*Parameters!$L$16+I69*Parameters!$L$25+G69*Parameters!$L$30</f>
        <v>0.07154755704599686</v>
      </c>
      <c r="O69" s="7">
        <f>0</f>
        <v>0</v>
      </c>
      <c r="P69" s="7">
        <f>M69-N69-O69</f>
        <v>0.07851257462725406</v>
      </c>
      <c r="Q69" s="7">
        <f>0</f>
        <v>0</v>
      </c>
      <c r="R69" s="7">
        <f>P69-Q69</f>
        <v>0.07851257462725406</v>
      </c>
      <c r="S69" s="7">
        <f>IF(A69&lt;1+Parameters!$L$31,0,INDEX($M$45:$M$80,A69-Parameters!$L$31))</f>
        <v>0.1594728021778517</v>
      </c>
      <c r="T69" s="7">
        <f>T68+M69-S69</f>
        <v>0.1500601316732509</v>
      </c>
      <c r="U69" s="7">
        <f>S69-N69-O69-Q69</f>
        <v>0.08792524513185485</v>
      </c>
      <c r="V69" s="7">
        <f>V68+U69</f>
        <v>4.869562083499242</v>
      </c>
      <c r="W69" s="7">
        <f>(1-Parameters!$L$7)*(C69-E69)+(1-Parameters!$L$8)*(D69+E69)</f>
        <v>0.008255784701779486</v>
      </c>
      <c r="X69" s="7">
        <f>Parameters!$L$7*(C69-E69)+Parameters!$L$8*Parameters!$L$9*(D69+E69)</f>
        <v>0.04332261151512778</v>
      </c>
      <c r="Y69" s="7">
        <f>Parameters!$L$8*(1-Parameters!$L$9)*(D69+E69)</f>
        <v>0.06540106280187377</v>
      </c>
      <c r="Z69" s="7">
        <f>POWER(1/(1+Parameters!$L$32),A69-1)*(M69-N69)</f>
        <v>0.0618338443532524</v>
      </c>
    </row>
    <row r="70" spans="1:26">
      <c r="A70" s="7">
        <v>26</v>
      </c>
      <c r="B70" s="7">
        <f>0</f>
        <v>0</v>
      </c>
      <c r="C70" s="7">
        <f>X69+B70</f>
        <v>0.04332261151512777</v>
      </c>
      <c r="D70" s="7">
        <f>Y69</f>
        <v>0.06540106280187376</v>
      </c>
      <c r="E70" s="7">
        <f>Parameters!$L$6*C70</f>
        <v>0.0008664522303025554</v>
      </c>
      <c r="F70" s="7">
        <f>IF(Parameters!$L$5=1,E70,0)</f>
        <v>0.0</v>
      </c>
      <c r="G70" s="7">
        <f>Parameters!$L$27*G69+F70</f>
        <v>0.0</v>
      </c>
      <c r="H70" s="7">
        <f>IF(AND(Parameters!$L$5=1,Parameters!$L$26=1),SUMPRODUCT(--($A$45:A70&lt;A70),--(MOD(A70-$A$45:A70,Parameters!$L$28)=0),$F$45:F70,POWER(Parameters!$L$27,IF(A70-$A$45:A70=0,1,A70-$A$45:A70))),0)</f>
        <v>0.0</v>
      </c>
      <c r="I70" s="7">
        <f>Parameters!$L$23*I69+B70*Parameters!$L$22</f>
        <v>0.04160843596827506</v>
      </c>
      <c r="J70" s="7">
        <f>E70*Parameters!$L$14*(1-Parameters!$L$15)</f>
        <v>0.016462592375748552</v>
      </c>
      <c r="K70" s="7">
        <f>H70*Parameters!$L$29</f>
        <v>0.0</v>
      </c>
      <c r="L70" s="7">
        <f>I70*Parameters!$L$24</f>
        <v>0.12482530790482518</v>
      </c>
      <c r="M70" s="7">
        <f>J70+K70+L70</f>
        <v>0.14128790028057372</v>
      </c>
      <c r="N70" s="7">
        <f>C70*Parameters!$L$17+D70*Parameters!$L$18+E70*Parameters!$L$16+I70*Parameters!$L$25+G70*Parameters!$L$30</f>
        <v>0.0673679850699153</v>
      </c>
      <c r="O70" s="7">
        <f>0</f>
        <v>0</v>
      </c>
      <c r="P70" s="7">
        <f>M70-N70-O70</f>
        <v>0.07391991521065842</v>
      </c>
      <c r="Q70" s="7">
        <f>0</f>
        <v>0</v>
      </c>
      <c r="R70" s="7">
        <f>P70-Q70</f>
        <v>0.07391991521065842</v>
      </c>
      <c r="S70" s="7">
        <f>IF(A70&lt;1+Parameters!$L$31,0,INDEX($M$45:$M$80,A70-Parameters!$L$31))</f>
        <v>0.1500601316732509</v>
      </c>
      <c r="T70" s="7">
        <f>T69+M70-S70</f>
        <v>0.14128790028057372</v>
      </c>
      <c r="U70" s="7">
        <f>S70-N70-O70-Q70</f>
        <v>0.08269214660333561</v>
      </c>
      <c r="V70" s="7">
        <f>V69+U70</f>
        <v>4.952254230102578</v>
      </c>
      <c r="W70" s="7">
        <f>(1-Parameters!$L$7)*(C70-E70)+(1-Parameters!$L$8)*(D70+E70)</f>
        <v>0.007558991680091339</v>
      </c>
      <c r="X70" s="7">
        <f>Parameters!$L$7*(C70-E70)+Parameters!$L$8*Parameters!$L$9*(D70+E70)</f>
        <v>0.03821054335634269</v>
      </c>
      <c r="Y70" s="7">
        <f>Parameters!$L$8*(1-Parameters!$L$9)*(D70+E70)</f>
        <v>0.06295413928056749</v>
      </c>
      <c r="Z70" s="7">
        <f>POWER(1/(1+Parameters!$L$32),A70-1)*(M70-N70)</f>
        <v>0.05764041719004761</v>
      </c>
    </row>
    <row r="71" spans="1:26">
      <c r="A71" s="7">
        <v>27</v>
      </c>
      <c r="B71" s="7">
        <f>0</f>
        <v>0</v>
      </c>
      <c r="C71" s="7">
        <f>X70+B71</f>
        <v>0.03821054335634269</v>
      </c>
      <c r="D71" s="7">
        <f>Y70</f>
        <v>0.06295413928056749</v>
      </c>
      <c r="E71" s="7">
        <f>Parameters!$L$6*C71</f>
        <v>0.0007642108671268538</v>
      </c>
      <c r="F71" s="7">
        <f>IF(Parameters!$L$5=1,E71,0)</f>
        <v>0.0</v>
      </c>
      <c r="G71" s="7">
        <f>Parameters!$L$27*G70+F71</f>
        <v>0.0</v>
      </c>
      <c r="H71" s="7">
        <f>IF(AND(Parameters!$L$5=1,Parameters!$L$26=1),SUMPRODUCT(--($A$45:A71&lt;A71),--(MOD(A71-$A$45:A71,Parameters!$L$28)=0),$F$45:F71,POWER(Parameters!$L$27,IF(A71-$A$45:A71=0,1,A71-$A$45:A71))),0)</f>
        <v>0.0</v>
      </c>
      <c r="I71" s="7">
        <f>Parameters!$L$23*I70+B71*Parameters!$L$22</f>
        <v>0.039528014169861306</v>
      </c>
      <c r="J71" s="7">
        <f>E71*Parameters!$L$14*(1-Parameters!$L$15)</f>
        <v>0.014520006475410222</v>
      </c>
      <c r="K71" s="7">
        <f>H71*Parameters!$L$29</f>
        <v>0.0</v>
      </c>
      <c r="L71" s="7">
        <f>I71*Parameters!$L$24</f>
        <v>0.11858404250958392</v>
      </c>
      <c r="M71" s="7">
        <f>J71+K71+L71</f>
        <v>0.13310404898499414</v>
      </c>
      <c r="N71" s="7">
        <f>C71*Parameters!$L$17+D71*Parameters!$L$18+E71*Parameters!$L$16+I71*Parameters!$L$25+G71*Parameters!$L$30</f>
        <v>0.06346845059924405</v>
      </c>
      <c r="O71" s="7">
        <f>0</f>
        <v>0</v>
      </c>
      <c r="P71" s="7">
        <f>M71-N71-O71</f>
        <v>0.06963559838575009</v>
      </c>
      <c r="Q71" s="7">
        <f>0</f>
        <v>0</v>
      </c>
      <c r="R71" s="7">
        <f>P71-Q71</f>
        <v>0.06963559838575009</v>
      </c>
      <c r="S71" s="7">
        <f>IF(A71&lt;1+Parameters!$L$31,0,INDEX($M$45:$M$80,A71-Parameters!$L$31))</f>
        <v>0.14128790028057372</v>
      </c>
      <c r="T71" s="7">
        <f>T70+M71-S71</f>
        <v>0.13310404898499414</v>
      </c>
      <c r="U71" s="7">
        <f>S71-N71-O71-Q71</f>
        <v>0.07781944968132967</v>
      </c>
      <c r="V71" s="7">
        <f>V70+U71</f>
        <v>5.030073679783907</v>
      </c>
      <c r="W71" s="7">
        <f>(1-Parameters!$L$7)*(C71-E71)+(1-Parameters!$L$8)*(D71+E71)</f>
        <v>0.006930550756306304</v>
      </c>
      <c r="X71" s="7">
        <f>Parameters!$L$7*(C71-E71)+Parameters!$L$8*Parameters!$L$9*(D71+E71)</f>
        <v>0.03370169924029426</v>
      </c>
      <c r="Y71" s="7">
        <f>Parameters!$L$8*(1-Parameters!$L$9)*(D71+E71)</f>
        <v>0.06053243264030963</v>
      </c>
      <c r="Z71" s="7">
        <f>POWER(1/(1+Parameters!$L$32),A71-1)*(M71-N71)</f>
        <v>0.053762021911085915</v>
      </c>
    </row>
    <row r="72" spans="1:26">
      <c r="A72" s="7">
        <v>28</v>
      </c>
      <c r="B72" s="7">
        <f>0</f>
        <v>0</v>
      </c>
      <c r="C72" s="7">
        <f>X71+B72</f>
        <v>0.03370169924029425</v>
      </c>
      <c r="D72" s="7">
        <f>Y71</f>
        <v>0.06053243264030962</v>
      </c>
      <c r="E72" s="7">
        <f>Parameters!$L$6*C72</f>
        <v>0.000674033984805885</v>
      </c>
      <c r="F72" s="7">
        <f>IF(Parameters!$L$5=1,E72,0)</f>
        <v>0.0</v>
      </c>
      <c r="G72" s="7">
        <f>Parameters!$L$27*G71+F72</f>
        <v>0.0</v>
      </c>
      <c r="H72" s="7">
        <f>IF(AND(Parameters!$L$5=1,Parameters!$L$26=1),SUMPRODUCT(--($A$45:A72&lt;A72),--(MOD(A72-$A$45:A72,Parameters!$L$28)=0),$F$45:F72,POWER(Parameters!$L$27,IF(A72-$A$45:A72=0,1,A72-$A$45:A72))),0)</f>
        <v>0.0</v>
      </c>
      <c r="I72" s="7">
        <f>Parameters!$L$23*I71+B72*Parameters!$L$22</f>
        <v>0.03755161346136824</v>
      </c>
      <c r="J72" s="7">
        <f>E72*Parameters!$L$14*(1-Parameters!$L$15)</f>
        <v>0.012806645711311815</v>
      </c>
      <c r="K72" s="7">
        <f>H72*Parameters!$L$29</f>
        <v>0.0</v>
      </c>
      <c r="L72" s="7">
        <f>I72*Parameters!$L$24</f>
        <v>0.11265484038410473</v>
      </c>
      <c r="M72" s="7">
        <f>J72+K72+L72</f>
        <v>0.12546148609541655</v>
      </c>
      <c r="N72" s="7">
        <f>C72*Parameters!$L$17+D72*Parameters!$L$18+E72*Parameters!$L$16+I72*Parameters!$L$25+G72*Parameters!$L$30</f>
        <v>0.0598265668077331</v>
      </c>
      <c r="O72" s="7">
        <f>0</f>
        <v>0</v>
      </c>
      <c r="P72" s="7">
        <f>M72-N72-O72</f>
        <v>0.06563491928768345</v>
      </c>
      <c r="Q72" s="7">
        <f>0</f>
        <v>0</v>
      </c>
      <c r="R72" s="7">
        <f>P72-Q72</f>
        <v>0.06563491928768345</v>
      </c>
      <c r="S72" s="7">
        <f>IF(A72&lt;1+Parameters!$L$31,0,INDEX($M$45:$M$80,A72-Parameters!$L$31))</f>
        <v>0.13310404898499414</v>
      </c>
      <c r="T72" s="7">
        <f>T71+M72-S72</f>
        <v>0.12546148609541655</v>
      </c>
      <c r="U72" s="7">
        <f>S72-N72-O72-Q72</f>
        <v>0.07327748217726104</v>
      </c>
      <c r="V72" s="7">
        <f>V71+U72</f>
        <v>5.103351161961168</v>
      </c>
      <c r="W72" s="7">
        <f>(1-Parameters!$L$7)*(C72-E72)+(1-Parameters!$L$8)*(D72+E72)</f>
        <v>0.006363089856804614</v>
      </c>
      <c r="X72" s="7">
        <f>Parameters!$L$7*(C72-E72)+Parameters!$L$8*Parameters!$L$9*(D72+E72)</f>
        <v>0.02972489872993953</v>
      </c>
      <c r="Y72" s="7">
        <f>Parameters!$L$8*(1-Parameters!$L$9)*(D72+E72)</f>
        <v>0.05814614329385973</v>
      </c>
      <c r="Z72" s="7">
        <f>POWER(1/(1+Parameters!$L$32),A72-1)*(M72-N72)</f>
        <v>0.05017158986273852</v>
      </c>
    </row>
    <row r="73" spans="1:26">
      <c r="A73" s="7">
        <v>29</v>
      </c>
      <c r="B73" s="7">
        <f>0</f>
        <v>0</v>
      </c>
      <c r="C73" s="7">
        <f>X72+B73</f>
        <v>0.02972489872993953</v>
      </c>
      <c r="D73" s="7">
        <f>Y72</f>
        <v>0.05814614329385973</v>
      </c>
      <c r="E73" s="7">
        <f>Parameters!$L$6*C73</f>
        <v>0.0005944979745987906</v>
      </c>
      <c r="F73" s="7">
        <f>IF(Parameters!$L$5=1,E73,0)</f>
        <v>0.0</v>
      </c>
      <c r="G73" s="7">
        <f>Parameters!$L$27*G72+F73</f>
        <v>0.0</v>
      </c>
      <c r="H73" s="7">
        <f>IF(AND(Parameters!$L$5=1,Parameters!$L$26=1),SUMPRODUCT(--($A$45:A73&lt;A73),--(MOD(A73-$A$45:A73,Parameters!$L$28)=0),$F$45:F73,POWER(Parameters!$L$27,IF(A73-$A$45:A73=0,1,A73-$A$45:A73))),0)</f>
        <v>0.0</v>
      </c>
      <c r="I73" s="7">
        <f>Parameters!$L$23*I72+B73*Parameters!$L$22</f>
        <v>0.03567403278829983</v>
      </c>
      <c r="J73" s="7">
        <f>E73*Parameters!$L$14*(1-Parameters!$L$15)</f>
        <v>0.011295461517377021</v>
      </c>
      <c r="K73" s="7">
        <f>H73*Parameters!$L$29</f>
        <v>0.0</v>
      </c>
      <c r="L73" s="7">
        <f>I73*Parameters!$L$24</f>
        <v>0.10702209836489948</v>
      </c>
      <c r="M73" s="7">
        <f>J73+K73+L73</f>
        <v>0.1183175598822765</v>
      </c>
      <c r="N73" s="7">
        <f>C73*Parameters!$L$17+D73*Parameters!$L$18+E73*Parameters!$L$16+I73*Parameters!$L$25+G73*Parameters!$L$30</f>
        <v>0.056422055634660434</v>
      </c>
      <c r="O73" s="7">
        <f>0</f>
        <v>0</v>
      </c>
      <c r="P73" s="7">
        <f>M73-N73-O73</f>
        <v>0.06189550424761607</v>
      </c>
      <c r="Q73" s="7">
        <f>0</f>
        <v>0</v>
      </c>
      <c r="R73" s="7">
        <f>P73-Q73</f>
        <v>0.06189550424761607</v>
      </c>
      <c r="S73" s="7">
        <f>IF(A73&lt;1+Parameters!$L$31,0,INDEX($M$45:$M$80,A73-Parameters!$L$31))</f>
        <v>0.12546148609541655</v>
      </c>
      <c r="T73" s="7">
        <f>T72+M73-S73</f>
        <v>0.1183175598822765</v>
      </c>
      <c r="U73" s="7">
        <f>S73-N73-O73-Q73</f>
        <v>0.06903943046075611</v>
      </c>
      <c r="V73" s="7">
        <f>V72+U73</f>
        <v>5.172390592421924</v>
      </c>
      <c r="W73" s="7">
        <f>(1-Parameters!$L$7)*(C73-E73)+(1-Parameters!$L$8)*(D73+E73)</f>
        <v>0.005850072138957002</v>
      </c>
      <c r="X73" s="7">
        <f>Parameters!$L$7*(C73-E73)+Parameters!$L$8*Parameters!$L$9*(D73+E73)</f>
        <v>0.026217360679806664</v>
      </c>
      <c r="Y73" s="7">
        <f>Parameters!$L$8*(1-Parameters!$L$9)*(D73+E73)</f>
        <v>0.0558036092050356</v>
      </c>
      <c r="Z73" s="7">
        <f>POWER(1/(1+Parameters!$L$32),A73-1)*(M73-N73)</f>
        <v>0.04684471914079351</v>
      </c>
    </row>
    <row r="74" spans="1:26">
      <c r="A74" s="7">
        <v>30</v>
      </c>
      <c r="B74" s="7">
        <f>0</f>
        <v>0</v>
      </c>
      <c r="C74" s="7">
        <f>X73+B74</f>
        <v>0.026217360679806664</v>
      </c>
      <c r="D74" s="7">
        <f>Y73</f>
        <v>0.0558036092050356</v>
      </c>
      <c r="E74" s="7">
        <f>Parameters!$L$6*C74</f>
        <v>0.0005243472135961333</v>
      </c>
      <c r="F74" s="7">
        <f>IF(Parameters!$L$5=1,E74,0)</f>
        <v>0.0</v>
      </c>
      <c r="G74" s="7">
        <f>Parameters!$L$27*G73+F74</f>
        <v>0.0</v>
      </c>
      <c r="H74" s="7">
        <f>IF(AND(Parameters!$L$5=1,Parameters!$L$26=1),SUMPRODUCT(--($A$45:A74&lt;A74),--(MOD(A74-$A$45:A74,Parameters!$L$28)=0),$F$45:F74,POWER(Parameters!$L$27,IF(A74-$A$45:A74=0,1,A74-$A$45:A74))),0)</f>
        <v>0.0</v>
      </c>
      <c r="I74" s="7">
        <f>Parameters!$L$23*I73+B74*Parameters!$L$22</f>
        <v>0.03389033114888484</v>
      </c>
      <c r="J74" s="7">
        <f>E74*Parameters!$L$14*(1-Parameters!$L$15)</f>
        <v>0.009962597058326533</v>
      </c>
      <c r="K74" s="7">
        <f>H74*Parameters!$L$29</f>
        <v>0.0</v>
      </c>
      <c r="L74" s="7">
        <f>I74*Parameters!$L$24</f>
        <v>0.1016709934466545</v>
      </c>
      <c r="M74" s="7">
        <f>J74+K74+L74</f>
        <v>0.11163359050498103</v>
      </c>
      <c r="N74" s="7">
        <f>C74*Parameters!$L$17+D74*Parameters!$L$18+E74*Parameters!$L$16+I74*Parameters!$L$25+G74*Parameters!$L$30</f>
        <v>0.053236525594498346</v>
      </c>
      <c r="O74" s="7">
        <f>0</f>
        <v>0</v>
      </c>
      <c r="P74" s="7">
        <f>M74-N74-O74</f>
        <v>0.05839706491048269</v>
      </c>
      <c r="Q74" s="7">
        <f>0</f>
        <v>0</v>
      </c>
      <c r="R74" s="7">
        <f>P74-Q74</f>
        <v>0.05839706491048269</v>
      </c>
      <c r="S74" s="7">
        <f>IF(A74&lt;1+Parameters!$L$31,0,INDEX($M$45:$M$80,A74-Parameters!$L$31))</f>
        <v>0.1183175598822765</v>
      </c>
      <c r="T74" s="7">
        <f>T73+M74-S74</f>
        <v>0.11163359050498103</v>
      </c>
      <c r="U74" s="7">
        <f>S74-N74-O74-Q74</f>
        <v>0.06508103428777816</v>
      </c>
      <c r="V74" s="7">
        <f>V73+U74</f>
        <v>5.237471626709702</v>
      </c>
      <c r="W74" s="7">
        <f>(1-Parameters!$L$7)*(C74-E74)+(1-Parameters!$L$8)*(D74+E74)</f>
        <v>0.005385699167552642</v>
      </c>
      <c r="X74" s="7">
        <f>Parameters!$L$7*(C74-E74)+Parameters!$L$8*Parameters!$L$9*(D74+E74)</f>
        <v>0.02312371211958948</v>
      </c>
      <c r="Y74" s="7">
        <f>Parameters!$L$8*(1-Parameters!$L$9)*(D74+E74)</f>
        <v>0.05351155859770014</v>
      </c>
      <c r="Z74" s="7">
        <f>POWER(1/(1+Parameters!$L$32),A74-1)*(M74-N74)</f>
        <v>0.04375938199647529</v>
      </c>
    </row>
    <row r="75" spans="1:26">
      <c r="A75" s="7">
        <v>31</v>
      </c>
      <c r="B75" s="7">
        <f>0</f>
        <v>0</v>
      </c>
      <c r="C75" s="7">
        <f>X74+B75</f>
        <v>0.02312371211958948</v>
      </c>
      <c r="D75" s="7">
        <f>Y74</f>
        <v>0.05351155859770014</v>
      </c>
      <c r="E75" s="7">
        <f>Parameters!$L$6*C75</f>
        <v>0.0004624742423917896</v>
      </c>
      <c r="F75" s="7">
        <f>IF(Parameters!$L$5=1,E75,0)</f>
        <v>0.0</v>
      </c>
      <c r="G75" s="7">
        <f>Parameters!$L$27*G74+F75</f>
        <v>0.0</v>
      </c>
      <c r="H75" s="7">
        <f>IF(AND(Parameters!$L$5=1,Parameters!$L$26=1),SUMPRODUCT(--($A$45:A75&lt;A75),--(MOD(A75-$A$45:A75,Parameters!$L$28)=0),$F$45:F75,POWER(Parameters!$L$27,IF(A75-$A$45:A75=0,1,A75-$A$45:A75))),0)</f>
        <v>0.0</v>
      </c>
      <c r="I75" s="7">
        <f>Parameters!$L$23*I74+B75*Parameters!$L$22</f>
        <v>0.032195814591440594</v>
      </c>
      <c r="J75" s="7">
        <f>E75*Parameters!$L$14*(1-Parameters!$L$15)</f>
        <v>0.008787010605444002</v>
      </c>
      <c r="K75" s="7">
        <f>H75*Parameters!$L$29</f>
        <v>0.0</v>
      </c>
      <c r="L75" s="7">
        <f>I75*Parameters!$L$24</f>
        <v>0.09658744377432178</v>
      </c>
      <c r="M75" s="7">
        <f>J75+K75+L75</f>
        <v>0.10537445437976578</v>
      </c>
      <c r="N75" s="7">
        <f>C75*Parameters!$L$17+D75*Parameters!$L$18+E75*Parameters!$L$16+I75*Parameters!$L$25+G75*Parameters!$L$30</f>
        <v>0.050253274472839005</v>
      </c>
      <c r="O75" s="7">
        <f>0</f>
        <v>0</v>
      </c>
      <c r="P75" s="7">
        <f>M75-N75-O75</f>
        <v>0.055121179906926776</v>
      </c>
      <c r="Q75" s="7">
        <f>0</f>
        <v>0</v>
      </c>
      <c r="R75" s="7">
        <f>P75-Q75</f>
        <v>0.055121179906926776</v>
      </c>
      <c r="S75" s="7">
        <f>IF(A75&lt;1+Parameters!$L$31,0,INDEX($M$45:$M$80,A75-Parameters!$L$31))</f>
        <v>0.11163359050498103</v>
      </c>
      <c r="T75" s="7">
        <f>T74+M75-S75</f>
        <v>0.10537445437976578</v>
      </c>
      <c r="U75" s="7">
        <f>S75-N75-O75-Q75</f>
        <v>0.06138031603214203</v>
      </c>
      <c r="V75" s="7">
        <f>V74+U75</f>
        <v>5.298851942741845</v>
      </c>
      <c r="W75" s="7">
        <f>(1-Parameters!$L$7)*(C75-E75)+(1-Parameters!$L$8)*(D75+E75)</f>
        <v>0.004964825429724368</v>
      </c>
      <c r="X75" s="7">
        <f>Parameters!$L$7*(C75-E75)+Parameters!$L$8*Parameters!$L$9*(D75+E75)</f>
        <v>0.02039511408947792</v>
      </c>
      <c r="Y75" s="7">
        <f>Parameters!$L$8*(1-Parameters!$L$9)*(D75+E75)</f>
        <v>0.05127533119808733</v>
      </c>
      <c r="Z75" s="7">
        <f>POWER(1/(1+Parameters!$L$32),A75-1)*(M75-N75)</f>
        <v>0.04089566662841611</v>
      </c>
    </row>
    <row r="76" spans="1:26">
      <c r="A76" s="7">
        <v>32</v>
      </c>
      <c r="B76" s="7">
        <f>0</f>
        <v>0</v>
      </c>
      <c r="C76" s="7">
        <f>X75+B76</f>
        <v>0.02039511408947792</v>
      </c>
      <c r="D76" s="7">
        <f>Y75</f>
        <v>0.05127533119808733</v>
      </c>
      <c r="E76" s="7">
        <f>Parameters!$L$6*C76</f>
        <v>0.0004079022817895584</v>
      </c>
      <c r="F76" s="7">
        <f>IF(Parameters!$L$5=1,E76,0)</f>
        <v>0.0</v>
      </c>
      <c r="G76" s="7">
        <f>Parameters!$L$27*G75+F76</f>
        <v>0.0</v>
      </c>
      <c r="H76" s="7">
        <f>IF(AND(Parameters!$L$5=1,Parameters!$L$26=1),SUMPRODUCT(--($A$45:A76&lt;A76),--(MOD(A76-$A$45:A76,Parameters!$L$28)=0),$F$45:F76,POWER(Parameters!$L$27,IF(A76-$A$45:A76=0,1,A76-$A$45:A76))),0)</f>
        <v>0.0</v>
      </c>
      <c r="I76" s="7">
        <f>Parameters!$L$23*I75+B76*Parameters!$L$22</f>
        <v>0.030586023861868563</v>
      </c>
      <c r="J76" s="7">
        <f>E76*Parameters!$L$14*(1-Parameters!$L$15)</f>
        <v>0.00775014335400161</v>
      </c>
      <c r="K76" s="7">
        <f>H76*Parameters!$L$29</f>
        <v>0.0</v>
      </c>
      <c r="L76" s="7">
        <f>I76*Parameters!$L$24</f>
        <v>0.09175807158560569</v>
      </c>
      <c r="M76" s="7">
        <f>J76+K76+L76</f>
        <v>0.09950821493960729</v>
      </c>
      <c r="N76" s="7">
        <f>C76*Parameters!$L$17+D76*Parameters!$L$18+E76*Parameters!$L$16+I76*Parameters!$L$25+G76*Parameters!$L$30</f>
        <v>0.04745711403861088</v>
      </c>
      <c r="O76" s="7">
        <f>0</f>
        <v>0</v>
      </c>
      <c r="P76" s="7">
        <f>M76-N76-O76</f>
        <v>0.05205110090099641</v>
      </c>
      <c r="Q76" s="7">
        <f>0</f>
        <v>0</v>
      </c>
      <c r="R76" s="7">
        <f>P76-Q76</f>
        <v>0.05205110090099641</v>
      </c>
      <c r="S76" s="7">
        <f>IF(A76&lt;1+Parameters!$L$31,0,INDEX($M$45:$M$80,A76-Parameters!$L$31))</f>
        <v>0.10537445437976578</v>
      </c>
      <c r="T76" s="7">
        <f>T75+M76-S76</f>
        <v>0.09950821493960729</v>
      </c>
      <c r="U76" s="7">
        <f>S76-N76-O76-Q76</f>
        <v>0.0579173403411549</v>
      </c>
      <c r="V76" s="7">
        <f>V75+U76</f>
        <v>5.356769283083</v>
      </c>
      <c r="W76" s="7">
        <f>(1-Parameters!$L$7)*(C76-E76)+(1-Parameters!$L$8)*(D76+E76)</f>
        <v>0.0045828828547626824</v>
      </c>
      <c r="X76" s="7">
        <f>Parameters!$L$7*(C76-E76)+Parameters!$L$8*Parameters!$L$9*(D76+E76)</f>
        <v>0.017988490626919526</v>
      </c>
      <c r="Y76" s="7">
        <f>Parameters!$L$8*(1-Parameters!$L$9)*(D76+E76)</f>
        <v>0.04909907180588304</v>
      </c>
      <c r="Z76" s="7">
        <f>POWER(1/(1+Parameters!$L$32),A76-1)*(M76-N76)</f>
        <v>0.03823554916287056</v>
      </c>
    </row>
    <row r="77" spans="1:26">
      <c r="A77" s="7">
        <v>33</v>
      </c>
      <c r="B77" s="7">
        <f>0</f>
        <v>0</v>
      </c>
      <c r="C77" s="7">
        <f>X76+B77</f>
        <v>0.017988490626919526</v>
      </c>
      <c r="D77" s="7">
        <f>Y76</f>
        <v>0.04909907180588304</v>
      </c>
      <c r="E77" s="7">
        <f>Parameters!$L$6*C77</f>
        <v>0.00035976981253839054</v>
      </c>
      <c r="F77" s="7">
        <f>IF(Parameters!$L$5=1,E77,0)</f>
        <v>0.0</v>
      </c>
      <c r="G77" s="7">
        <f>Parameters!$L$27*G76+F77</f>
        <v>0.0</v>
      </c>
      <c r="H77" s="7">
        <f>IF(AND(Parameters!$L$5=1,Parameters!$L$26=1),SUMPRODUCT(--($A$45:A77&lt;A77),--(MOD(A77-$A$45:A77,Parameters!$L$28)=0),$F$45:F77,POWER(Parameters!$L$27,IF(A77-$A$45:A77=0,1,A77-$A$45:A77))),0)</f>
        <v>0.0</v>
      </c>
      <c r="I77" s="7">
        <f>Parameters!$L$23*I76+B77*Parameters!$L$22</f>
        <v>0.029056722668775133</v>
      </c>
      <c r="J77" s="7">
        <f>E77*Parameters!$L$14*(1-Parameters!$L$15)</f>
        <v>0.00683562643822942</v>
      </c>
      <c r="K77" s="7">
        <f>H77*Parameters!$L$29</f>
        <v>0.0</v>
      </c>
      <c r="L77" s="7">
        <f>I77*Parameters!$L$24</f>
        <v>0.0871701680063254</v>
      </c>
      <c r="M77" s="7">
        <f>J77+K77+L77</f>
        <v>0.09400579444455483</v>
      </c>
      <c r="N77" s="7">
        <f>C77*Parameters!$L$17+D77*Parameters!$L$18+E77*Parameters!$L$16+I77*Parameters!$L$25+G77*Parameters!$L$30</f>
        <v>0.044834214237943336</v>
      </c>
      <c r="O77" s="7">
        <f>0</f>
        <v>0</v>
      </c>
      <c r="P77" s="7">
        <f>M77-N77-O77</f>
        <v>0.04917158020661149</v>
      </c>
      <c r="Q77" s="7">
        <f>0</f>
        <v>0</v>
      </c>
      <c r="R77" s="7">
        <f>P77-Q77</f>
        <v>0.04917158020661149</v>
      </c>
      <c r="S77" s="7">
        <f>IF(A77&lt;1+Parameters!$L$31,0,INDEX($M$45:$M$80,A77-Parameters!$L$31))</f>
        <v>0.09950821493960729</v>
      </c>
      <c r="T77" s="7">
        <f>T76+M77-S77</f>
        <v>0.09400579444455483</v>
      </c>
      <c r="U77" s="7">
        <f>S77-N77-O77-Q77</f>
        <v>0.054674000701663956</v>
      </c>
      <c r="V77" s="7">
        <f>V76+U77</f>
        <v>5.4114432837846635</v>
      </c>
      <c r="W77" s="7">
        <f>(1-Parameters!$L$7)*(C77-E77)+(1-Parameters!$L$8)*(D77+E77)</f>
        <v>0.004235814162359187</v>
      </c>
      <c r="X77" s="7">
        <f>Parameters!$L$7*(C77-E77)+Parameters!$L$8*Parameters!$L$9*(D77+E77)</f>
        <v>0.015865848732943024</v>
      </c>
      <c r="Y77" s="7">
        <f>Parameters!$L$8*(1-Parameters!$L$9)*(D77+E77)</f>
        <v>0.04698589953750036</v>
      </c>
      <c r="Z77" s="7">
        <f>POWER(1/(1+Parameters!$L$32),A77-1)*(M77-N77)</f>
        <v>0.035762692146939314</v>
      </c>
    </row>
    <row r="78" spans="1:26">
      <c r="A78" s="7">
        <v>34</v>
      </c>
      <c r="B78" s="7">
        <f>0</f>
        <v>0</v>
      </c>
      <c r="C78" s="7">
        <f>X77+B78</f>
        <v>0.01586584873294302</v>
      </c>
      <c r="D78" s="7">
        <f>Y77</f>
        <v>0.046985899537500354</v>
      </c>
      <c r="E78" s="7">
        <f>Parameters!$L$6*C78</f>
        <v>0.0003173169746588604</v>
      </c>
      <c r="F78" s="7">
        <f>IF(Parameters!$L$5=1,E78,0)</f>
        <v>0.0</v>
      </c>
      <c r="G78" s="7">
        <f>Parameters!$L$27*G77+F78</f>
        <v>0.0</v>
      </c>
      <c r="H78" s="7">
        <f>IF(AND(Parameters!$L$5=1,Parameters!$L$26=1),SUMPRODUCT(--($A$45:A78&lt;A78),--(MOD(A78-$A$45:A78,Parameters!$L$28)=0),$F$45:F78,POWER(Parameters!$L$27,IF(A78-$A$45:A78=0,1,A78-$A$45:A78))),0)</f>
        <v>0.0</v>
      </c>
      <c r="I78" s="7">
        <f>Parameters!$L$23*I77+B78*Parameters!$L$22</f>
        <v>0.027603886535336374</v>
      </c>
      <c r="J78" s="7">
        <f>E78*Parameters!$L$14*(1-Parameters!$L$15)</f>
        <v>0.006029022518518347</v>
      </c>
      <c r="K78" s="7">
        <f>H78*Parameters!$L$29</f>
        <v>0.0</v>
      </c>
      <c r="L78" s="7">
        <f>I78*Parameters!$L$24</f>
        <v>0.08281165960600911</v>
      </c>
      <c r="M78" s="7">
        <f>J78+K78+L78</f>
        <v>0.08884068212452746</v>
      </c>
      <c r="N78" s="7">
        <f>C78*Parameters!$L$17+D78*Parameters!$L$18+E78*Parameters!$L$16+I78*Parameters!$L$25+G78*Parameters!$L$30</f>
        <v>0.04237196463096013</v>
      </c>
      <c r="O78" s="7">
        <f>0</f>
        <v>0</v>
      </c>
      <c r="P78" s="7">
        <f>M78-N78-O78</f>
        <v>0.04646871749356733</v>
      </c>
      <c r="Q78" s="7">
        <f>0</f>
        <v>0</v>
      </c>
      <c r="R78" s="7">
        <f>P78-Q78</f>
        <v>0.04646871749356733</v>
      </c>
      <c r="S78" s="7">
        <f>IF(A78&lt;1+Parameters!$L$31,0,INDEX($M$45:$M$80,A78-Parameters!$L$31))</f>
        <v>0.09400579444455483</v>
      </c>
      <c r="T78" s="7">
        <f>T77+M78-S78</f>
        <v>0.08884068212452746</v>
      </c>
      <c r="U78" s="7">
        <f>S78-N78-O78-Q78</f>
        <v>0.0516338298135947</v>
      </c>
      <c r="V78" s="7">
        <f>V77+U78</f>
        <v>5.463077113598258</v>
      </c>
      <c r="W78" s="7">
        <f>(1-Parameters!$L$7)*(C78-E78)+(1-Parameters!$L$8)*(D78+E78)</f>
        <v>0.003920014001436378</v>
      </c>
      <c r="X78" s="7">
        <f>Parameters!$L$7*(C78-E78)+Parameters!$L$8*Parameters!$L$9*(D78+E78)</f>
        <v>0.013993678582455744</v>
      </c>
      <c r="Y78" s="7">
        <f>Parameters!$L$8*(1-Parameters!$L$9)*(D78+E78)</f>
        <v>0.04493805568655125</v>
      </c>
      <c r="Z78" s="7">
        <f>POWER(1/(1+Parameters!$L$32),A78-1)*(M78-N78)</f>
        <v>0.03346226633639398</v>
      </c>
    </row>
    <row r="79" spans="1:26">
      <c r="A79" s="7">
        <v>35</v>
      </c>
      <c r="B79" s="7">
        <f>0</f>
        <v>0</v>
      </c>
      <c r="C79" s="7">
        <f>X78+B79</f>
        <v>0.013993678582455744</v>
      </c>
      <c r="D79" s="7">
        <f>Y78</f>
        <v>0.04493805568655125</v>
      </c>
      <c r="E79" s="7">
        <f>Parameters!$L$6*C79</f>
        <v>0.0002798735716491149</v>
      </c>
      <c r="F79" s="7">
        <f>IF(Parameters!$L$5=1,E79,0)</f>
        <v>0.0</v>
      </c>
      <c r="G79" s="7">
        <f>Parameters!$L$27*G78+F79</f>
        <v>0.0</v>
      </c>
      <c r="H79" s="7">
        <f>IF(AND(Parameters!$L$5=1,Parameters!$L$26=1),SUMPRODUCT(--($A$45:A79&lt;A79),--(MOD(A79-$A$45:A79,Parameters!$L$28)=0),$F$45:F79,POWER(Parameters!$L$27,IF(A79-$A$45:A79=0,1,A79-$A$45:A79))),0)</f>
        <v>0.0</v>
      </c>
      <c r="I79" s="7">
        <f>Parameters!$L$23*I78+B79*Parameters!$L$22</f>
        <v>0.026223692208569554</v>
      </c>
      <c r="J79" s="7">
        <f>E79*Parameters!$L$14*(1-Parameters!$L$15)</f>
        <v>0.005317597861333183</v>
      </c>
      <c r="K79" s="7">
        <f>H79*Parameters!$L$29</f>
        <v>0.0</v>
      </c>
      <c r="L79" s="7">
        <f>I79*Parameters!$L$24</f>
        <v>0.07867107662570866</v>
      </c>
      <c r="M79" s="7">
        <f>J79+K79+L79</f>
        <v>0.08398867448704184</v>
      </c>
      <c r="N79" s="7">
        <f>C79*Parameters!$L$17+D79*Parameters!$L$18+E79*Parameters!$L$16+I79*Parameters!$L$25+G79*Parameters!$L$30</f>
        <v>0.04005885109394624</v>
      </c>
      <c r="O79" s="7">
        <f>0</f>
        <v>0</v>
      </c>
      <c r="P79" s="7">
        <f>M79-N79-O79</f>
        <v>0.0439298233930956</v>
      </c>
      <c r="Q79" s="7">
        <f>0</f>
        <v>0</v>
      </c>
      <c r="R79" s="7">
        <f>P79-Q79</f>
        <v>0.0439298233930956</v>
      </c>
      <c r="S79" s="7">
        <f>IF(A79&lt;1+Parameters!$L$31,0,INDEX($M$45:$M$80,A79-Parameters!$L$31))</f>
        <v>0.08884068212452746</v>
      </c>
      <c r="T79" s="7">
        <f>T78+M79-S79</f>
        <v>0.08398867448704184</v>
      </c>
      <c r="U79" s="7">
        <f>S79-N79-O79-Q79</f>
        <v>0.04878183103058122</v>
      </c>
      <c r="V79" s="7">
        <f>V78+U79</f>
        <v>5.511858944628839</v>
      </c>
      <c r="W79" s="7">
        <f>(1-Parameters!$L$7)*(C79-E79)+(1-Parameters!$L$8)*(D79+E79)</f>
        <v>0.0036322769639906827</v>
      </c>
      <c r="X79" s="7">
        <f>Parameters!$L$7*(C79-E79)+Parameters!$L$8*Parameters!$L$9*(D79+E79)</f>
        <v>0.012342424509725966</v>
      </c>
      <c r="Y79" s="7">
        <f>Parameters!$L$8*(1-Parameters!$L$9)*(D79+E79)</f>
        <v>0.04295703279529035</v>
      </c>
      <c r="Z79" s="7">
        <f>POWER(1/(1+Parameters!$L$32),A79-1)*(M79-N79)</f>
        <v>0.031320792959157004</v>
      </c>
    </row>
    <row r="80" spans="1:26">
      <c r="A80" s="7">
        <v>36</v>
      </c>
      <c r="B80" s="7">
        <f>0</f>
        <v>0</v>
      </c>
      <c r="C80" s="7">
        <f>X79+B80</f>
        <v>0.012342424509725966</v>
      </c>
      <c r="D80" s="7">
        <f>Y79</f>
        <v>0.04295703279529035</v>
      </c>
      <c r="E80" s="7">
        <f>Parameters!$L$6*C80</f>
        <v>0.00024684849019451934</v>
      </c>
      <c r="F80" s="7">
        <f>IF(Parameters!$L$5=1,E80,0)</f>
        <v>0.0</v>
      </c>
      <c r="G80" s="7">
        <f>Parameters!$L$27*G79+F80</f>
        <v>0.0</v>
      </c>
      <c r="H80" s="7">
        <f>IF(AND(Parameters!$L$5=1,Parameters!$L$26=1),SUMPRODUCT(--($A$45:A80&lt;A80),--(MOD(A80-$A$45:A80,Parameters!$L$28)=0),$F$45:F80,POWER(Parameters!$L$27,IF(A80-$A$45:A80=0,1,A80-$A$45:A80))),0)</f>
        <v>0.0</v>
      </c>
      <c r="I80" s="7">
        <f>Parameters!$L$23*I79+B80*Parameters!$L$22</f>
        <v>0.024912507598141075</v>
      </c>
      <c r="J80" s="7">
        <f>E80*Parameters!$L$14*(1-Parameters!$L$15)</f>
        <v>0.004690121313695867</v>
      </c>
      <c r="K80" s="7">
        <f>H80*Parameters!$L$29</f>
        <v>0.0</v>
      </c>
      <c r="L80" s="7">
        <f>I80*Parameters!$L$24</f>
        <v>0.07473752279442322</v>
      </c>
      <c r="M80" s="7">
        <f>J80+K80+L80</f>
        <v>0.07942764410811909</v>
      </c>
      <c r="N80" s="7">
        <f>C80*Parameters!$L$17+D80*Parameters!$L$18+E80*Parameters!$L$16+I80*Parameters!$L$25+G80*Parameters!$L$30</f>
        <v>0.037884346039828015</v>
      </c>
      <c r="O80" s="7">
        <f>0</f>
        <v>0</v>
      </c>
      <c r="P80" s="7">
        <f>M80-N80-O80</f>
        <v>0.041543298068291074</v>
      </c>
      <c r="Q80" s="7">
        <f>0</f>
        <v>0</v>
      </c>
      <c r="R80" s="7">
        <f>P80-Q80</f>
        <v>0.041543298068291074</v>
      </c>
      <c r="S80" s="7">
        <f>IF(A80&lt;1+Parameters!$L$31,0,INDEX($M$45:$M$80,A80-Parameters!$L$31))</f>
        <v>0.08398867448704184</v>
      </c>
      <c r="T80" s="7">
        <f>T79+M80-S80</f>
        <v>0.07942764410811909</v>
      </c>
      <c r="U80" s="7">
        <f>S80-N80-O80-Q80</f>
        <v>0.04610432844721382</v>
      </c>
      <c r="V80" s="7">
        <f>V79+U80</f>
        <v>5.557963273076053</v>
      </c>
      <c r="W80" s="7">
        <f>(1-Parameters!$L$7)*(C80-E80)+(1-Parameters!$L$8)*(D80+E80)</f>
        <v>0.0033697516662273895</v>
      </c>
      <c r="X80" s="7">
        <f>Parameters!$L$7*(C80-E80)+Parameters!$L$8*Parameters!$L$9*(D80+E80)</f>
        <v>0.010886018417578303</v>
      </c>
      <c r="Y80" s="7">
        <f>Parameters!$L$8*(1-Parameters!$L$9)*(D80+E80)</f>
        <v>0.04104368722121062</v>
      </c>
      <c r="Z80" s="7">
        <f>POWER(1/(1+Parameters!$L$32),A80-1)*(M80-N80)</f>
        <v>0.02932600398482784</v>
      </c>
    </row>
  </sheetData>
  <mergeCells count="3">
    <mergeCell ref="A1:Z1"/>
    <mergeCell ref="A2:Z2"/>
    <mergeCell ref="A43:Z4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Z80"/>
  <sheetViews>
    <sheetView showGridLines="0" zoomScale="85" zoomScaleNormal="85" workbookViewId="0">
      <pane xSplit="4" ySplit="4" topLeftCell="E5" activePane="bottomRight" state="frozen"/>
      <selection pane="topRight" activeCell="E1" sqref="E1"/>
      <selection pane="bottomLeft" activeCell="A5" sqref="A5"/>
      <selection pane="bottomRight"/>
    </sheetView>
  </sheetViews>
  <sheetFormatPr defaultRowHeight="15"/>
  <cols>
    <col min="1" max="1" width="10.7109375" customWidth="1"/>
    <col min="2" max="9" width="19.7109375" customWidth="1"/>
    <col min="10" max="26" width="22.7109375" customWidth="1"/>
  </cols>
  <sheetData>
    <row r="1" spans="1:26">
      <c r="A1" s="1" t="s">
        <v>207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3" t="s">
        <v>163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4" spans="1:26" ht="45" customHeight="1">
      <c r="A4" s="4" t="s">
        <v>164</v>
      </c>
      <c r="B4" s="4" t="s">
        <v>165</v>
      </c>
      <c r="C4" s="4" t="s">
        <v>166</v>
      </c>
      <c r="D4" s="4" t="s">
        <v>167</v>
      </c>
      <c r="E4" s="4" t="s">
        <v>168</v>
      </c>
      <c r="F4" s="4" t="s">
        <v>169</v>
      </c>
      <c r="G4" s="4" t="s">
        <v>170</v>
      </c>
      <c r="H4" s="4" t="s">
        <v>171</v>
      </c>
      <c r="I4" s="4" t="s">
        <v>172</v>
      </c>
      <c r="J4" s="4" t="s">
        <v>173</v>
      </c>
      <c r="K4" s="4" t="s">
        <v>174</v>
      </c>
      <c r="L4" s="4" t="s">
        <v>175</v>
      </c>
      <c r="M4" s="4" t="s">
        <v>176</v>
      </c>
      <c r="N4" s="4" t="s">
        <v>177</v>
      </c>
      <c r="O4" s="4" t="s">
        <v>99</v>
      </c>
      <c r="P4" s="4" t="s">
        <v>178</v>
      </c>
      <c r="Q4" s="4" t="s">
        <v>179</v>
      </c>
      <c r="R4" s="4" t="s">
        <v>180</v>
      </c>
      <c r="S4" s="4" t="s">
        <v>181</v>
      </c>
      <c r="T4" s="4" t="s">
        <v>182</v>
      </c>
      <c r="U4" s="4" t="s">
        <v>183</v>
      </c>
      <c r="V4" s="4" t="s">
        <v>184</v>
      </c>
      <c r="W4" s="4" t="s">
        <v>185</v>
      </c>
      <c r="X4" s="4" t="s">
        <v>186</v>
      </c>
      <c r="Y4" s="4" t="s">
        <v>187</v>
      </c>
      <c r="Z4" s="4" t="s">
        <v>188</v>
      </c>
    </row>
    <row r="5" spans="1:26">
      <c r="A5" s="7">
        <v>1</v>
      </c>
      <c r="B5" s="7">
        <f>Parameters!$M$20</f>
        <v>1000</v>
      </c>
      <c r="C5" s="7">
        <f>B5</f>
        <v>1000</v>
      </c>
      <c r="D5" s="7">
        <f>0</f>
        <v>0.0</v>
      </c>
      <c r="E5" s="7">
        <f>Parameters!$M$6*C5</f>
        <v>100.0</v>
      </c>
      <c r="F5" s="7">
        <f>IF(Parameters!$M$5=1,E5,0)</f>
        <v>100.0</v>
      </c>
      <c r="G5" s="7">
        <f>F5</f>
        <v>100.0</v>
      </c>
      <c r="H5" s="7">
        <f>IF(AND(Parameters!$M$5=1,Parameters!$M$26=1),SUMPRODUCT(--($A$5:A5&lt;A5),--(MOD(A5-$A$5:A5,Parameters!$M$28)=0),$F$5:F5,POWER(Parameters!$M$27,IF(A5-$A$5:A5=0,1,A5-$A$5:A5))),0)</f>
        <v>0</v>
      </c>
      <c r="I5" s="7">
        <f>B5*Parameters!$M$22</f>
        <v>0.0</v>
      </c>
      <c r="J5" s="7">
        <f>E5*Parameters!$M$14*(1-Parameters!$M$15)</f>
        <v>3000.0</v>
      </c>
      <c r="K5" s="7">
        <f>H5*Parameters!$M$29</f>
        <v>0</v>
      </c>
      <c r="L5" s="7">
        <f>I5*Parameters!$M$24</f>
        <v>0.0</v>
      </c>
      <c r="M5" s="7">
        <f>J5+K5+L5</f>
        <v>3000.0</v>
      </c>
      <c r="N5" s="7">
        <f>C5*Parameters!$M$17+D5*Parameters!$M$18+E5*Parameters!$M$16+I5*Parameters!$M$25+G5*Parameters!$M$30</f>
        <v>310.0</v>
      </c>
      <c r="O5" s="7">
        <f>B5*Parameters!$M$19</f>
        <v>4000</v>
      </c>
      <c r="P5" s="7">
        <f>M5-N5-O5</f>
        <v>-1310.0</v>
      </c>
      <c r="Q5" s="7">
        <f>Parameters!$M$21</f>
        <v>1000</v>
      </c>
      <c r="R5" s="7">
        <f>P5-Q5</f>
        <v>-2310.0</v>
      </c>
      <c r="S5" s="7">
        <f>IF(A5&lt;1+Parameters!$M$31,0,INDEX($M$5:$M$40,A5-Parameters!$M$31))</f>
        <v>0.0</v>
      </c>
      <c r="T5" s="7">
        <f>M5-S5</f>
        <v>3000.0</v>
      </c>
      <c r="U5" s="7">
        <f>S5-N5-O5-Q5</f>
        <v>-5310.0</v>
      </c>
      <c r="V5" s="7">
        <f>U5</f>
        <v>-5310.0</v>
      </c>
      <c r="W5" s="7">
        <f>(1-Parameters!$M$7)*(C5-E5)+(1-Parameters!$M$8)*(D5+E5)</f>
        <v>1000.0</v>
      </c>
      <c r="X5" s="7">
        <f>Parameters!$M$7*(C5-E5)+Parameters!$M$8*Parameters!$M$9*(D5+E5)</f>
        <v>0.0</v>
      </c>
      <c r="Y5" s="7">
        <f>Parameters!$M$8*(1-Parameters!$M$9)*(D5+E5)</f>
        <v>0.0</v>
      </c>
      <c r="Z5" s="7">
        <f>POWER(1/(1+Parameters!$M$32),A5-1)*(M5-N5)</f>
        <v>2690.0</v>
      </c>
    </row>
    <row r="6" spans="1:26">
      <c r="A6" s="7">
        <v>2</v>
      </c>
      <c r="B6" s="7">
        <f>Parameters!$M$20</f>
        <v>1000</v>
      </c>
      <c r="C6" s="7">
        <f>X5+B6</f>
        <v>1000.0</v>
      </c>
      <c r="D6" s="7">
        <f>Y5</f>
        <v>0.0</v>
      </c>
      <c r="E6" s="7">
        <f>Parameters!$M$6*C6</f>
        <v>100.0</v>
      </c>
      <c r="F6" s="7">
        <f>IF(Parameters!$M$5=1,E6,0)</f>
        <v>100.0</v>
      </c>
      <c r="G6" s="7">
        <f>Parameters!$M$27*G5+F6</f>
        <v>198.0</v>
      </c>
      <c r="H6" s="7">
        <f>IF(AND(Parameters!$M$5=1,Parameters!$M$26=1),SUMPRODUCT(--($A$5:A6&lt;A6),--(MOD(A6-$A$5:A6,Parameters!$M$28)=0),$F$5:F6,POWER(Parameters!$M$27,IF(A6-$A$5:A6=0,1,A6-$A$5:A6))),0)</f>
        <v>0</v>
      </c>
      <c r="I6" s="7">
        <f>Parameters!$M$23*I5+B6*Parameters!$M$22</f>
        <v>0.0</v>
      </c>
      <c r="J6" s="7">
        <f>E6*Parameters!$M$14*(1-Parameters!$M$15)</f>
        <v>3000.0</v>
      </c>
      <c r="K6" s="7">
        <f>H6*Parameters!$M$29</f>
        <v>0</v>
      </c>
      <c r="L6" s="7">
        <f>I6*Parameters!$M$24</f>
        <v>0.0</v>
      </c>
      <c r="M6" s="7">
        <f>J6+K6+L6</f>
        <v>3000.0</v>
      </c>
      <c r="N6" s="7">
        <f>C6*Parameters!$M$17+D6*Parameters!$M$18+E6*Parameters!$M$16+I6*Parameters!$M$25+G6*Parameters!$M$30</f>
        <v>319.8</v>
      </c>
      <c r="O6" s="7">
        <f>B6*Parameters!$M$19</f>
        <v>4000</v>
      </c>
      <c r="P6" s="7">
        <f>M6-N6-O6</f>
        <v>-1319.8000000000002</v>
      </c>
      <c r="Q6" s="7">
        <f>Parameters!$M$21</f>
        <v>1000</v>
      </c>
      <c r="R6" s="7">
        <f>P6-Q6</f>
        <v>-2319.8</v>
      </c>
      <c r="S6" s="7">
        <f>IF(A6&lt;1+Parameters!$M$31,0,INDEX($M$5:$M$40,A6-Parameters!$M$31))</f>
        <v>3000.0</v>
      </c>
      <c r="T6" s="7">
        <f>T5+M6-S6</f>
        <v>3000.0</v>
      </c>
      <c r="U6" s="7">
        <f>S6-N6-O6-Q6</f>
        <v>-2319.8</v>
      </c>
      <c r="V6" s="7">
        <f>V5+U6</f>
        <v>-7629.8</v>
      </c>
      <c r="W6" s="7">
        <f>(1-Parameters!$M$7)*(C6-E6)+(1-Parameters!$M$8)*(D6+E6)</f>
        <v>1000.0</v>
      </c>
      <c r="X6" s="7">
        <f>Parameters!$M$7*(C6-E6)+Parameters!$M$8*Parameters!$M$9*(D6+E6)</f>
        <v>0.0</v>
      </c>
      <c r="Y6" s="7">
        <f>Parameters!$M$8*(1-Parameters!$M$9)*(D6+E6)</f>
        <v>0.0</v>
      </c>
      <c r="Z6" s="7">
        <f>POWER(1/(1+Parameters!$M$32),A6-1)*(M6-N6)</f>
        <v>2653.6633663366333</v>
      </c>
    </row>
    <row r="7" spans="1:26">
      <c r="A7" s="7">
        <v>3</v>
      </c>
      <c r="B7" s="7">
        <f>Parameters!$M$20</f>
        <v>1000</v>
      </c>
      <c r="C7" s="7">
        <f>X6+B7</f>
        <v>1000.0</v>
      </c>
      <c r="D7" s="7">
        <f>Y6</f>
        <v>0.0</v>
      </c>
      <c r="E7" s="7">
        <f>Parameters!$M$6*C7</f>
        <v>100.0</v>
      </c>
      <c r="F7" s="7">
        <f>IF(Parameters!$M$5=1,E7,0)</f>
        <v>100.0</v>
      </c>
      <c r="G7" s="7">
        <f>Parameters!$M$27*G6+F7</f>
        <v>294.03999999999996</v>
      </c>
      <c r="H7" s="7">
        <f>IF(AND(Parameters!$M$5=1,Parameters!$M$26=1),SUMPRODUCT(--($A$5:A7&lt;A7),--(MOD(A7-$A$5:A7,Parameters!$M$28)=0),$F$5:F7,POWER(Parameters!$M$27,IF(A7-$A$5:A7=0,1,A7-$A$5:A7))),0)</f>
        <v>0</v>
      </c>
      <c r="I7" s="7">
        <f>Parameters!$M$23*I6+B7*Parameters!$M$22</f>
        <v>0.0</v>
      </c>
      <c r="J7" s="7">
        <f>E7*Parameters!$M$14*(1-Parameters!$M$15)</f>
        <v>3000.0</v>
      </c>
      <c r="K7" s="7">
        <f>H7*Parameters!$M$29</f>
        <v>0</v>
      </c>
      <c r="L7" s="7">
        <f>I7*Parameters!$M$24</f>
        <v>0.0</v>
      </c>
      <c r="M7" s="7">
        <f>J7+K7+L7</f>
        <v>3000.0</v>
      </c>
      <c r="N7" s="7">
        <f>C7*Parameters!$M$17+D7*Parameters!$M$18+E7*Parameters!$M$16+I7*Parameters!$M$25+G7*Parameters!$M$30</f>
        <v>329.404</v>
      </c>
      <c r="O7" s="7">
        <f>B7*Parameters!$M$19</f>
        <v>4000</v>
      </c>
      <c r="P7" s="7">
        <f>M7-N7-O7</f>
        <v>-1329.404</v>
      </c>
      <c r="Q7" s="7">
        <f>Parameters!$M$21</f>
        <v>1000</v>
      </c>
      <c r="R7" s="7">
        <f>P7-Q7</f>
        <v>-2329.404</v>
      </c>
      <c r="S7" s="7">
        <f>IF(A7&lt;1+Parameters!$M$31,0,INDEX($M$5:$M$40,A7-Parameters!$M$31))</f>
        <v>3000.0</v>
      </c>
      <c r="T7" s="7">
        <f>T6+M7-S7</f>
        <v>3000.0</v>
      </c>
      <c r="U7" s="7">
        <f>S7-N7-O7-Q7</f>
        <v>-2329.404</v>
      </c>
      <c r="V7" s="7">
        <f>V6+U7</f>
        <v>-9959.204</v>
      </c>
      <c r="W7" s="7">
        <f>(1-Parameters!$M$7)*(C7-E7)+(1-Parameters!$M$8)*(D7+E7)</f>
        <v>1000.0</v>
      </c>
      <c r="X7" s="7">
        <f>Parameters!$M$7*(C7-E7)+Parameters!$M$8*Parameters!$M$9*(D7+E7)</f>
        <v>0.0</v>
      </c>
      <c r="Y7" s="7">
        <f>Parameters!$M$8*(1-Parameters!$M$9)*(D7+E7)</f>
        <v>0.0</v>
      </c>
      <c r="Z7" s="7">
        <f>POWER(1/(1+Parameters!$M$32),A7-1)*(M7-N7)</f>
        <v>2617.974708361925</v>
      </c>
    </row>
    <row r="8" spans="1:26">
      <c r="A8" s="7">
        <v>4</v>
      </c>
      <c r="B8" s="7">
        <f>Parameters!$M$20</f>
        <v>1000</v>
      </c>
      <c r="C8" s="7">
        <f>X7+B8</f>
        <v>1000.0</v>
      </c>
      <c r="D8" s="7">
        <f>Y7</f>
        <v>0.0</v>
      </c>
      <c r="E8" s="7">
        <f>Parameters!$M$6*C8</f>
        <v>100.0</v>
      </c>
      <c r="F8" s="7">
        <f>IF(Parameters!$M$5=1,E8,0)</f>
        <v>100.0</v>
      </c>
      <c r="G8" s="7">
        <f>Parameters!$M$27*G7+F8</f>
        <v>388.15919999999994</v>
      </c>
      <c r="H8" s="7">
        <f>IF(AND(Parameters!$M$5=1,Parameters!$M$26=1),SUMPRODUCT(--($A$5:A8&lt;A8),--(MOD(A8-$A$5:A8,Parameters!$M$28)=0),$F$5:F8,POWER(Parameters!$M$27,IF(A8-$A$5:A8=0,1,A8-$A$5:A8))),0)</f>
        <v>0</v>
      </c>
      <c r="I8" s="7">
        <f>Parameters!$M$23*I7+B8*Parameters!$M$22</f>
        <v>0.0</v>
      </c>
      <c r="J8" s="7">
        <f>E8*Parameters!$M$14*(1-Parameters!$M$15)</f>
        <v>3000.0</v>
      </c>
      <c r="K8" s="7">
        <f>H8*Parameters!$M$29</f>
        <v>0</v>
      </c>
      <c r="L8" s="7">
        <f>I8*Parameters!$M$24</f>
        <v>0.0</v>
      </c>
      <c r="M8" s="7">
        <f>J8+K8+L8</f>
        <v>3000.0</v>
      </c>
      <c r="N8" s="7">
        <f>C8*Parameters!$M$17+D8*Parameters!$M$18+E8*Parameters!$M$16+I8*Parameters!$M$25+G8*Parameters!$M$30</f>
        <v>338.81592</v>
      </c>
      <c r="O8" s="7">
        <f>B8*Parameters!$M$19</f>
        <v>4000</v>
      </c>
      <c r="P8" s="7">
        <f>M8-N8-O8</f>
        <v>-1338.81592</v>
      </c>
      <c r="Q8" s="7">
        <f>Parameters!$M$21</f>
        <v>1000</v>
      </c>
      <c r="R8" s="7">
        <f>P8-Q8</f>
        <v>-2338.81592</v>
      </c>
      <c r="S8" s="7">
        <f>IF(A8&lt;1+Parameters!$M$31,0,INDEX($M$5:$M$40,A8-Parameters!$M$31))</f>
        <v>3000.0</v>
      </c>
      <c r="T8" s="7">
        <f>T7+M8-S8</f>
        <v>3000.0</v>
      </c>
      <c r="U8" s="7">
        <f>S8-N8-O8-Q8</f>
        <v>-2338.81592</v>
      </c>
      <c r="V8" s="7">
        <f>V7+U8</f>
        <v>-12298.019919999999</v>
      </c>
      <c r="W8" s="7">
        <f>(1-Parameters!$M$7)*(C8-E8)+(1-Parameters!$M$8)*(D8+E8)</f>
        <v>1000.0</v>
      </c>
      <c r="X8" s="7">
        <f>Parameters!$M$7*(C8-E8)+Parameters!$M$8*Parameters!$M$9*(D8+E8)</f>
        <v>0.0</v>
      </c>
      <c r="Y8" s="7">
        <f>Parameters!$M$8*(1-Parameters!$M$9)*(D8+E8)</f>
        <v>0.0</v>
      </c>
      <c r="Z8" s="7">
        <f>POWER(1/(1+Parameters!$M$32),A8-1)*(M8-N8)</f>
        <v>2582.919049869892</v>
      </c>
    </row>
    <row r="9" spans="1:26">
      <c r="A9" s="7">
        <v>5</v>
      </c>
      <c r="B9" s="7">
        <f>Parameters!$M$20</f>
        <v>1000</v>
      </c>
      <c r="C9" s="7">
        <f>X8+B9</f>
        <v>1000.0</v>
      </c>
      <c r="D9" s="7">
        <f>Y8</f>
        <v>0.0</v>
      </c>
      <c r="E9" s="7">
        <f>Parameters!$M$6*C9</f>
        <v>100.0</v>
      </c>
      <c r="F9" s="7">
        <f>IF(Parameters!$M$5=1,E9,0)</f>
        <v>100.0</v>
      </c>
      <c r="G9" s="7">
        <f>Parameters!$M$27*G8+F9</f>
        <v>480.3960159999999</v>
      </c>
      <c r="H9" s="7">
        <f>IF(AND(Parameters!$M$5=1,Parameters!$M$26=1),SUMPRODUCT(--($A$5:A9&lt;A9),--(MOD(A9-$A$5:A9,Parameters!$M$28)=0),$F$5:F9,POWER(Parameters!$M$27,IF(A9-$A$5:A9=0,1,A9-$A$5:A9))),0)</f>
        <v>0</v>
      </c>
      <c r="I9" s="7">
        <f>Parameters!$M$23*I8+B9*Parameters!$M$22</f>
        <v>0.0</v>
      </c>
      <c r="J9" s="7">
        <f>E9*Parameters!$M$14*(1-Parameters!$M$15)</f>
        <v>3000.0</v>
      </c>
      <c r="K9" s="7">
        <f>H9*Parameters!$M$29</f>
        <v>0</v>
      </c>
      <c r="L9" s="7">
        <f>I9*Parameters!$M$24</f>
        <v>0.0</v>
      </c>
      <c r="M9" s="7">
        <f>J9+K9+L9</f>
        <v>3000.0</v>
      </c>
      <c r="N9" s="7">
        <f>C9*Parameters!$M$17+D9*Parameters!$M$18+E9*Parameters!$M$16+I9*Parameters!$M$25+G9*Parameters!$M$30</f>
        <v>348.03960159999997</v>
      </c>
      <c r="O9" s="7">
        <f>B9*Parameters!$M$19</f>
        <v>4000</v>
      </c>
      <c r="P9" s="7">
        <f>M9-N9-O9</f>
        <v>-1348.0396016</v>
      </c>
      <c r="Q9" s="7">
        <f>Parameters!$M$21</f>
        <v>1000</v>
      </c>
      <c r="R9" s="7">
        <f>P9-Q9</f>
        <v>-2348.0396016</v>
      </c>
      <c r="S9" s="7">
        <f>IF(A9&lt;1+Parameters!$M$31,0,INDEX($M$5:$M$40,A9-Parameters!$M$31))</f>
        <v>3000.0</v>
      </c>
      <c r="T9" s="7">
        <f>T8+M9-S9</f>
        <v>3000.0</v>
      </c>
      <c r="U9" s="7">
        <f>S9-N9-O9-Q9</f>
        <v>-2348.0396016</v>
      </c>
      <c r="V9" s="7">
        <f>V8+U9</f>
        <v>-14646.059521599998</v>
      </c>
      <c r="W9" s="7">
        <f>(1-Parameters!$M$7)*(C9-E9)+(1-Parameters!$M$8)*(D9+E9)</f>
        <v>1000.0</v>
      </c>
      <c r="X9" s="7">
        <f>Parameters!$M$7*(C9-E9)+Parameters!$M$8*Parameters!$M$9*(D9+E9)</f>
        <v>0.0</v>
      </c>
      <c r="Y9" s="7">
        <f>Parameters!$M$8*(1-Parameters!$M$9)*(D9+E9)</f>
        <v>0.0</v>
      </c>
      <c r="Z9" s="7">
        <f>POWER(1/(1+Parameters!$M$32),A9-1)*(M9-N9)</f>
        <v>2548.4818172092187</v>
      </c>
    </row>
    <row r="10" spans="1:26">
      <c r="A10" s="7">
        <v>6</v>
      </c>
      <c r="B10" s="7">
        <f>Parameters!$M$20</f>
        <v>1000</v>
      </c>
      <c r="C10" s="7">
        <f>X9+B10</f>
        <v>1000.0</v>
      </c>
      <c r="D10" s="7">
        <f>Y9</f>
        <v>0.0</v>
      </c>
      <c r="E10" s="7">
        <f>Parameters!$M$6*C10</f>
        <v>100.0</v>
      </c>
      <c r="F10" s="7">
        <f>IF(Parameters!$M$5=1,E10,0)</f>
        <v>100.0</v>
      </c>
      <c r="G10" s="7">
        <f>Parameters!$M$27*G9+F10</f>
        <v>570.78809568</v>
      </c>
      <c r="H10" s="7">
        <f>IF(AND(Parameters!$M$5=1,Parameters!$M$26=1),SUMPRODUCT(--($A$5:A10&lt;A10),--(MOD(A10-$A$5:A10,Parameters!$M$28)=0),$F$5:F10,POWER(Parameters!$M$27,IF(A10-$A$5:A10=0,1,A10-$A$5:A10))),0)</f>
        <v>0</v>
      </c>
      <c r="I10" s="7">
        <f>Parameters!$M$23*I9+B10*Parameters!$M$22</f>
        <v>0.0</v>
      </c>
      <c r="J10" s="7">
        <f>E10*Parameters!$M$14*(1-Parameters!$M$15)</f>
        <v>3000.0</v>
      </c>
      <c r="K10" s="7">
        <f>H10*Parameters!$M$29</f>
        <v>0</v>
      </c>
      <c r="L10" s="7">
        <f>I10*Parameters!$M$24</f>
        <v>0.0</v>
      </c>
      <c r="M10" s="7">
        <f>J10+K10+L10</f>
        <v>3000.0</v>
      </c>
      <c r="N10" s="7">
        <f>C10*Parameters!$M$17+D10*Parameters!$M$18+E10*Parameters!$M$16+I10*Parameters!$M$25+G10*Parameters!$M$30</f>
        <v>357.078809568</v>
      </c>
      <c r="O10" s="7">
        <f>B10*Parameters!$M$19</f>
        <v>4000</v>
      </c>
      <c r="P10" s="7">
        <f>M10-N10-O10</f>
        <v>-1357.078809568</v>
      </c>
      <c r="Q10" s="7">
        <f>Parameters!$M$21</f>
        <v>1000</v>
      </c>
      <c r="R10" s="7">
        <f>P10-Q10</f>
        <v>-2357.078809568</v>
      </c>
      <c r="S10" s="7">
        <f>IF(A10&lt;1+Parameters!$M$31,0,INDEX($M$5:$M$40,A10-Parameters!$M$31))</f>
        <v>3000.0</v>
      </c>
      <c r="T10" s="7">
        <f>T9+M10-S10</f>
        <v>3000.0</v>
      </c>
      <c r="U10" s="7">
        <f>S10-N10-O10-Q10</f>
        <v>-2357.078809568</v>
      </c>
      <c r="V10" s="7">
        <f>V9+U10</f>
        <v>-17003.138331167997</v>
      </c>
      <c r="W10" s="7">
        <f>(1-Parameters!$M$7)*(C10-E10)+(1-Parameters!$M$8)*(D10+E10)</f>
        <v>1000.0</v>
      </c>
      <c r="X10" s="7">
        <f>Parameters!$M$7*(C10-E10)+Parameters!$M$8*Parameters!$M$9*(D10+E10)</f>
        <v>0.0</v>
      </c>
      <c r="Y10" s="7">
        <f>Parameters!$M$8*(1-Parameters!$M$9)*(D10+E10)</f>
        <v>0.0</v>
      </c>
      <c r="Z10" s="7">
        <f>POWER(1/(1+Parameters!$M$32),A10-1)*(M10-N10)</f>
        <v>2514.6488277448298</v>
      </c>
    </row>
    <row r="11" spans="1:26">
      <c r="A11" s="7">
        <v>7</v>
      </c>
      <c r="B11" s="7">
        <f>Parameters!$M$20</f>
        <v>1000</v>
      </c>
      <c r="C11" s="7">
        <f>X10+B11</f>
        <v>1000.0</v>
      </c>
      <c r="D11" s="7">
        <f>Y10</f>
        <v>0.0</v>
      </c>
      <c r="E11" s="7">
        <f>Parameters!$M$6*C11</f>
        <v>100.0</v>
      </c>
      <c r="F11" s="7">
        <f>IF(Parameters!$M$5=1,E11,0)</f>
        <v>100.0</v>
      </c>
      <c r="G11" s="7">
        <f>Parameters!$M$27*G10+F11</f>
        <v>659.3723337664</v>
      </c>
      <c r="H11" s="7">
        <f>IF(AND(Parameters!$M$5=1,Parameters!$M$26=1),SUMPRODUCT(--($A$5:A11&lt;A11),--(MOD(A11-$A$5:A11,Parameters!$M$28)=0),$F$5:F11,POWER(Parameters!$M$27,IF(A11-$A$5:A11=0,1,A11-$A$5:A11))),0)</f>
        <v>0</v>
      </c>
      <c r="I11" s="7">
        <f>Parameters!$M$23*I10+B11*Parameters!$M$22</f>
        <v>0.0</v>
      </c>
      <c r="J11" s="7">
        <f>E11*Parameters!$M$14*(1-Parameters!$M$15)</f>
        <v>3000.0</v>
      </c>
      <c r="K11" s="7">
        <f>H11*Parameters!$M$29</f>
        <v>0</v>
      </c>
      <c r="L11" s="7">
        <f>I11*Parameters!$M$24</f>
        <v>0.0</v>
      </c>
      <c r="M11" s="7">
        <f>J11+K11+L11</f>
        <v>3000.0</v>
      </c>
      <c r="N11" s="7">
        <f>C11*Parameters!$M$17+D11*Parameters!$M$18+E11*Parameters!$M$16+I11*Parameters!$M$25+G11*Parameters!$M$30</f>
        <v>365.93723337664</v>
      </c>
      <c r="O11" s="7">
        <f>B11*Parameters!$M$19</f>
        <v>4000</v>
      </c>
      <c r="P11" s="7">
        <f>M11-N11-O11</f>
        <v>-1365.93723337664</v>
      </c>
      <c r="Q11" s="7">
        <f>Parameters!$M$21</f>
        <v>1000</v>
      </c>
      <c r="R11" s="7">
        <f>P11-Q11</f>
        <v>-2365.93723337664</v>
      </c>
      <c r="S11" s="7">
        <f>IF(A11&lt;1+Parameters!$M$31,0,INDEX($M$5:$M$40,A11-Parameters!$M$31))</f>
        <v>3000.0</v>
      </c>
      <c r="T11" s="7">
        <f>T10+M11-S11</f>
        <v>3000.0</v>
      </c>
      <c r="U11" s="7">
        <f>S11-N11-O11-Q11</f>
        <v>-2365.93723337664</v>
      </c>
      <c r="V11" s="7">
        <f>V10+U11</f>
        <v>-19369.075564544637</v>
      </c>
      <c r="W11" s="7">
        <f>(1-Parameters!$M$7)*(C11-E11)+(1-Parameters!$M$8)*(D11+E11)</f>
        <v>1000.0</v>
      </c>
      <c r="X11" s="7">
        <f>Parameters!$M$7*(C11-E11)+Parameters!$M$8*Parameters!$M$9*(D11+E11)</f>
        <v>0.0</v>
      </c>
      <c r="Y11" s="7">
        <f>Parameters!$M$8*(1-Parameters!$M$9)*(D11+E11)</f>
        <v>0.0</v>
      </c>
      <c r="Z11" s="7">
        <f>POWER(1/(1+Parameters!$M$32),A11-1)*(M11-N11)</f>
        <v>2481.40627865805</v>
      </c>
    </row>
    <row r="12" spans="1:26">
      <c r="A12" s="7">
        <v>8</v>
      </c>
      <c r="B12" s="7">
        <f>Parameters!$M$20</f>
        <v>1000</v>
      </c>
      <c r="C12" s="7">
        <f>X11+B12</f>
        <v>1000.0</v>
      </c>
      <c r="D12" s="7">
        <f>Y11</f>
        <v>0.0</v>
      </c>
      <c r="E12" s="7">
        <f>Parameters!$M$6*C12</f>
        <v>100.0</v>
      </c>
      <c r="F12" s="7">
        <f>IF(Parameters!$M$5=1,E12,0)</f>
        <v>100.0</v>
      </c>
      <c r="G12" s="7">
        <f>Parameters!$M$27*G11+F12</f>
        <v>746.1848870910719</v>
      </c>
      <c r="H12" s="7">
        <f>IF(AND(Parameters!$M$5=1,Parameters!$M$26=1),SUMPRODUCT(--($A$5:A12&lt;A12),--(MOD(A12-$A$5:A12,Parameters!$M$28)=0),$F$5:F12,POWER(Parameters!$M$27,IF(A12-$A$5:A12=0,1,A12-$A$5:A12))),0)</f>
        <v>0</v>
      </c>
      <c r="I12" s="7">
        <f>Parameters!$M$23*I11+B12*Parameters!$M$22</f>
        <v>0.0</v>
      </c>
      <c r="J12" s="7">
        <f>E12*Parameters!$M$14*(1-Parameters!$M$15)</f>
        <v>3000.0</v>
      </c>
      <c r="K12" s="7">
        <f>H12*Parameters!$M$29</f>
        <v>0</v>
      </c>
      <c r="L12" s="7">
        <f>I12*Parameters!$M$24</f>
        <v>0.0</v>
      </c>
      <c r="M12" s="7">
        <f>J12+K12+L12</f>
        <v>3000.0</v>
      </c>
      <c r="N12" s="7">
        <f>C12*Parameters!$M$17+D12*Parameters!$M$18+E12*Parameters!$M$16+I12*Parameters!$M$25+G12*Parameters!$M$30</f>
        <v>374.61848870910717</v>
      </c>
      <c r="O12" s="7">
        <f>B12*Parameters!$M$19</f>
        <v>4000</v>
      </c>
      <c r="P12" s="7">
        <f>M12-N12-O12</f>
        <v>-1374.6184887091072</v>
      </c>
      <c r="Q12" s="7">
        <f>Parameters!$M$21</f>
        <v>1000</v>
      </c>
      <c r="R12" s="7">
        <f>P12-Q12</f>
        <v>-2374.618488709107</v>
      </c>
      <c r="S12" s="7">
        <f>IF(A12&lt;1+Parameters!$M$31,0,INDEX($M$5:$M$40,A12-Parameters!$M$31))</f>
        <v>3000.0</v>
      </c>
      <c r="T12" s="7">
        <f>T11+M12-S12</f>
        <v>3000.0</v>
      </c>
      <c r="U12" s="7">
        <f>S12-N12-O12-Q12</f>
        <v>-2374.618488709107</v>
      </c>
      <c r="V12" s="7">
        <f>V11+U12</f>
        <v>-21743.694053253745</v>
      </c>
      <c r="W12" s="7">
        <f>(1-Parameters!$M$7)*(C12-E12)+(1-Parameters!$M$8)*(D12+E12)</f>
        <v>1000.0</v>
      </c>
      <c r="X12" s="7">
        <f>Parameters!$M$7*(C12-E12)+Parameters!$M$8*Parameters!$M$9*(D12+E12)</f>
        <v>0.0</v>
      </c>
      <c r="Y12" s="7">
        <f>Parameters!$M$8*(1-Parameters!$M$9)*(D12+E12)</f>
        <v>0.0</v>
      </c>
      <c r="Z12" s="7">
        <f>POWER(1/(1+Parameters!$M$32),A12-1)*(M12-N12)</f>
        <v>2448.7407360753205</v>
      </c>
    </row>
    <row r="13" spans="1:26">
      <c r="A13" s="7">
        <v>9</v>
      </c>
      <c r="B13" s="7">
        <f>Parameters!$M$20</f>
        <v>1000</v>
      </c>
      <c r="C13" s="7">
        <f>X12+B13</f>
        <v>1000.0</v>
      </c>
      <c r="D13" s="7">
        <f>Y12</f>
        <v>0.0</v>
      </c>
      <c r="E13" s="7">
        <f>Parameters!$M$6*C13</f>
        <v>100.0</v>
      </c>
      <c r="F13" s="7">
        <f>IF(Parameters!$M$5=1,E13,0)</f>
        <v>100.0</v>
      </c>
      <c r="G13" s="7">
        <f>Parameters!$M$27*G12+F13</f>
        <v>831.2611893492505</v>
      </c>
      <c r="H13" s="7">
        <f>IF(AND(Parameters!$M$5=1,Parameters!$M$26=1),SUMPRODUCT(--($A$5:A13&lt;A13),--(MOD(A13-$A$5:A13,Parameters!$M$28)=0),$F$5:F13,POWER(Parameters!$M$27,IF(A13-$A$5:A13=0,1,A13-$A$5:A13))),0)</f>
        <v>0</v>
      </c>
      <c r="I13" s="7">
        <f>Parameters!$M$23*I12+B13*Parameters!$M$22</f>
        <v>0.0</v>
      </c>
      <c r="J13" s="7">
        <f>E13*Parameters!$M$14*(1-Parameters!$M$15)</f>
        <v>3000.0</v>
      </c>
      <c r="K13" s="7">
        <f>H13*Parameters!$M$29</f>
        <v>0</v>
      </c>
      <c r="L13" s="7">
        <f>I13*Parameters!$M$24</f>
        <v>0.0</v>
      </c>
      <c r="M13" s="7">
        <f>J13+K13+L13</f>
        <v>3000.0</v>
      </c>
      <c r="N13" s="7">
        <f>C13*Parameters!$M$17+D13*Parameters!$M$18+E13*Parameters!$M$16+I13*Parameters!$M$25+G13*Parameters!$M$30</f>
        <v>383.12611893492505</v>
      </c>
      <c r="O13" s="7">
        <f>B13*Parameters!$M$19</f>
        <v>4000</v>
      </c>
      <c r="P13" s="7">
        <f>M13-N13-O13</f>
        <v>-1383.1261189349252</v>
      </c>
      <c r="Q13" s="7">
        <f>Parameters!$M$21</f>
        <v>1000</v>
      </c>
      <c r="R13" s="7">
        <f>P13-Q13</f>
        <v>-2383.126118934925</v>
      </c>
      <c r="S13" s="7">
        <f>IF(A13&lt;1+Parameters!$M$31,0,INDEX($M$5:$M$40,A13-Parameters!$M$31))</f>
        <v>3000.0</v>
      </c>
      <c r="T13" s="7">
        <f>T12+M13-S13</f>
        <v>3000.0</v>
      </c>
      <c r="U13" s="7">
        <f>S13-N13-O13-Q13</f>
        <v>-2383.126118934925</v>
      </c>
      <c r="V13" s="7">
        <f>V12+U13</f>
        <v>-24126.82017218867</v>
      </c>
      <c r="W13" s="7">
        <f>(1-Parameters!$M$7)*(C13-E13)+(1-Parameters!$M$8)*(D13+E13)</f>
        <v>1000.0</v>
      </c>
      <c r="X13" s="7">
        <f>Parameters!$M$7*(C13-E13)+Parameters!$M$8*Parameters!$M$9*(D13+E13)</f>
        <v>0.0</v>
      </c>
      <c r="Y13" s="7">
        <f>Parameters!$M$8*(1-Parameters!$M$9)*(D13+E13)</f>
        <v>0.0</v>
      </c>
      <c r="Z13" s="7">
        <f>POWER(1/(1+Parameters!$M$32),A13-1)*(M13-N13)</f>
        <v>2416.63912451577</v>
      </c>
    </row>
    <row r="14" spans="1:26">
      <c r="A14" s="7">
        <v>10</v>
      </c>
      <c r="B14" s="7">
        <f>Parameters!$M$20</f>
        <v>1000</v>
      </c>
      <c r="C14" s="7">
        <f>X13+B14</f>
        <v>1000.0</v>
      </c>
      <c r="D14" s="7">
        <f>Y13</f>
        <v>0.0</v>
      </c>
      <c r="E14" s="7">
        <f>Parameters!$M$6*C14</f>
        <v>100.0</v>
      </c>
      <c r="F14" s="7">
        <f>IF(Parameters!$M$5=1,E14,0)</f>
        <v>100.0</v>
      </c>
      <c r="G14" s="7">
        <f>Parameters!$M$27*G13+F14</f>
        <v>914.6359655622655</v>
      </c>
      <c r="H14" s="7">
        <f>IF(AND(Parameters!$M$5=1,Parameters!$M$26=1),SUMPRODUCT(--($A$5:A14&lt;A14),--(MOD(A14-$A$5:A14,Parameters!$M$28)=0),$F$5:F14,POWER(Parameters!$M$27,IF(A14-$A$5:A14=0,1,A14-$A$5:A14))),0)</f>
        <v>0</v>
      </c>
      <c r="I14" s="7">
        <f>Parameters!$M$23*I13+B14*Parameters!$M$22</f>
        <v>0.0</v>
      </c>
      <c r="J14" s="7">
        <f>E14*Parameters!$M$14*(1-Parameters!$M$15)</f>
        <v>3000.0</v>
      </c>
      <c r="K14" s="7">
        <f>H14*Parameters!$M$29</f>
        <v>0</v>
      </c>
      <c r="L14" s="7">
        <f>I14*Parameters!$M$24</f>
        <v>0.0</v>
      </c>
      <c r="M14" s="7">
        <f>J14+K14+L14</f>
        <v>3000.0</v>
      </c>
      <c r="N14" s="7">
        <f>C14*Parameters!$M$17+D14*Parameters!$M$18+E14*Parameters!$M$16+I14*Parameters!$M$25+G14*Parameters!$M$30</f>
        <v>391.46359655622655</v>
      </c>
      <c r="O14" s="7">
        <f>B14*Parameters!$M$19</f>
        <v>4000</v>
      </c>
      <c r="P14" s="7">
        <f>M14-N14-O14</f>
        <v>-1391.4635965562265</v>
      </c>
      <c r="Q14" s="7">
        <f>Parameters!$M$21</f>
        <v>1000</v>
      </c>
      <c r="R14" s="7">
        <f>P14-Q14</f>
        <v>-2391.4635965562265</v>
      </c>
      <c r="S14" s="7">
        <f>IF(A14&lt;1+Parameters!$M$31,0,INDEX($M$5:$M$40,A14-Parameters!$M$31))</f>
        <v>3000.0</v>
      </c>
      <c r="T14" s="7">
        <f>T13+M14-S14</f>
        <v>3000.0</v>
      </c>
      <c r="U14" s="7">
        <f>S14-N14-O14-Q14</f>
        <v>-2391.4635965562265</v>
      </c>
      <c r="V14" s="7">
        <f>V13+U14</f>
        <v>-26518.283768744895</v>
      </c>
      <c r="W14" s="7">
        <f>(1-Parameters!$M$7)*(C14-E14)+(1-Parameters!$M$8)*(D14+E14)</f>
        <v>1000.0</v>
      </c>
      <c r="X14" s="7">
        <f>Parameters!$M$7*(C14-E14)+Parameters!$M$8*Parameters!$M$9*(D14+E14)</f>
        <v>0.0</v>
      </c>
      <c r="Y14" s="7">
        <f>Parameters!$M$8*(1-Parameters!$M$9)*(D14+E14)</f>
        <v>0.0</v>
      </c>
      <c r="Z14" s="7">
        <f>POWER(1/(1+Parameters!$M$32),A14-1)*(M14-N14)</f>
        <v>2385.088716648195</v>
      </c>
    </row>
    <row r="15" spans="1:26">
      <c r="A15" s="7">
        <v>11</v>
      </c>
      <c r="B15" s="7">
        <f>Parameters!$M$20</f>
        <v>1000</v>
      </c>
      <c r="C15" s="7">
        <f>X14+B15</f>
        <v>1000.0</v>
      </c>
      <c r="D15" s="7">
        <f>Y14</f>
        <v>0.0</v>
      </c>
      <c r="E15" s="7">
        <f>Parameters!$M$6*C15</f>
        <v>100.0</v>
      </c>
      <c r="F15" s="7">
        <f>IF(Parameters!$M$5=1,E15,0)</f>
        <v>100.0</v>
      </c>
      <c r="G15" s="7">
        <f>Parameters!$M$27*G14+F15</f>
        <v>996.3432462510201</v>
      </c>
      <c r="H15" s="7">
        <f>IF(AND(Parameters!$M$5=1,Parameters!$M$26=1),SUMPRODUCT(--($A$5:A15&lt;A15),--(MOD(A15-$A$5:A15,Parameters!$M$28)=0),$F$5:F15,POWER(Parameters!$M$27,IF(A15-$A$5:A15=0,1,A15-$A$5:A15))),0)</f>
        <v>0</v>
      </c>
      <c r="I15" s="7">
        <f>Parameters!$M$23*I14+B15*Parameters!$M$22</f>
        <v>0.0</v>
      </c>
      <c r="J15" s="7">
        <f>E15*Parameters!$M$14*(1-Parameters!$M$15)</f>
        <v>3000.0</v>
      </c>
      <c r="K15" s="7">
        <f>H15*Parameters!$M$29</f>
        <v>0</v>
      </c>
      <c r="L15" s="7">
        <f>I15*Parameters!$M$24</f>
        <v>0.0</v>
      </c>
      <c r="M15" s="7">
        <f>J15+K15+L15</f>
        <v>3000.0</v>
      </c>
      <c r="N15" s="7">
        <f>C15*Parameters!$M$17+D15*Parameters!$M$18+E15*Parameters!$M$16+I15*Parameters!$M$25+G15*Parameters!$M$30</f>
        <v>399.634324625102</v>
      </c>
      <c r="O15" s="7">
        <f>B15*Parameters!$M$19</f>
        <v>4000</v>
      </c>
      <c r="P15" s="7">
        <f>M15-N15-O15</f>
        <v>-1399.6343246251022</v>
      </c>
      <c r="Q15" s="7">
        <f>Parameters!$M$21</f>
        <v>1000</v>
      </c>
      <c r="R15" s="7">
        <f>P15-Q15</f>
        <v>-2399.634324625102</v>
      </c>
      <c r="S15" s="7">
        <f>IF(A15&lt;1+Parameters!$M$31,0,INDEX($M$5:$M$40,A15-Parameters!$M$31))</f>
        <v>3000.0</v>
      </c>
      <c r="T15" s="7">
        <f>T14+M15-S15</f>
        <v>3000.0</v>
      </c>
      <c r="U15" s="7">
        <f>S15-N15-O15-Q15</f>
        <v>-2399.634324625102</v>
      </c>
      <c r="V15" s="7">
        <f>V14+U15</f>
        <v>-28917.918093369997</v>
      </c>
      <c r="W15" s="7">
        <f>(1-Parameters!$M$7)*(C15-E15)+(1-Parameters!$M$8)*(D15+E15)</f>
        <v>1000.0</v>
      </c>
      <c r="X15" s="7">
        <f>Parameters!$M$7*(C15-E15)+Parameters!$M$8*Parameters!$M$9*(D15+E15)</f>
        <v>0.0</v>
      </c>
      <c r="Y15" s="7">
        <f>Parameters!$M$8*(1-Parameters!$M$9)*(D15+E15)</f>
        <v>0.0</v>
      </c>
      <c r="Z15" s="7">
        <f>POWER(1/(1+Parameters!$M$32),A15-1)*(M15-N15)</f>
        <v>2354.0771233483038</v>
      </c>
    </row>
    <row r="16" spans="1:26">
      <c r="A16" s="7">
        <v>12</v>
      </c>
      <c r="B16" s="7">
        <f>Parameters!$M$20</f>
        <v>1000</v>
      </c>
      <c r="C16" s="7">
        <f>X15+B16</f>
        <v>1000.0</v>
      </c>
      <c r="D16" s="7">
        <f>Y15</f>
        <v>0.0</v>
      </c>
      <c r="E16" s="7">
        <f>Parameters!$M$6*C16</f>
        <v>100.0</v>
      </c>
      <c r="F16" s="7">
        <f>IF(Parameters!$M$5=1,E16,0)</f>
        <v>100.0</v>
      </c>
      <c r="G16" s="7">
        <f>Parameters!$M$27*G15+F16</f>
        <v>1076.4163813259997</v>
      </c>
      <c r="H16" s="7">
        <f>IF(AND(Parameters!$M$5=1,Parameters!$M$26=1),SUMPRODUCT(--($A$5:A16&lt;A16),--(MOD(A16-$A$5:A16,Parameters!$M$28)=0),$F$5:F16,POWER(Parameters!$M$27,IF(A16-$A$5:A16=0,1,A16-$A$5:A16))),0)</f>
        <v>0</v>
      </c>
      <c r="I16" s="7">
        <f>Parameters!$M$23*I15+B16*Parameters!$M$22</f>
        <v>0.0</v>
      </c>
      <c r="J16" s="7">
        <f>E16*Parameters!$M$14*(1-Parameters!$M$15)</f>
        <v>3000.0</v>
      </c>
      <c r="K16" s="7">
        <f>H16*Parameters!$M$29</f>
        <v>0</v>
      </c>
      <c r="L16" s="7">
        <f>I16*Parameters!$M$24</f>
        <v>0.0</v>
      </c>
      <c r="M16" s="7">
        <f>J16+K16+L16</f>
        <v>3000.0</v>
      </c>
      <c r="N16" s="7">
        <f>C16*Parameters!$M$17+D16*Parameters!$M$18+E16*Parameters!$M$16+I16*Parameters!$M$25+G16*Parameters!$M$30</f>
        <v>407.64163813259995</v>
      </c>
      <c r="O16" s="7">
        <f>B16*Parameters!$M$19</f>
        <v>4000</v>
      </c>
      <c r="P16" s="7">
        <f>M16-N16-O16</f>
        <v>-1407.6416381325998</v>
      </c>
      <c r="Q16" s="7">
        <f>Parameters!$M$21</f>
        <v>1000</v>
      </c>
      <c r="R16" s="7">
        <f>P16-Q16</f>
        <v>-2407.6416381326</v>
      </c>
      <c r="S16" s="7">
        <f>IF(A16&lt;1+Parameters!$M$31,0,INDEX($M$5:$M$40,A16-Parameters!$M$31))</f>
        <v>3000.0</v>
      </c>
      <c r="T16" s="7">
        <f>T15+M16-S16</f>
        <v>3000.0</v>
      </c>
      <c r="U16" s="7">
        <f>S16-N16-O16-Q16</f>
        <v>-2407.6416381326</v>
      </c>
      <c r="V16" s="7">
        <f>V15+U16</f>
        <v>-31325.559731502595</v>
      </c>
      <c r="W16" s="7">
        <f>(1-Parameters!$M$7)*(C16-E16)+(1-Parameters!$M$8)*(D16+E16)</f>
        <v>1000.0</v>
      </c>
      <c r="X16" s="7">
        <f>Parameters!$M$7*(C16-E16)+Parameters!$M$8*Parameters!$M$9*(D16+E16)</f>
        <v>0.0</v>
      </c>
      <c r="Y16" s="7">
        <f>Parameters!$M$8*(1-Parameters!$M$9)*(D16+E16)</f>
        <v>0.0</v>
      </c>
      <c r="Z16" s="7">
        <f>POWER(1/(1+Parameters!$M$32),A16-1)*(M16-N16)</f>
        <v>2323.592284047356</v>
      </c>
    </row>
    <row r="17" spans="1:26">
      <c r="A17" s="7">
        <v>13</v>
      </c>
      <c r="B17" s="7">
        <f>Parameters!$M$20</f>
        <v>1000</v>
      </c>
      <c r="C17" s="7">
        <f>X16+B17</f>
        <v>1000.0</v>
      </c>
      <c r="D17" s="7">
        <f>Y16</f>
        <v>0.0</v>
      </c>
      <c r="E17" s="7">
        <f>Parameters!$M$6*C17</f>
        <v>100.0</v>
      </c>
      <c r="F17" s="7">
        <f>IF(Parameters!$M$5=1,E17,0)</f>
        <v>100.0</v>
      </c>
      <c r="G17" s="7">
        <f>Parameters!$M$27*G16+F17</f>
        <v>1154.8880536994798</v>
      </c>
      <c r="H17" s="7">
        <f>IF(AND(Parameters!$M$5=1,Parameters!$M$26=1),SUMPRODUCT(--($A$5:A17&lt;A17),--(MOD(A17-$A$5:A17,Parameters!$M$28)=0),$F$5:F17,POWER(Parameters!$M$27,IF(A17-$A$5:A17=0,1,A17-$A$5:A17))),0)</f>
        <v>78.47167237347999</v>
      </c>
      <c r="I17" s="7">
        <f>Parameters!$M$23*I16+B17*Parameters!$M$22</f>
        <v>0.0</v>
      </c>
      <c r="J17" s="7">
        <f>E17*Parameters!$M$14*(1-Parameters!$M$15)</f>
        <v>3000.0</v>
      </c>
      <c r="K17" s="7">
        <f>H17*Parameters!$M$29</f>
        <v>1177.0750856021998</v>
      </c>
      <c r="L17" s="7">
        <f>I17*Parameters!$M$24</f>
        <v>0.0</v>
      </c>
      <c r="M17" s="7">
        <f>J17+K17+L17</f>
        <v>4177.0750856022</v>
      </c>
      <c r="N17" s="7">
        <f>C17*Parameters!$M$17+D17*Parameters!$M$18+E17*Parameters!$M$16+I17*Parameters!$M$25+G17*Parameters!$M$30</f>
        <v>415.48880536994795</v>
      </c>
      <c r="O17" s="7">
        <f>B17*Parameters!$M$19</f>
        <v>4000</v>
      </c>
      <c r="P17" s="7">
        <f>M17-N17-O17</f>
        <v>-238.41371976774826</v>
      </c>
      <c r="Q17" s="7">
        <f>Parameters!$M$21</f>
        <v>1000</v>
      </c>
      <c r="R17" s="7">
        <f>P17-Q17</f>
        <v>-1238.4137197677483</v>
      </c>
      <c r="S17" s="7">
        <f>IF(A17&lt;1+Parameters!$M$31,0,INDEX($M$5:$M$40,A17-Parameters!$M$31))</f>
        <v>3000.0</v>
      </c>
      <c r="T17" s="7">
        <f>T16+M17-S17</f>
        <v>4177.0750856022</v>
      </c>
      <c r="U17" s="7">
        <f>S17-N17-O17-Q17</f>
        <v>-2415.488805369948</v>
      </c>
      <c r="V17" s="7">
        <f>V16+U17</f>
        <v>-33741.04853687254</v>
      </c>
      <c r="W17" s="7">
        <f>(1-Parameters!$M$7)*(C17-E17)+(1-Parameters!$M$8)*(D17+E17)</f>
        <v>1000.0</v>
      </c>
      <c r="X17" s="7">
        <f>Parameters!$M$7*(C17-E17)+Parameters!$M$8*Parameters!$M$9*(D17+E17)</f>
        <v>0.0</v>
      </c>
      <c r="Y17" s="7">
        <f>Parameters!$M$8*(1-Parameters!$M$9)*(D17+E17)</f>
        <v>0.0</v>
      </c>
      <c r="Z17" s="7">
        <f>POWER(1/(1+Parameters!$M$32),A17-1)*(M17-N17)</f>
        <v>3338.2168301601428</v>
      </c>
    </row>
    <row r="18" spans="1:26">
      <c r="A18" s="7">
        <v>14</v>
      </c>
      <c r="B18" s="7">
        <f>Parameters!$M$20</f>
        <v>1000</v>
      </c>
      <c r="C18" s="7">
        <f>X17+B18</f>
        <v>1000.0</v>
      </c>
      <c r="D18" s="7">
        <f>Y17</f>
        <v>0.0</v>
      </c>
      <c r="E18" s="7">
        <f>Parameters!$M$6*C18</f>
        <v>100.0</v>
      </c>
      <c r="F18" s="7">
        <f>IF(Parameters!$M$5=1,E18,0)</f>
        <v>100.0</v>
      </c>
      <c r="G18" s="7">
        <f>Parameters!$M$27*G17+F18</f>
        <v>1231.79029262549</v>
      </c>
      <c r="H18" s="7">
        <f>IF(AND(Parameters!$M$5=1,Parameters!$M$26=1),SUMPRODUCT(--($A$5:A18&lt;A18),--(MOD(A18-$A$5:A18,Parameters!$M$28)=0),$F$5:F18,POWER(Parameters!$M$27,IF(A18-$A$5:A18=0,1,A18-$A$5:A18))),0)</f>
        <v>78.47167237347999</v>
      </c>
      <c r="I18" s="7">
        <f>Parameters!$M$23*I17+B18*Parameters!$M$22</f>
        <v>0.0</v>
      </c>
      <c r="J18" s="7">
        <f>E18*Parameters!$M$14*(1-Parameters!$M$15)</f>
        <v>3000.0</v>
      </c>
      <c r="K18" s="7">
        <f>H18*Parameters!$M$29</f>
        <v>1177.0750856021998</v>
      </c>
      <c r="L18" s="7">
        <f>I18*Parameters!$M$24</f>
        <v>0.0</v>
      </c>
      <c r="M18" s="7">
        <f>J18+K18+L18</f>
        <v>4177.0750856022</v>
      </c>
      <c r="N18" s="7">
        <f>C18*Parameters!$M$17+D18*Parameters!$M$18+E18*Parameters!$M$16+I18*Parameters!$M$25+G18*Parameters!$M$30</f>
        <v>423.179029262549</v>
      </c>
      <c r="O18" s="7">
        <f>B18*Parameters!$M$19</f>
        <v>4000</v>
      </c>
      <c r="P18" s="7">
        <f>M18-N18-O18</f>
        <v>-246.10394366034961</v>
      </c>
      <c r="Q18" s="7">
        <f>Parameters!$M$21</f>
        <v>1000</v>
      </c>
      <c r="R18" s="7">
        <f>P18-Q18</f>
        <v>-1246.1039436603496</v>
      </c>
      <c r="S18" s="7">
        <f>IF(A18&lt;1+Parameters!$M$31,0,INDEX($M$5:$M$40,A18-Parameters!$M$31))</f>
        <v>4177.0750856022</v>
      </c>
      <c r="T18" s="7">
        <f>T17+M18-S18</f>
        <v>4177.0750856022</v>
      </c>
      <c r="U18" s="7">
        <f>S18-N18-O18-Q18</f>
        <v>-1246.1039436603496</v>
      </c>
      <c r="V18" s="7">
        <f>V17+U18</f>
        <v>-34987.152480532895</v>
      </c>
      <c r="W18" s="7">
        <f>(1-Parameters!$M$7)*(C18-E18)+(1-Parameters!$M$8)*(D18+E18)</f>
        <v>1000.0</v>
      </c>
      <c r="X18" s="7">
        <f>Parameters!$M$7*(C18-E18)+Parameters!$M$8*Parameters!$M$9*(D18+E18)</f>
        <v>0.0</v>
      </c>
      <c r="Y18" s="7">
        <f>Parameters!$M$8*(1-Parameters!$M$9)*(D18+E18)</f>
        <v>0.0</v>
      </c>
      <c r="Z18" s="7">
        <f>POWER(1/(1+Parameters!$M$32),A18-1)*(M18-N18)</f>
        <v>3298.408066261919</v>
      </c>
    </row>
    <row r="19" spans="1:26">
      <c r="A19" s="7">
        <v>15</v>
      </c>
      <c r="B19" s="7">
        <f>Parameters!$M$20</f>
        <v>1000</v>
      </c>
      <c r="C19" s="7">
        <f>X18+B19</f>
        <v>1000.0</v>
      </c>
      <c r="D19" s="7">
        <f>Y18</f>
        <v>0.0</v>
      </c>
      <c r="E19" s="7">
        <f>Parameters!$M$6*C19</f>
        <v>100.0</v>
      </c>
      <c r="F19" s="7">
        <f>IF(Parameters!$M$5=1,E19,0)</f>
        <v>100.0</v>
      </c>
      <c r="G19" s="7">
        <f>Parameters!$M$27*G18+F19</f>
        <v>1307.1544867729804</v>
      </c>
      <c r="H19" s="7">
        <f>IF(AND(Parameters!$M$5=1,Parameters!$M$26=1),SUMPRODUCT(--($A$5:A19&lt;A19),--(MOD(A19-$A$5:A19,Parameters!$M$28)=0),$F$5:F19,POWER(Parameters!$M$27,IF(A19-$A$5:A19=0,1,A19-$A$5:A19))),0)</f>
        <v>78.47167237347999</v>
      </c>
      <c r="I19" s="7">
        <f>Parameters!$M$23*I18+B19*Parameters!$M$22</f>
        <v>0.0</v>
      </c>
      <c r="J19" s="7">
        <f>E19*Parameters!$M$14*(1-Parameters!$M$15)</f>
        <v>3000.0</v>
      </c>
      <c r="K19" s="7">
        <f>H19*Parameters!$M$29</f>
        <v>1177.0750856021998</v>
      </c>
      <c r="L19" s="7">
        <f>I19*Parameters!$M$24</f>
        <v>0.0</v>
      </c>
      <c r="M19" s="7">
        <f>J19+K19+L19</f>
        <v>4177.0750856022</v>
      </c>
      <c r="N19" s="7">
        <f>C19*Parameters!$M$17+D19*Parameters!$M$18+E19*Parameters!$M$16+I19*Parameters!$M$25+G19*Parameters!$M$30</f>
        <v>430.715448677298</v>
      </c>
      <c r="O19" s="7">
        <f>B19*Parameters!$M$19</f>
        <v>4000</v>
      </c>
      <c r="P19" s="7">
        <f>M19-N19-O19</f>
        <v>-253.64036307509832</v>
      </c>
      <c r="Q19" s="7">
        <f>Parameters!$M$21</f>
        <v>1000</v>
      </c>
      <c r="R19" s="7">
        <f>P19-Q19</f>
        <v>-1253.6403630750983</v>
      </c>
      <c r="S19" s="7">
        <f>IF(A19&lt;1+Parameters!$M$31,0,INDEX($M$5:$M$40,A19-Parameters!$M$31))</f>
        <v>4177.0750856022</v>
      </c>
      <c r="T19" s="7">
        <f>T18+M19-S19</f>
        <v>4177.0750856022</v>
      </c>
      <c r="U19" s="7">
        <f>S19-N19-O19-Q19</f>
        <v>-1253.6403630750983</v>
      </c>
      <c r="V19" s="7">
        <f>V18+U19</f>
        <v>-36240.792843608</v>
      </c>
      <c r="W19" s="7">
        <f>(1-Parameters!$M$7)*(C19-E19)+(1-Parameters!$M$8)*(D19+E19)</f>
        <v>1000.0</v>
      </c>
      <c r="X19" s="7">
        <f>Parameters!$M$7*(C19-E19)+Parameters!$M$8*Parameters!$M$9*(D19+E19)</f>
        <v>0.0</v>
      </c>
      <c r="Y19" s="7">
        <f>Parameters!$M$8*(1-Parameters!$M$9)*(D19+E19)</f>
        <v>0.0</v>
      </c>
      <c r="Z19" s="7">
        <f>POWER(1/(1+Parameters!$M$32),A19-1)*(M19-N19)</f>
        <v>3259.194154841335</v>
      </c>
    </row>
    <row r="20" spans="1:26">
      <c r="A20" s="7">
        <v>16</v>
      </c>
      <c r="B20" s="7">
        <f>Parameters!$M$20</f>
        <v>1000</v>
      </c>
      <c r="C20" s="7">
        <f>X19+B20</f>
        <v>1000.0</v>
      </c>
      <c r="D20" s="7">
        <f>Y19</f>
        <v>0.0</v>
      </c>
      <c r="E20" s="7">
        <f>Parameters!$M$6*C20</f>
        <v>100.0</v>
      </c>
      <c r="F20" s="7">
        <f>IF(Parameters!$M$5=1,E20,0)</f>
        <v>100.0</v>
      </c>
      <c r="G20" s="7">
        <f>Parameters!$M$27*G19+F20</f>
        <v>1381.0113970375207</v>
      </c>
      <c r="H20" s="7">
        <f>IF(AND(Parameters!$M$5=1,Parameters!$M$26=1),SUMPRODUCT(--($A$5:A20&lt;A20),--(MOD(A20-$A$5:A20,Parameters!$M$28)=0),$F$5:F20,POWER(Parameters!$M$27,IF(A20-$A$5:A20=0,1,A20-$A$5:A20))),0)</f>
        <v>78.47167237347999</v>
      </c>
      <c r="I20" s="7">
        <f>Parameters!$M$23*I19+B20*Parameters!$M$22</f>
        <v>0.0</v>
      </c>
      <c r="J20" s="7">
        <f>E20*Parameters!$M$14*(1-Parameters!$M$15)</f>
        <v>3000.0</v>
      </c>
      <c r="K20" s="7">
        <f>H20*Parameters!$M$29</f>
        <v>1177.0750856021998</v>
      </c>
      <c r="L20" s="7">
        <f>I20*Parameters!$M$24</f>
        <v>0.0</v>
      </c>
      <c r="M20" s="7">
        <f>J20+K20+L20</f>
        <v>4177.0750856022</v>
      </c>
      <c r="N20" s="7">
        <f>C20*Parameters!$M$17+D20*Parameters!$M$18+E20*Parameters!$M$16+I20*Parameters!$M$25+G20*Parameters!$M$30</f>
        <v>438.1011397037521</v>
      </c>
      <c r="O20" s="7">
        <f>B20*Parameters!$M$19</f>
        <v>4000</v>
      </c>
      <c r="P20" s="7">
        <f>M20-N20-O20</f>
        <v>-261.0260541015523</v>
      </c>
      <c r="Q20" s="7">
        <f>Parameters!$M$21</f>
        <v>1000</v>
      </c>
      <c r="R20" s="7">
        <f>P20-Q20</f>
        <v>-1261.0260541015523</v>
      </c>
      <c r="S20" s="7">
        <f>IF(A20&lt;1+Parameters!$M$31,0,INDEX($M$5:$M$40,A20-Parameters!$M$31))</f>
        <v>4177.0750856022</v>
      </c>
      <c r="T20" s="7">
        <f>T19+M20-S20</f>
        <v>4177.0750856022</v>
      </c>
      <c r="U20" s="7">
        <f>S20-N20-O20-Q20</f>
        <v>-1261.0260541015523</v>
      </c>
      <c r="V20" s="7">
        <f>V19+U20</f>
        <v>-37501.81889770955</v>
      </c>
      <c r="W20" s="7">
        <f>(1-Parameters!$M$7)*(C20-E20)+(1-Parameters!$M$8)*(D20+E20)</f>
        <v>1000.0</v>
      </c>
      <c r="X20" s="7">
        <f>Parameters!$M$7*(C20-E20)+Parameters!$M$8*Parameters!$M$9*(D20+E20)</f>
        <v>0.0</v>
      </c>
      <c r="Y20" s="7">
        <f>Parameters!$M$8*(1-Parameters!$M$9)*(D20+E20)</f>
        <v>0.0</v>
      </c>
      <c r="Z20" s="7">
        <f>POWER(1/(1+Parameters!$M$32),A20-1)*(M20-N20)</f>
        <v>3220.563244696619</v>
      </c>
    </row>
    <row r="21" spans="1:26">
      <c r="A21" s="7">
        <v>17</v>
      </c>
      <c r="B21" s="7">
        <f>Parameters!$M$20</f>
        <v>1000</v>
      </c>
      <c r="C21" s="7">
        <f>X20+B21</f>
        <v>1000.0</v>
      </c>
      <c r="D21" s="7">
        <f>Y20</f>
        <v>0.0</v>
      </c>
      <c r="E21" s="7">
        <f>Parameters!$M$6*C21</f>
        <v>100.0</v>
      </c>
      <c r="F21" s="7">
        <f>IF(Parameters!$M$5=1,E21,0)</f>
        <v>100.0</v>
      </c>
      <c r="G21" s="7">
        <f>Parameters!$M$27*G20+F21</f>
        <v>1453.3911690967702</v>
      </c>
      <c r="H21" s="7">
        <f>IF(AND(Parameters!$M$5=1,Parameters!$M$26=1),SUMPRODUCT(--($A$5:A21&lt;A21),--(MOD(A21-$A$5:A21,Parameters!$M$28)=0),$F$5:F21,POWER(Parameters!$M$27,IF(A21-$A$5:A21=0,1,A21-$A$5:A21))),0)</f>
        <v>78.47167237347999</v>
      </c>
      <c r="I21" s="7">
        <f>Parameters!$M$23*I20+B21*Parameters!$M$22</f>
        <v>0.0</v>
      </c>
      <c r="J21" s="7">
        <f>E21*Parameters!$M$14*(1-Parameters!$M$15)</f>
        <v>3000.0</v>
      </c>
      <c r="K21" s="7">
        <f>H21*Parameters!$M$29</f>
        <v>1177.0750856021998</v>
      </c>
      <c r="L21" s="7">
        <f>I21*Parameters!$M$24</f>
        <v>0.0</v>
      </c>
      <c r="M21" s="7">
        <f>J21+K21+L21</f>
        <v>4177.0750856022</v>
      </c>
      <c r="N21" s="7">
        <f>C21*Parameters!$M$17+D21*Parameters!$M$18+E21*Parameters!$M$16+I21*Parameters!$M$25+G21*Parameters!$M$30</f>
        <v>445.33911690967705</v>
      </c>
      <c r="O21" s="7">
        <f>B21*Parameters!$M$19</f>
        <v>4000</v>
      </c>
      <c r="P21" s="7">
        <f>M21-N21-O21</f>
        <v>-268.2640313074776</v>
      </c>
      <c r="Q21" s="7">
        <f>Parameters!$M$21</f>
        <v>1000</v>
      </c>
      <c r="R21" s="7">
        <f>P21-Q21</f>
        <v>-1268.2640313074776</v>
      </c>
      <c r="S21" s="7">
        <f>IF(A21&lt;1+Parameters!$M$31,0,INDEX($M$5:$M$40,A21-Parameters!$M$31))</f>
        <v>4177.0750856022</v>
      </c>
      <c r="T21" s="7">
        <f>T20+M21-S21</f>
        <v>4177.0750856022</v>
      </c>
      <c r="U21" s="7">
        <f>S21-N21-O21-Q21</f>
        <v>-1268.2640313074776</v>
      </c>
      <c r="V21" s="7">
        <f>V20+U21</f>
        <v>-38770.08292901703</v>
      </c>
      <c r="W21" s="7">
        <f>(1-Parameters!$M$7)*(C21-E21)+(1-Parameters!$M$8)*(D21+E21)</f>
        <v>1000.0</v>
      </c>
      <c r="X21" s="7">
        <f>Parameters!$M$7*(C21-E21)+Parameters!$M$8*Parameters!$M$9*(D21+E21)</f>
        <v>0.0</v>
      </c>
      <c r="Y21" s="7">
        <f>Parameters!$M$8*(1-Parameters!$M$9)*(D21+E21)</f>
        <v>0.0</v>
      </c>
      <c r="Z21" s="7">
        <f>POWER(1/(1+Parameters!$M$32),A21-1)*(M21-N21)</f>
        <v>3182.503779041065</v>
      </c>
    </row>
    <row r="22" spans="1:26">
      <c r="A22" s="7">
        <v>18</v>
      </c>
      <c r="B22" s="7">
        <f>Parameters!$M$20</f>
        <v>1000</v>
      </c>
      <c r="C22" s="7">
        <f>X21+B22</f>
        <v>1000.0</v>
      </c>
      <c r="D22" s="7">
        <f>Y21</f>
        <v>0.0</v>
      </c>
      <c r="E22" s="7">
        <f>Parameters!$M$6*C22</f>
        <v>100.0</v>
      </c>
      <c r="F22" s="7">
        <f>IF(Parameters!$M$5=1,E22,0)</f>
        <v>100.0</v>
      </c>
      <c r="G22" s="7">
        <f>Parameters!$M$27*G21+F22</f>
        <v>1524.3233457148349</v>
      </c>
      <c r="H22" s="7">
        <f>IF(AND(Parameters!$M$5=1,Parameters!$M$26=1),SUMPRODUCT(--($A$5:A22&lt;A22),--(MOD(A22-$A$5:A22,Parameters!$M$28)=0),$F$5:F22,POWER(Parameters!$M$27,IF(A22-$A$5:A22=0,1,A22-$A$5:A22))),0)</f>
        <v>78.47167237347999</v>
      </c>
      <c r="I22" s="7">
        <f>Parameters!$M$23*I21+B22*Parameters!$M$22</f>
        <v>0.0</v>
      </c>
      <c r="J22" s="7">
        <f>E22*Parameters!$M$14*(1-Parameters!$M$15)</f>
        <v>3000.0</v>
      </c>
      <c r="K22" s="7">
        <f>H22*Parameters!$M$29</f>
        <v>1177.0750856021998</v>
      </c>
      <c r="L22" s="7">
        <f>I22*Parameters!$M$24</f>
        <v>0.0</v>
      </c>
      <c r="M22" s="7">
        <f>J22+K22+L22</f>
        <v>4177.0750856022</v>
      </c>
      <c r="N22" s="7">
        <f>C22*Parameters!$M$17+D22*Parameters!$M$18+E22*Parameters!$M$16+I22*Parameters!$M$25+G22*Parameters!$M$30</f>
        <v>452.43233457148347</v>
      </c>
      <c r="O22" s="7">
        <f>B22*Parameters!$M$19</f>
        <v>4000</v>
      </c>
      <c r="P22" s="7">
        <f>M22-N22-O22</f>
        <v>-275.3572489692838</v>
      </c>
      <c r="Q22" s="7">
        <f>Parameters!$M$21</f>
        <v>1000</v>
      </c>
      <c r="R22" s="7">
        <f>P22-Q22</f>
        <v>-1275.3572489692838</v>
      </c>
      <c r="S22" s="7">
        <f>IF(A22&lt;1+Parameters!$M$31,0,INDEX($M$5:$M$40,A22-Parameters!$M$31))</f>
        <v>4177.0750856022</v>
      </c>
      <c r="T22" s="7">
        <f>T21+M22-S22</f>
        <v>4177.0750856022</v>
      </c>
      <c r="U22" s="7">
        <f>S22-N22-O22-Q22</f>
        <v>-1275.3572489692838</v>
      </c>
      <c r="V22" s="7">
        <f>V21+U22</f>
        <v>-40045.44017798631</v>
      </c>
      <c r="W22" s="7">
        <f>(1-Parameters!$M$7)*(C22-E22)+(1-Parameters!$M$8)*(D22+E22)</f>
        <v>1000.0</v>
      </c>
      <c r="X22" s="7">
        <f>Parameters!$M$7*(C22-E22)+Parameters!$M$8*Parameters!$M$9*(D22+E22)</f>
        <v>0.0</v>
      </c>
      <c r="Y22" s="7">
        <f>Parameters!$M$8*(1-Parameters!$M$9)*(D22+E22)</f>
        <v>0.0</v>
      </c>
      <c r="Z22" s="7">
        <f>POWER(1/(1+Parameters!$M$32),A22-1)*(M22-N22)</f>
        <v>3145.004487328336</v>
      </c>
    </row>
    <row r="23" spans="1:26">
      <c r="A23" s="7">
        <v>19</v>
      </c>
      <c r="B23" s="7">
        <f>Parameters!$M$20</f>
        <v>1000</v>
      </c>
      <c r="C23" s="7">
        <f>X22+B23</f>
        <v>1000.0</v>
      </c>
      <c r="D23" s="7">
        <f>Y22</f>
        <v>0.0</v>
      </c>
      <c r="E23" s="7">
        <f>Parameters!$M$6*C23</f>
        <v>100.0</v>
      </c>
      <c r="F23" s="7">
        <f>IF(Parameters!$M$5=1,E23,0)</f>
        <v>100.0</v>
      </c>
      <c r="G23" s="7">
        <f>Parameters!$M$27*G22+F23</f>
        <v>1593.8368788005382</v>
      </c>
      <c r="H23" s="7">
        <f>IF(AND(Parameters!$M$5=1,Parameters!$M$26=1),SUMPRODUCT(--($A$5:A23&lt;A23),--(MOD(A23-$A$5:A23,Parameters!$M$28)=0),$F$5:F23,POWER(Parameters!$M$27,IF(A23-$A$5:A23=0,1,A23-$A$5:A23))),0)</f>
        <v>78.47167237347999</v>
      </c>
      <c r="I23" s="7">
        <f>Parameters!$M$23*I22+B23*Parameters!$M$22</f>
        <v>0.0</v>
      </c>
      <c r="J23" s="7">
        <f>E23*Parameters!$M$14*(1-Parameters!$M$15)</f>
        <v>3000.0</v>
      </c>
      <c r="K23" s="7">
        <f>H23*Parameters!$M$29</f>
        <v>1177.0750856021998</v>
      </c>
      <c r="L23" s="7">
        <f>I23*Parameters!$M$24</f>
        <v>0.0</v>
      </c>
      <c r="M23" s="7">
        <f>J23+K23+L23</f>
        <v>4177.0750856022</v>
      </c>
      <c r="N23" s="7">
        <f>C23*Parameters!$M$17+D23*Parameters!$M$18+E23*Parameters!$M$16+I23*Parameters!$M$25+G23*Parameters!$M$30</f>
        <v>459.3836878800538</v>
      </c>
      <c r="O23" s="7">
        <f>B23*Parameters!$M$19</f>
        <v>4000</v>
      </c>
      <c r="P23" s="7">
        <f>M23-N23-O23</f>
        <v>-282.30860227785433</v>
      </c>
      <c r="Q23" s="7">
        <f>Parameters!$M$21</f>
        <v>1000</v>
      </c>
      <c r="R23" s="7">
        <f>P23-Q23</f>
        <v>-1282.3086022778543</v>
      </c>
      <c r="S23" s="7">
        <f>IF(A23&lt;1+Parameters!$M$31,0,INDEX($M$5:$M$40,A23-Parameters!$M$31))</f>
        <v>4177.0750856022</v>
      </c>
      <c r="T23" s="7">
        <f>T22+M23-S23</f>
        <v>4177.0750856022</v>
      </c>
      <c r="U23" s="7">
        <f>S23-N23-O23-Q23</f>
        <v>-1282.3086022778543</v>
      </c>
      <c r="V23" s="7">
        <f>V22+U23</f>
        <v>-41327.74878026416</v>
      </c>
      <c r="W23" s="7">
        <f>(1-Parameters!$M$7)*(C23-E23)+(1-Parameters!$M$8)*(D23+E23)</f>
        <v>1000.0</v>
      </c>
      <c r="X23" s="7">
        <f>Parameters!$M$7*(C23-E23)+Parameters!$M$8*Parameters!$M$9*(D23+E23)</f>
        <v>0.0</v>
      </c>
      <c r="Y23" s="7">
        <f>Parameters!$M$8*(1-Parameters!$M$9)*(D23+E23)</f>
        <v>0.0</v>
      </c>
      <c r="Z23" s="7">
        <f>POWER(1/(1+Parameters!$M$32),A23-1)*(M23-N23)</f>
        <v>3108.054377314932</v>
      </c>
    </row>
    <row r="24" spans="1:26">
      <c r="A24" s="7">
        <v>20</v>
      </c>
      <c r="B24" s="7">
        <f>Parameters!$M$20</f>
        <v>1000</v>
      </c>
      <c r="C24" s="7">
        <f>X23+B24</f>
        <v>1000.0</v>
      </c>
      <c r="D24" s="7">
        <f>Y23</f>
        <v>0.0</v>
      </c>
      <c r="E24" s="7">
        <f>Parameters!$M$6*C24</f>
        <v>100.0</v>
      </c>
      <c r="F24" s="7">
        <f>IF(Parameters!$M$5=1,E24,0)</f>
        <v>100.0</v>
      </c>
      <c r="G24" s="7">
        <f>Parameters!$M$27*G23+F24</f>
        <v>1661.9601412245274</v>
      </c>
      <c r="H24" s="7">
        <f>IF(AND(Parameters!$M$5=1,Parameters!$M$26=1),SUMPRODUCT(--($A$5:A24&lt;A24),--(MOD(A24-$A$5:A24,Parameters!$M$28)=0),$F$5:F24,POWER(Parameters!$M$27,IF(A24-$A$5:A24=0,1,A24-$A$5:A24))),0)</f>
        <v>78.47167237347999</v>
      </c>
      <c r="I24" s="7">
        <f>Parameters!$M$23*I23+B24*Parameters!$M$22</f>
        <v>0.0</v>
      </c>
      <c r="J24" s="7">
        <f>E24*Parameters!$M$14*(1-Parameters!$M$15)</f>
        <v>3000.0</v>
      </c>
      <c r="K24" s="7">
        <f>H24*Parameters!$M$29</f>
        <v>1177.0750856021998</v>
      </c>
      <c r="L24" s="7">
        <f>I24*Parameters!$M$24</f>
        <v>0.0</v>
      </c>
      <c r="M24" s="7">
        <f>J24+K24+L24</f>
        <v>4177.0750856022</v>
      </c>
      <c r="N24" s="7">
        <f>C24*Parameters!$M$17+D24*Parameters!$M$18+E24*Parameters!$M$16+I24*Parameters!$M$25+G24*Parameters!$M$30</f>
        <v>466.19601412245277</v>
      </c>
      <c r="O24" s="7">
        <f>B24*Parameters!$M$19</f>
        <v>4000</v>
      </c>
      <c r="P24" s="7">
        <f>M24-N24-O24</f>
        <v>-289.1209285202531</v>
      </c>
      <c r="Q24" s="7">
        <f>Parameters!$M$21</f>
        <v>1000</v>
      </c>
      <c r="R24" s="7">
        <f>P24-Q24</f>
        <v>-1289.120928520253</v>
      </c>
      <c r="S24" s="7">
        <f>IF(A24&lt;1+Parameters!$M$31,0,INDEX($M$5:$M$40,A24-Parameters!$M$31))</f>
        <v>4177.0750856022</v>
      </c>
      <c r="T24" s="7">
        <f>T23+M24-S24</f>
        <v>4177.0750856022</v>
      </c>
      <c r="U24" s="7">
        <f>S24-N24-O24-Q24</f>
        <v>-1289.120928520253</v>
      </c>
      <c r="V24" s="7">
        <f>V23+U24</f>
        <v>-42616.86970878442</v>
      </c>
      <c r="W24" s="7">
        <f>(1-Parameters!$M$7)*(C24-E24)+(1-Parameters!$M$8)*(D24+E24)</f>
        <v>1000.0</v>
      </c>
      <c r="X24" s="7">
        <f>Parameters!$M$7*(C24-E24)+Parameters!$M$8*Parameters!$M$9*(D24+E24)</f>
        <v>0.0</v>
      </c>
      <c r="Y24" s="7">
        <f>Parameters!$M$8*(1-Parameters!$M$9)*(D24+E24)</f>
        <v>0.0</v>
      </c>
      <c r="Z24" s="7">
        <f>POWER(1/(1+Parameters!$M$32),A24-1)*(M24-N24)</f>
        <v>3071.6427273528398</v>
      </c>
    </row>
    <row r="25" spans="1:26">
      <c r="A25" s="7">
        <v>21</v>
      </c>
      <c r="B25" s="7">
        <f>Parameters!$M$20</f>
        <v>1000</v>
      </c>
      <c r="C25" s="7">
        <f>X24+B25</f>
        <v>1000.0</v>
      </c>
      <c r="D25" s="7">
        <f>Y24</f>
        <v>0.0</v>
      </c>
      <c r="E25" s="7">
        <f>Parameters!$M$6*C25</f>
        <v>100.0</v>
      </c>
      <c r="F25" s="7">
        <f>IF(Parameters!$M$5=1,E25,0)</f>
        <v>100.0</v>
      </c>
      <c r="G25" s="7">
        <f>Parameters!$M$27*G24+F25</f>
        <v>1728.7209384000369</v>
      </c>
      <c r="H25" s="7">
        <f>IF(AND(Parameters!$M$5=1,Parameters!$M$26=1),SUMPRODUCT(--($A$5:A25&lt;A25),--(MOD(A25-$A$5:A25,Parameters!$M$28)=0),$F$5:F25,POWER(Parameters!$M$27,IF(A25-$A$5:A25=0,1,A25-$A$5:A25))),0)</f>
        <v>78.47167237347999</v>
      </c>
      <c r="I25" s="7">
        <f>Parameters!$M$23*I24+B25*Parameters!$M$22</f>
        <v>0.0</v>
      </c>
      <c r="J25" s="7">
        <f>E25*Parameters!$M$14*(1-Parameters!$M$15)</f>
        <v>3000.0</v>
      </c>
      <c r="K25" s="7">
        <f>H25*Parameters!$M$29</f>
        <v>1177.0750856021998</v>
      </c>
      <c r="L25" s="7">
        <f>I25*Parameters!$M$24</f>
        <v>0.0</v>
      </c>
      <c r="M25" s="7">
        <f>J25+K25+L25</f>
        <v>4177.0750856022</v>
      </c>
      <c r="N25" s="7">
        <f>C25*Parameters!$M$17+D25*Parameters!$M$18+E25*Parameters!$M$16+I25*Parameters!$M$25+G25*Parameters!$M$30</f>
        <v>472.8720938400037</v>
      </c>
      <c r="O25" s="7">
        <f>B25*Parameters!$M$19</f>
        <v>4000</v>
      </c>
      <c r="P25" s="7">
        <f>M25-N25-O25</f>
        <v>-295.7970082378042</v>
      </c>
      <c r="Q25" s="7">
        <f>Parameters!$M$21</f>
        <v>1000</v>
      </c>
      <c r="R25" s="7">
        <f>P25-Q25</f>
        <v>-1295.7970082378042</v>
      </c>
      <c r="S25" s="7">
        <f>IF(A25&lt;1+Parameters!$M$31,0,INDEX($M$5:$M$40,A25-Parameters!$M$31))</f>
        <v>4177.0750856022</v>
      </c>
      <c r="T25" s="7">
        <f>T24+M25-S25</f>
        <v>4177.0750856022</v>
      </c>
      <c r="U25" s="7">
        <f>S25-N25-O25-Q25</f>
        <v>-1295.7970082378042</v>
      </c>
      <c r="V25" s="7">
        <f>V24+U25</f>
        <v>-43912.66671702222</v>
      </c>
      <c r="W25" s="7">
        <f>(1-Parameters!$M$7)*(C25-E25)+(1-Parameters!$M$8)*(D25+E25)</f>
        <v>1000.0</v>
      </c>
      <c r="X25" s="7">
        <f>Parameters!$M$7*(C25-E25)+Parameters!$M$8*Parameters!$M$9*(D25+E25)</f>
        <v>0.0</v>
      </c>
      <c r="Y25" s="7">
        <f>Parameters!$M$8*(1-Parameters!$M$9)*(D25+E25)</f>
        <v>0.0</v>
      </c>
      <c r="Z25" s="7">
        <f>POWER(1/(1+Parameters!$M$32),A25-1)*(M25-N25)</f>
        <v>3035.7590789055735</v>
      </c>
    </row>
    <row r="26" spans="1:26">
      <c r="A26" s="7">
        <v>22</v>
      </c>
      <c r="B26" s="7">
        <f>Parameters!$M$20</f>
        <v>1000</v>
      </c>
      <c r="C26" s="7">
        <f>X25+B26</f>
        <v>1000.0</v>
      </c>
      <c r="D26" s="7">
        <f>Y25</f>
        <v>0.0</v>
      </c>
      <c r="E26" s="7">
        <f>Parameters!$M$6*C26</f>
        <v>100.0</v>
      </c>
      <c r="F26" s="7">
        <f>IF(Parameters!$M$5=1,E26,0)</f>
        <v>100.0</v>
      </c>
      <c r="G26" s="7">
        <f>Parameters!$M$27*G25+F26</f>
        <v>1794.1465196320362</v>
      </c>
      <c r="H26" s="7">
        <f>IF(AND(Parameters!$M$5=1,Parameters!$M$26=1),SUMPRODUCT(--($A$5:A26&lt;A26),--(MOD(A26-$A$5:A26,Parameters!$M$28)=0),$F$5:F26,POWER(Parameters!$M$27,IF(A26-$A$5:A26=0,1,A26-$A$5:A26))),0)</f>
        <v>78.47167237347999</v>
      </c>
      <c r="I26" s="7">
        <f>Parameters!$M$23*I25+B26*Parameters!$M$22</f>
        <v>0.0</v>
      </c>
      <c r="J26" s="7">
        <f>E26*Parameters!$M$14*(1-Parameters!$M$15)</f>
        <v>3000.0</v>
      </c>
      <c r="K26" s="7">
        <f>H26*Parameters!$M$29</f>
        <v>1177.0750856021998</v>
      </c>
      <c r="L26" s="7">
        <f>I26*Parameters!$M$24</f>
        <v>0.0</v>
      </c>
      <c r="M26" s="7">
        <f>J26+K26+L26</f>
        <v>4177.0750856022</v>
      </c>
      <c r="N26" s="7">
        <f>C26*Parameters!$M$17+D26*Parameters!$M$18+E26*Parameters!$M$16+I26*Parameters!$M$25+G26*Parameters!$M$30</f>
        <v>479.4146519632036</v>
      </c>
      <c r="O26" s="7">
        <f>B26*Parameters!$M$19</f>
        <v>4000</v>
      </c>
      <c r="P26" s="7">
        <f>M26-N26-O26</f>
        <v>-302.339566361004</v>
      </c>
      <c r="Q26" s="7">
        <f>Parameters!$M$21</f>
        <v>1000</v>
      </c>
      <c r="R26" s="7">
        <f>P26-Q26</f>
        <v>-1302.339566361004</v>
      </c>
      <c r="S26" s="7">
        <f>IF(A26&lt;1+Parameters!$M$31,0,INDEX($M$5:$M$40,A26-Parameters!$M$31))</f>
        <v>4177.0750856022</v>
      </c>
      <c r="T26" s="7">
        <f>T25+M26-S26</f>
        <v>4177.0750856022</v>
      </c>
      <c r="U26" s="7">
        <f>S26-N26-O26-Q26</f>
        <v>-1302.339566361004</v>
      </c>
      <c r="V26" s="7">
        <f>V25+U26</f>
        <v>-45215.00628338323</v>
      </c>
      <c r="W26" s="7">
        <f>(1-Parameters!$M$7)*(C26-E26)+(1-Parameters!$M$8)*(D26+E26)</f>
        <v>1000.0</v>
      </c>
      <c r="X26" s="7">
        <f>Parameters!$M$7*(C26-E26)+Parameters!$M$8*Parameters!$M$9*(D26+E26)</f>
        <v>0.0</v>
      </c>
      <c r="Y26" s="7">
        <f>Parameters!$M$8*(1-Parameters!$M$9)*(D26+E26)</f>
        <v>0.0</v>
      </c>
      <c r="Z26" s="7">
        <f>POWER(1/(1+Parameters!$M$32),A26-1)*(M26-N26)</f>
        <v>3000.3932292810346</v>
      </c>
    </row>
    <row r="27" spans="1:26">
      <c r="A27" s="7">
        <v>23</v>
      </c>
      <c r="B27" s="7">
        <f>Parameters!$M$20</f>
        <v>1000</v>
      </c>
      <c r="C27" s="7">
        <f>X26+B27</f>
        <v>1000.0</v>
      </c>
      <c r="D27" s="7">
        <f>Y26</f>
        <v>0.0</v>
      </c>
      <c r="E27" s="7">
        <f>Parameters!$M$6*C27</f>
        <v>100.0</v>
      </c>
      <c r="F27" s="7">
        <f>IF(Parameters!$M$5=1,E27,0)</f>
        <v>100.0</v>
      </c>
      <c r="G27" s="7">
        <f>Parameters!$M$27*G26+F27</f>
        <v>1858.2635892393955</v>
      </c>
      <c r="H27" s="7">
        <f>IF(AND(Parameters!$M$5=1,Parameters!$M$26=1),SUMPRODUCT(--($A$5:A27&lt;A27),--(MOD(A27-$A$5:A27,Parameters!$M$28)=0),$F$5:F27,POWER(Parameters!$M$27,IF(A27-$A$5:A27=0,1,A27-$A$5:A27))),0)</f>
        <v>78.47167237347999</v>
      </c>
      <c r="I27" s="7">
        <f>Parameters!$M$23*I26+B27*Parameters!$M$22</f>
        <v>0.0</v>
      </c>
      <c r="J27" s="7">
        <f>E27*Parameters!$M$14*(1-Parameters!$M$15)</f>
        <v>3000.0</v>
      </c>
      <c r="K27" s="7">
        <f>H27*Parameters!$M$29</f>
        <v>1177.0750856021998</v>
      </c>
      <c r="L27" s="7">
        <f>I27*Parameters!$M$24</f>
        <v>0.0</v>
      </c>
      <c r="M27" s="7">
        <f>J27+K27+L27</f>
        <v>4177.0750856022</v>
      </c>
      <c r="N27" s="7">
        <f>C27*Parameters!$M$17+D27*Parameters!$M$18+E27*Parameters!$M$16+I27*Parameters!$M$25+G27*Parameters!$M$30</f>
        <v>485.82635892393955</v>
      </c>
      <c r="O27" s="7">
        <f>B27*Parameters!$M$19</f>
        <v>4000</v>
      </c>
      <c r="P27" s="7">
        <f>M27-N27-O27</f>
        <v>-308.75127332174</v>
      </c>
      <c r="Q27" s="7">
        <f>Parameters!$M$21</f>
        <v>1000</v>
      </c>
      <c r="R27" s="7">
        <f>P27-Q27</f>
        <v>-1308.75127332174</v>
      </c>
      <c r="S27" s="7">
        <f>IF(A27&lt;1+Parameters!$M$31,0,INDEX($M$5:$M$40,A27-Parameters!$M$31))</f>
        <v>4177.0750856022</v>
      </c>
      <c r="T27" s="7">
        <f>T26+M27-S27</f>
        <v>4177.0750856022</v>
      </c>
      <c r="U27" s="7">
        <f>S27-N27-O27-Q27</f>
        <v>-1308.75127332174</v>
      </c>
      <c r="V27" s="7">
        <f>V26+U27</f>
        <v>-46523.757556704964</v>
      </c>
      <c r="W27" s="7">
        <f>(1-Parameters!$M$7)*(C27-E27)+(1-Parameters!$M$8)*(D27+E27)</f>
        <v>1000.0</v>
      </c>
      <c r="X27" s="7">
        <f>Parameters!$M$7*(C27-E27)+Parameters!$M$8*Parameters!$M$9*(D27+E27)</f>
        <v>0.0</v>
      </c>
      <c r="Y27" s="7">
        <f>Parameters!$M$8*(1-Parameters!$M$9)*(D27+E27)</f>
        <v>0.0</v>
      </c>
      <c r="Z27" s="7">
        <f>POWER(1/(1+Parameters!$M$32),A27-1)*(M27-N27)</f>
        <v>2965.535224574797</v>
      </c>
    </row>
    <row r="28" spans="1:26">
      <c r="A28" s="7">
        <v>24</v>
      </c>
      <c r="B28" s="7">
        <f>Parameters!$M$20</f>
        <v>1000</v>
      </c>
      <c r="C28" s="7">
        <f>X27+B28</f>
        <v>1000.0</v>
      </c>
      <c r="D28" s="7">
        <f>Y27</f>
        <v>0.0</v>
      </c>
      <c r="E28" s="7">
        <f>Parameters!$M$6*C28</f>
        <v>100.0</v>
      </c>
      <c r="F28" s="7">
        <f>IF(Parameters!$M$5=1,E28,0)</f>
        <v>100.0</v>
      </c>
      <c r="G28" s="7">
        <f>Parameters!$M$27*G27+F28</f>
        <v>1921.0983174546075</v>
      </c>
      <c r="H28" s="7">
        <f>IF(AND(Parameters!$M$5=1,Parameters!$M$26=1),SUMPRODUCT(--($A$5:A28&lt;A28),--(MOD(A28-$A$5:A28,Parameters!$M$28)=0),$F$5:F28,POWER(Parameters!$M$27,IF(A28-$A$5:A28=0,1,A28-$A$5:A28))),0)</f>
        <v>78.47167237347999</v>
      </c>
      <c r="I28" s="7">
        <f>Parameters!$M$23*I27+B28*Parameters!$M$22</f>
        <v>0.0</v>
      </c>
      <c r="J28" s="7">
        <f>E28*Parameters!$M$14*(1-Parameters!$M$15)</f>
        <v>3000.0</v>
      </c>
      <c r="K28" s="7">
        <f>H28*Parameters!$M$29</f>
        <v>1177.0750856021998</v>
      </c>
      <c r="L28" s="7">
        <f>I28*Parameters!$M$24</f>
        <v>0.0</v>
      </c>
      <c r="M28" s="7">
        <f>J28+K28+L28</f>
        <v>4177.0750856022</v>
      </c>
      <c r="N28" s="7">
        <f>C28*Parameters!$M$17+D28*Parameters!$M$18+E28*Parameters!$M$16+I28*Parameters!$M$25+G28*Parameters!$M$30</f>
        <v>492.1098317454607</v>
      </c>
      <c r="O28" s="7">
        <f>B28*Parameters!$M$19</f>
        <v>4000</v>
      </c>
      <c r="P28" s="7">
        <f>M28-N28-O28</f>
        <v>-315.03474614326115</v>
      </c>
      <c r="Q28" s="7">
        <f>Parameters!$M$21</f>
        <v>1000</v>
      </c>
      <c r="R28" s="7">
        <f>P28-Q28</f>
        <v>-1315.0347461432611</v>
      </c>
      <c r="S28" s="7">
        <f>IF(A28&lt;1+Parameters!$M$31,0,INDEX($M$5:$M$40,A28-Parameters!$M$31))</f>
        <v>4177.0750856022</v>
      </c>
      <c r="T28" s="7">
        <f>T27+M28-S28</f>
        <v>4177.0750856022</v>
      </c>
      <c r="U28" s="7">
        <f>S28-N28-O28-Q28</f>
        <v>-1315.0347461432611</v>
      </c>
      <c r="V28" s="7">
        <f>V27+U28</f>
        <v>-47838.792302848226</v>
      </c>
      <c r="W28" s="7">
        <f>(1-Parameters!$M$7)*(C28-E28)+(1-Parameters!$M$8)*(D28+E28)</f>
        <v>1000.0</v>
      </c>
      <c r="X28" s="7">
        <f>Parameters!$M$7*(C28-E28)+Parameters!$M$8*Parameters!$M$9*(D28+E28)</f>
        <v>0.0</v>
      </c>
      <c r="Y28" s="7">
        <f>Parameters!$M$8*(1-Parameters!$M$9)*(D28+E28)</f>
        <v>0.0</v>
      </c>
      <c r="Z28" s="7">
        <f>POWER(1/(1+Parameters!$M$32),A28-1)*(M28-N28)</f>
        <v>2931.1753528176314</v>
      </c>
    </row>
    <row r="29" spans="1:26">
      <c r="A29" s="7">
        <v>25</v>
      </c>
      <c r="B29" s="7">
        <f>Parameters!$M$20</f>
        <v>1000</v>
      </c>
      <c r="C29" s="7">
        <f>X28+B29</f>
        <v>1000.0</v>
      </c>
      <c r="D29" s="7">
        <f>Y28</f>
        <v>0.0</v>
      </c>
      <c r="E29" s="7">
        <f>Parameters!$M$6*C29</f>
        <v>100.0</v>
      </c>
      <c r="F29" s="7">
        <f>IF(Parameters!$M$5=1,E29,0)</f>
        <v>100.0</v>
      </c>
      <c r="G29" s="7">
        <f>Parameters!$M$27*G28+F29</f>
        <v>1982.6763511055153</v>
      </c>
      <c r="H29" s="7">
        <f>IF(AND(Parameters!$M$5=1,Parameters!$M$26=1),SUMPRODUCT(--($A$5:A29&lt;A29),--(MOD(A29-$A$5:A29,Parameters!$M$28)=0),$F$5:F29,POWER(Parameters!$M$27,IF(A29-$A$5:A29=0,1,A29-$A$5:A29))),0)</f>
        <v>140.04970602438783</v>
      </c>
      <c r="I29" s="7">
        <f>Parameters!$M$23*I28+B29*Parameters!$M$22</f>
        <v>0.0</v>
      </c>
      <c r="J29" s="7">
        <f>E29*Parameters!$M$14*(1-Parameters!$M$15)</f>
        <v>3000.0</v>
      </c>
      <c r="K29" s="7">
        <f>H29*Parameters!$M$29</f>
        <v>2100.7455903658174</v>
      </c>
      <c r="L29" s="7">
        <f>I29*Parameters!$M$24</f>
        <v>0.0</v>
      </c>
      <c r="M29" s="7">
        <f>J29+K29+L29</f>
        <v>5100.745590365817</v>
      </c>
      <c r="N29" s="7">
        <f>C29*Parameters!$M$17+D29*Parameters!$M$18+E29*Parameters!$M$16+I29*Parameters!$M$25+G29*Parameters!$M$30</f>
        <v>498.2676351105515</v>
      </c>
      <c r="O29" s="7">
        <f>B29*Parameters!$M$19</f>
        <v>4000</v>
      </c>
      <c r="P29" s="7">
        <f>M29-N29-O29</f>
        <v>602.4779552552664</v>
      </c>
      <c r="Q29" s="7">
        <f>Parameters!$M$21</f>
        <v>1000</v>
      </c>
      <c r="R29" s="7">
        <f>P29-Q29</f>
        <v>-397.52204474473365</v>
      </c>
      <c r="S29" s="7">
        <f>IF(A29&lt;1+Parameters!$M$31,0,INDEX($M$5:$M$40,A29-Parameters!$M$31))</f>
        <v>4177.0750856022</v>
      </c>
      <c r="T29" s="7">
        <f>T28+M29-S29</f>
        <v>5100.745590365817</v>
      </c>
      <c r="U29" s="7">
        <f>S29-N29-O29-Q29</f>
        <v>-1321.192549508352</v>
      </c>
      <c r="V29" s="7">
        <f>V28+U29</f>
        <v>-49159.984852356574</v>
      </c>
      <c r="W29" s="7">
        <f>(1-Parameters!$M$7)*(C29-E29)+(1-Parameters!$M$8)*(D29+E29)</f>
        <v>1000.0</v>
      </c>
      <c r="X29" s="7">
        <f>Parameters!$M$7*(C29-E29)+Parameters!$M$8*Parameters!$M$9*(D29+E29)</f>
        <v>0.0</v>
      </c>
      <c r="Y29" s="7">
        <f>Parameters!$M$8*(1-Parameters!$M$9)*(D29+E29)</f>
        <v>0.0</v>
      </c>
      <c r="Z29" s="7">
        <f>POWER(1/(1+Parameters!$M$32),A29-1)*(M29-N29)</f>
        <v>3624.7557397734377</v>
      </c>
    </row>
    <row r="30" spans="1:26">
      <c r="A30" s="7">
        <v>26</v>
      </c>
      <c r="B30" s="7">
        <f>Parameters!$M$20</f>
        <v>1000</v>
      </c>
      <c r="C30" s="7">
        <f>X29+B30</f>
        <v>1000.0</v>
      </c>
      <c r="D30" s="7">
        <f>Y29</f>
        <v>0.0</v>
      </c>
      <c r="E30" s="7">
        <f>Parameters!$M$6*C30</f>
        <v>100.0</v>
      </c>
      <c r="F30" s="7">
        <f>IF(Parameters!$M$5=1,E30,0)</f>
        <v>100.0</v>
      </c>
      <c r="G30" s="7">
        <f>Parameters!$M$27*G29+F30</f>
        <v>2043.0228240834049</v>
      </c>
      <c r="H30" s="7">
        <f>IF(AND(Parameters!$M$5=1,Parameters!$M$26=1),SUMPRODUCT(--($A$5:A30&lt;A30),--(MOD(A30-$A$5:A30,Parameters!$M$28)=0),$F$5:F30,POWER(Parameters!$M$27,IF(A30-$A$5:A30=0,1,A30-$A$5:A30))),0)</f>
        <v>140.04970602438783</v>
      </c>
      <c r="I30" s="7">
        <f>Parameters!$M$23*I29+B30*Parameters!$M$22</f>
        <v>0.0</v>
      </c>
      <c r="J30" s="7">
        <f>E30*Parameters!$M$14*(1-Parameters!$M$15)</f>
        <v>3000.0</v>
      </c>
      <c r="K30" s="7">
        <f>H30*Parameters!$M$29</f>
        <v>2100.7455903658174</v>
      </c>
      <c r="L30" s="7">
        <f>I30*Parameters!$M$24</f>
        <v>0.0</v>
      </c>
      <c r="M30" s="7">
        <f>J30+K30+L30</f>
        <v>5100.745590365817</v>
      </c>
      <c r="N30" s="7">
        <f>C30*Parameters!$M$17+D30*Parameters!$M$18+E30*Parameters!$M$16+I30*Parameters!$M$25+G30*Parameters!$M$30</f>
        <v>504.3022824083405</v>
      </c>
      <c r="O30" s="7">
        <f>B30*Parameters!$M$19</f>
        <v>4000</v>
      </c>
      <c r="P30" s="7">
        <f>M30-N30-O30</f>
        <v>596.4433079574774</v>
      </c>
      <c r="Q30" s="7">
        <f>Parameters!$M$21</f>
        <v>1000</v>
      </c>
      <c r="R30" s="7">
        <f>P30-Q30</f>
        <v>-403.5566920425226</v>
      </c>
      <c r="S30" s="7">
        <f>IF(A30&lt;1+Parameters!$M$31,0,INDEX($M$5:$M$40,A30-Parameters!$M$31))</f>
        <v>5100.745590365817</v>
      </c>
      <c r="T30" s="7">
        <f>T29+M30-S30</f>
        <v>5100.745590365817</v>
      </c>
      <c r="U30" s="7">
        <f>S30-N30-O30-Q30</f>
        <v>-403.5566920425226</v>
      </c>
      <c r="V30" s="7">
        <f>V29+U30</f>
        <v>-49563.54154439909</v>
      </c>
      <c r="W30" s="7">
        <f>(1-Parameters!$M$7)*(C30-E30)+(1-Parameters!$M$8)*(D30+E30)</f>
        <v>1000.0</v>
      </c>
      <c r="X30" s="7">
        <f>Parameters!$M$7*(C30-E30)+Parameters!$M$8*Parameters!$M$9*(D30+E30)</f>
        <v>0.0</v>
      </c>
      <c r="Y30" s="7">
        <f>Parameters!$M$8*(1-Parameters!$M$9)*(D30+E30)</f>
        <v>0.0</v>
      </c>
      <c r="Z30" s="7">
        <f>POWER(1/(1+Parameters!$M$32),A30-1)*(M30-N30)</f>
        <v>3584.1614415551976</v>
      </c>
    </row>
    <row r="31" spans="1:26">
      <c r="A31" s="7">
        <v>27</v>
      </c>
      <c r="B31" s="7">
        <f>Parameters!$M$20</f>
        <v>1000</v>
      </c>
      <c r="C31" s="7">
        <f>X30+B31</f>
        <v>1000.0</v>
      </c>
      <c r="D31" s="7">
        <f>Y30</f>
        <v>0.0</v>
      </c>
      <c r="E31" s="7">
        <f>Parameters!$M$6*C31</f>
        <v>100.0</v>
      </c>
      <c r="F31" s="7">
        <f>IF(Parameters!$M$5=1,E31,0)</f>
        <v>100.0</v>
      </c>
      <c r="G31" s="7">
        <f>Parameters!$M$27*G30+F31</f>
        <v>2102.162367601737</v>
      </c>
      <c r="H31" s="7">
        <f>IF(AND(Parameters!$M$5=1,Parameters!$M$26=1),SUMPRODUCT(--($A$5:A31&lt;A31),--(MOD(A31-$A$5:A31,Parameters!$M$28)=0),$F$5:F31,POWER(Parameters!$M$27,IF(A31-$A$5:A31=0,1,A31-$A$5:A31))),0)</f>
        <v>140.04970602438783</v>
      </c>
      <c r="I31" s="7">
        <f>Parameters!$M$23*I30+B31*Parameters!$M$22</f>
        <v>0.0</v>
      </c>
      <c r="J31" s="7">
        <f>E31*Parameters!$M$14*(1-Parameters!$M$15)</f>
        <v>3000.0</v>
      </c>
      <c r="K31" s="7">
        <f>H31*Parameters!$M$29</f>
        <v>2100.7455903658174</v>
      </c>
      <c r="L31" s="7">
        <f>I31*Parameters!$M$24</f>
        <v>0.0</v>
      </c>
      <c r="M31" s="7">
        <f>J31+K31+L31</f>
        <v>5100.745590365817</v>
      </c>
      <c r="N31" s="7">
        <f>C31*Parameters!$M$17+D31*Parameters!$M$18+E31*Parameters!$M$16+I31*Parameters!$M$25+G31*Parameters!$M$30</f>
        <v>510.21623676017373</v>
      </c>
      <c r="O31" s="7">
        <f>B31*Parameters!$M$19</f>
        <v>4000</v>
      </c>
      <c r="P31" s="7">
        <f>M31-N31-O31</f>
        <v>590.5293536056433</v>
      </c>
      <c r="Q31" s="7">
        <f>Parameters!$M$21</f>
        <v>1000</v>
      </c>
      <c r="R31" s="7">
        <f>P31-Q31</f>
        <v>-409.47064639435666</v>
      </c>
      <c r="S31" s="7">
        <f>IF(A31&lt;1+Parameters!$M$31,0,INDEX($M$5:$M$40,A31-Parameters!$M$31))</f>
        <v>5100.745590365817</v>
      </c>
      <c r="T31" s="7">
        <f>T30+M31-S31</f>
        <v>5100.745590365817</v>
      </c>
      <c r="U31" s="7">
        <f>S31-N31-O31-Q31</f>
        <v>-409.47064639435666</v>
      </c>
      <c r="V31" s="7">
        <f>V30+U31</f>
        <v>-49973.01219079345</v>
      </c>
      <c r="W31" s="7">
        <f>(1-Parameters!$M$7)*(C31-E31)+(1-Parameters!$M$8)*(D31+E31)</f>
        <v>1000.0</v>
      </c>
      <c r="X31" s="7">
        <f>Parameters!$M$7*(C31-E31)+Parameters!$M$8*Parameters!$M$9*(D31+E31)</f>
        <v>0.0</v>
      </c>
      <c r="Y31" s="7">
        <f>Parameters!$M$8*(1-Parameters!$M$9)*(D31+E31)</f>
        <v>0.0</v>
      </c>
      <c r="Z31" s="7">
        <f>POWER(1/(1+Parameters!$M$32),A31-1)*(M31-N31)</f>
        <v>3544.108838196368</v>
      </c>
    </row>
    <row r="32" spans="1:26">
      <c r="A32" s="7">
        <v>28</v>
      </c>
      <c r="B32" s="7">
        <f>Parameters!$M$20</f>
        <v>1000</v>
      </c>
      <c r="C32" s="7">
        <f>X31+B32</f>
        <v>1000.0</v>
      </c>
      <c r="D32" s="7">
        <f>Y31</f>
        <v>0.0</v>
      </c>
      <c r="E32" s="7">
        <f>Parameters!$M$6*C32</f>
        <v>100.0</v>
      </c>
      <c r="F32" s="7">
        <f>IF(Parameters!$M$5=1,E32,0)</f>
        <v>100.0</v>
      </c>
      <c r="G32" s="7">
        <f>Parameters!$M$27*G31+F32</f>
        <v>2160.119120249702</v>
      </c>
      <c r="H32" s="7">
        <f>IF(AND(Parameters!$M$5=1,Parameters!$M$26=1),SUMPRODUCT(--($A$5:A32&lt;A32),--(MOD(A32-$A$5:A32,Parameters!$M$28)=0),$F$5:F32,POWER(Parameters!$M$27,IF(A32-$A$5:A32=0,1,A32-$A$5:A32))),0)</f>
        <v>140.04970602438783</v>
      </c>
      <c r="I32" s="7">
        <f>Parameters!$M$23*I31+B32*Parameters!$M$22</f>
        <v>0.0</v>
      </c>
      <c r="J32" s="7">
        <f>E32*Parameters!$M$14*(1-Parameters!$M$15)</f>
        <v>3000.0</v>
      </c>
      <c r="K32" s="7">
        <f>H32*Parameters!$M$29</f>
        <v>2100.7455903658174</v>
      </c>
      <c r="L32" s="7">
        <f>I32*Parameters!$M$24</f>
        <v>0.0</v>
      </c>
      <c r="M32" s="7">
        <f>J32+K32+L32</f>
        <v>5100.745590365817</v>
      </c>
      <c r="N32" s="7">
        <f>C32*Parameters!$M$17+D32*Parameters!$M$18+E32*Parameters!$M$16+I32*Parameters!$M$25+G32*Parameters!$M$30</f>
        <v>516.0119120249702</v>
      </c>
      <c r="O32" s="7">
        <f>B32*Parameters!$M$19</f>
        <v>4000</v>
      </c>
      <c r="P32" s="7">
        <f>M32-N32-O32</f>
        <v>584.7336783408473</v>
      </c>
      <c r="Q32" s="7">
        <f>Parameters!$M$21</f>
        <v>1000</v>
      </c>
      <c r="R32" s="7">
        <f>P32-Q32</f>
        <v>-415.2663216591527</v>
      </c>
      <c r="S32" s="7">
        <f>IF(A32&lt;1+Parameters!$M$31,0,INDEX($M$5:$M$40,A32-Parameters!$M$31))</f>
        <v>5100.745590365817</v>
      </c>
      <c r="T32" s="7">
        <f>T31+M32-S32</f>
        <v>5100.745590365817</v>
      </c>
      <c r="U32" s="7">
        <f>S32-N32-O32-Q32</f>
        <v>-415.2663216591527</v>
      </c>
      <c r="V32" s="7">
        <f>V31+U32</f>
        <v>-50388.278512452605</v>
      </c>
      <c r="W32" s="7">
        <f>(1-Parameters!$M$7)*(C32-E32)+(1-Parameters!$M$8)*(D32+E32)</f>
        <v>1000.0</v>
      </c>
      <c r="X32" s="7">
        <f>Parameters!$M$7*(C32-E32)+Parameters!$M$8*Parameters!$M$9*(D32+E32)</f>
        <v>0.0</v>
      </c>
      <c r="Y32" s="7">
        <f>Parameters!$M$8*(1-Parameters!$M$9)*(D32+E32)</f>
        <v>0.0</v>
      </c>
      <c r="Z32" s="7">
        <f>POWER(1/(1+Parameters!$M$32),A32-1)*(M32-N32)</f>
        <v>3504.5884147642428</v>
      </c>
    </row>
    <row r="33" spans="1:26">
      <c r="A33" s="7">
        <v>29</v>
      </c>
      <c r="B33" s="7">
        <f>Parameters!$M$20</f>
        <v>1000</v>
      </c>
      <c r="C33" s="7">
        <f>X32+B33</f>
        <v>1000.0</v>
      </c>
      <c r="D33" s="7">
        <f>Y32</f>
        <v>0.0</v>
      </c>
      <c r="E33" s="7">
        <f>Parameters!$M$6*C33</f>
        <v>100.0</v>
      </c>
      <c r="F33" s="7">
        <f>IF(Parameters!$M$5=1,E33,0)</f>
        <v>100.0</v>
      </c>
      <c r="G33" s="7">
        <f>Parameters!$M$27*G32+F33</f>
        <v>2216.9167378447078</v>
      </c>
      <c r="H33" s="7">
        <f>IF(AND(Parameters!$M$5=1,Parameters!$M$26=1),SUMPRODUCT(--($A$5:A33&lt;A33),--(MOD(A33-$A$5:A33,Parameters!$M$28)=0),$F$5:F33,POWER(Parameters!$M$27,IF(A33-$A$5:A33=0,1,A33-$A$5:A33))),0)</f>
        <v>140.04970602438783</v>
      </c>
      <c r="I33" s="7">
        <f>Parameters!$M$23*I32+B33*Parameters!$M$22</f>
        <v>0.0</v>
      </c>
      <c r="J33" s="7">
        <f>E33*Parameters!$M$14*(1-Parameters!$M$15)</f>
        <v>3000.0</v>
      </c>
      <c r="K33" s="7">
        <f>H33*Parameters!$M$29</f>
        <v>2100.7455903658174</v>
      </c>
      <c r="L33" s="7">
        <f>I33*Parameters!$M$24</f>
        <v>0.0</v>
      </c>
      <c r="M33" s="7">
        <f>J33+K33+L33</f>
        <v>5100.745590365817</v>
      </c>
      <c r="N33" s="7">
        <f>C33*Parameters!$M$17+D33*Parameters!$M$18+E33*Parameters!$M$16+I33*Parameters!$M$25+G33*Parameters!$M$30</f>
        <v>521.6916737844708</v>
      </c>
      <c r="O33" s="7">
        <f>B33*Parameters!$M$19</f>
        <v>4000</v>
      </c>
      <c r="P33" s="7">
        <f>M33-N33-O33</f>
        <v>579.0539165813461</v>
      </c>
      <c r="Q33" s="7">
        <f>Parameters!$M$21</f>
        <v>1000</v>
      </c>
      <c r="R33" s="7">
        <f>P33-Q33</f>
        <v>-420.94608341865387</v>
      </c>
      <c r="S33" s="7">
        <f>IF(A33&lt;1+Parameters!$M$31,0,INDEX($M$5:$M$40,A33-Parameters!$M$31))</f>
        <v>5100.745590365817</v>
      </c>
      <c r="T33" s="7">
        <f>T32+M33-S33</f>
        <v>5100.745590365817</v>
      </c>
      <c r="U33" s="7">
        <f>S33-N33-O33-Q33</f>
        <v>-420.94608341865387</v>
      </c>
      <c r="V33" s="7">
        <f>V32+U33</f>
        <v>-50809.22459587126</v>
      </c>
      <c r="W33" s="7">
        <f>(1-Parameters!$M$7)*(C33-E33)+(1-Parameters!$M$8)*(D33+E33)</f>
        <v>1000.0</v>
      </c>
      <c r="X33" s="7">
        <f>Parameters!$M$7*(C33-E33)+Parameters!$M$8*Parameters!$M$9*(D33+E33)</f>
        <v>0.0</v>
      </c>
      <c r="Y33" s="7">
        <f>Parameters!$M$8*(1-Parameters!$M$9)*(D33+E33)</f>
        <v>0.0</v>
      </c>
      <c r="Z33" s="7">
        <f>POWER(1/(1+Parameters!$M$32),A33-1)*(M33-N33)</f>
        <v>3465.590873848732</v>
      </c>
    </row>
    <row r="34" spans="1:26">
      <c r="A34" s="7">
        <v>30</v>
      </c>
      <c r="B34" s="7">
        <f>Parameters!$M$20</f>
        <v>1000</v>
      </c>
      <c r="C34" s="7">
        <f>X33+B34</f>
        <v>1000.0</v>
      </c>
      <c r="D34" s="7">
        <f>Y33</f>
        <v>0.0</v>
      </c>
      <c r="E34" s="7">
        <f>Parameters!$M$6*C34</f>
        <v>100.0</v>
      </c>
      <c r="F34" s="7">
        <f>IF(Parameters!$M$5=1,E34,0)</f>
        <v>100.0</v>
      </c>
      <c r="G34" s="7">
        <f>Parameters!$M$27*G33+F34</f>
        <v>2272.5784030878135</v>
      </c>
      <c r="H34" s="7">
        <f>IF(AND(Parameters!$M$5=1,Parameters!$M$26=1),SUMPRODUCT(--($A$5:A34&lt;A34),--(MOD(A34-$A$5:A34,Parameters!$M$28)=0),$F$5:F34,POWER(Parameters!$M$27,IF(A34-$A$5:A34=0,1,A34-$A$5:A34))),0)</f>
        <v>140.04970602438783</v>
      </c>
      <c r="I34" s="7">
        <f>Parameters!$M$23*I33+B34*Parameters!$M$22</f>
        <v>0.0</v>
      </c>
      <c r="J34" s="7">
        <f>E34*Parameters!$M$14*(1-Parameters!$M$15)</f>
        <v>3000.0</v>
      </c>
      <c r="K34" s="7">
        <f>H34*Parameters!$M$29</f>
        <v>2100.7455903658174</v>
      </c>
      <c r="L34" s="7">
        <f>I34*Parameters!$M$24</f>
        <v>0.0</v>
      </c>
      <c r="M34" s="7">
        <f>J34+K34+L34</f>
        <v>5100.745590365817</v>
      </c>
      <c r="N34" s="7">
        <f>C34*Parameters!$M$17+D34*Parameters!$M$18+E34*Parameters!$M$16+I34*Parameters!$M$25+G34*Parameters!$M$30</f>
        <v>527.2578403087814</v>
      </c>
      <c r="O34" s="7">
        <f>B34*Parameters!$M$19</f>
        <v>4000</v>
      </c>
      <c r="P34" s="7">
        <f>M34-N34-O34</f>
        <v>573.4877500570365</v>
      </c>
      <c r="Q34" s="7">
        <f>Parameters!$M$21</f>
        <v>1000</v>
      </c>
      <c r="R34" s="7">
        <f>P34-Q34</f>
        <v>-426.51224994296354</v>
      </c>
      <c r="S34" s="7">
        <f>IF(A34&lt;1+Parameters!$M$31,0,INDEX($M$5:$M$40,A34-Parameters!$M$31))</f>
        <v>5100.745590365817</v>
      </c>
      <c r="T34" s="7">
        <f>T33+M34-S34</f>
        <v>5100.745590365817</v>
      </c>
      <c r="U34" s="7">
        <f>S34-N34-O34-Q34</f>
        <v>-426.51224994296354</v>
      </c>
      <c r="V34" s="7">
        <f>V33+U34</f>
        <v>-51235.73684581422</v>
      </c>
      <c r="W34" s="7">
        <f>(1-Parameters!$M$7)*(C34-E34)+(1-Parameters!$M$8)*(D34+E34)</f>
        <v>1000.0</v>
      </c>
      <c r="X34" s="7">
        <f>Parameters!$M$7*(C34-E34)+Parameters!$M$8*Parameters!$M$9*(D34+E34)</f>
        <v>0.0</v>
      </c>
      <c r="Y34" s="7">
        <f>Parameters!$M$8*(1-Parameters!$M$9)*(D34+E34)</f>
        <v>0.0</v>
      </c>
      <c r="Z34" s="7">
        <f>POWER(1/(1+Parameters!$M$32),A34-1)*(M34-N34)</f>
        <v>3427.1071297458457</v>
      </c>
    </row>
    <row r="35" spans="1:26">
      <c r="A35" s="7">
        <v>31</v>
      </c>
      <c r="B35" s="7">
        <f>Parameters!$M$20</f>
        <v>1000</v>
      </c>
      <c r="C35" s="7">
        <f>X34+B35</f>
        <v>1000.0</v>
      </c>
      <c r="D35" s="7">
        <f>Y34</f>
        <v>0.0</v>
      </c>
      <c r="E35" s="7">
        <f>Parameters!$M$6*C35</f>
        <v>100.0</v>
      </c>
      <c r="F35" s="7">
        <f>IF(Parameters!$M$5=1,E35,0)</f>
        <v>100.0</v>
      </c>
      <c r="G35" s="7">
        <f>Parameters!$M$27*G34+F35</f>
        <v>2327.126835026057</v>
      </c>
      <c r="H35" s="7">
        <f>IF(AND(Parameters!$M$5=1,Parameters!$M$26=1),SUMPRODUCT(--($A$5:A35&lt;A35),--(MOD(A35-$A$5:A35,Parameters!$M$28)=0),$F$5:F35,POWER(Parameters!$M$27,IF(A35-$A$5:A35=0,1,A35-$A$5:A35))),0)</f>
        <v>140.04970602438783</v>
      </c>
      <c r="I35" s="7">
        <f>Parameters!$M$23*I34+B35*Parameters!$M$22</f>
        <v>0.0</v>
      </c>
      <c r="J35" s="7">
        <f>E35*Parameters!$M$14*(1-Parameters!$M$15)</f>
        <v>3000.0</v>
      </c>
      <c r="K35" s="7">
        <f>H35*Parameters!$M$29</f>
        <v>2100.7455903658174</v>
      </c>
      <c r="L35" s="7">
        <f>I35*Parameters!$M$24</f>
        <v>0.0</v>
      </c>
      <c r="M35" s="7">
        <f>J35+K35+L35</f>
        <v>5100.745590365817</v>
      </c>
      <c r="N35" s="7">
        <f>C35*Parameters!$M$17+D35*Parameters!$M$18+E35*Parameters!$M$16+I35*Parameters!$M$25+G35*Parameters!$M$30</f>
        <v>532.7126835026057</v>
      </c>
      <c r="O35" s="7">
        <f>B35*Parameters!$M$19</f>
        <v>4000</v>
      </c>
      <c r="P35" s="7">
        <f>M35-N35-O35</f>
        <v>568.0329068632118</v>
      </c>
      <c r="Q35" s="7">
        <f>Parameters!$M$21</f>
        <v>1000</v>
      </c>
      <c r="R35" s="7">
        <f>P35-Q35</f>
        <v>-431.9670931367882</v>
      </c>
      <c r="S35" s="7">
        <f>IF(A35&lt;1+Parameters!$M$31,0,INDEX($M$5:$M$40,A35-Parameters!$M$31))</f>
        <v>5100.745590365817</v>
      </c>
      <c r="T35" s="7">
        <f>T34+M35-S35</f>
        <v>5100.745590365817</v>
      </c>
      <c r="U35" s="7">
        <f>S35-N35-O35-Q35</f>
        <v>-431.9670931367882</v>
      </c>
      <c r="V35" s="7">
        <f>V34+U35</f>
        <v>-51667.70393895101</v>
      </c>
      <c r="W35" s="7">
        <f>(1-Parameters!$M$7)*(C35-E35)+(1-Parameters!$M$8)*(D35+E35)</f>
        <v>1000.0</v>
      </c>
      <c r="X35" s="7">
        <f>Parameters!$M$7*(C35-E35)+Parameters!$M$8*Parameters!$M$9*(D35+E35)</f>
        <v>0.0</v>
      </c>
      <c r="Y35" s="7">
        <f>Parameters!$M$8*(1-Parameters!$M$9)*(D35+E35)</f>
        <v>0.0</v>
      </c>
      <c r="Z35" s="7">
        <f>POWER(1/(1+Parameters!$M$32),A35-1)*(M35-N35)</f>
        <v>3389.128302807552</v>
      </c>
    </row>
    <row r="36" spans="1:26">
      <c r="A36" s="7">
        <v>32</v>
      </c>
      <c r="B36" s="7">
        <f>Parameters!$M$20</f>
        <v>1000</v>
      </c>
      <c r="C36" s="7">
        <f>X35+B36</f>
        <v>1000.0</v>
      </c>
      <c r="D36" s="7">
        <f>Y35</f>
        <v>0.0</v>
      </c>
      <c r="E36" s="7">
        <f>Parameters!$M$6*C36</f>
        <v>100.0</v>
      </c>
      <c r="F36" s="7">
        <f>IF(Parameters!$M$5=1,E36,0)</f>
        <v>100.0</v>
      </c>
      <c r="G36" s="7">
        <f>Parameters!$M$27*G35+F36</f>
        <v>2380.5842983255357</v>
      </c>
      <c r="H36" s="7">
        <f>IF(AND(Parameters!$M$5=1,Parameters!$M$26=1),SUMPRODUCT(--($A$5:A36&lt;A36),--(MOD(A36-$A$5:A36,Parameters!$M$28)=0),$F$5:F36,POWER(Parameters!$M$27,IF(A36-$A$5:A36=0,1,A36-$A$5:A36))),0)</f>
        <v>140.04970602438783</v>
      </c>
      <c r="I36" s="7">
        <f>Parameters!$M$23*I35+B36*Parameters!$M$22</f>
        <v>0.0</v>
      </c>
      <c r="J36" s="7">
        <f>E36*Parameters!$M$14*(1-Parameters!$M$15)</f>
        <v>3000.0</v>
      </c>
      <c r="K36" s="7">
        <f>H36*Parameters!$M$29</f>
        <v>2100.7455903658174</v>
      </c>
      <c r="L36" s="7">
        <f>I36*Parameters!$M$24</f>
        <v>0.0</v>
      </c>
      <c r="M36" s="7">
        <f>J36+K36+L36</f>
        <v>5100.745590365817</v>
      </c>
      <c r="N36" s="7">
        <f>C36*Parameters!$M$17+D36*Parameters!$M$18+E36*Parameters!$M$16+I36*Parameters!$M$25+G36*Parameters!$M$30</f>
        <v>538.0584298325535</v>
      </c>
      <c r="O36" s="7">
        <f>B36*Parameters!$M$19</f>
        <v>4000</v>
      </c>
      <c r="P36" s="7">
        <f>M36-N36-O36</f>
        <v>562.6871605332635</v>
      </c>
      <c r="Q36" s="7">
        <f>Parameters!$M$21</f>
        <v>1000</v>
      </c>
      <c r="R36" s="7">
        <f>P36-Q36</f>
        <v>-437.3128394667365</v>
      </c>
      <c r="S36" s="7">
        <f>IF(A36&lt;1+Parameters!$M$31,0,INDEX($M$5:$M$40,A36-Parameters!$M$31))</f>
        <v>5100.745590365817</v>
      </c>
      <c r="T36" s="7">
        <f>T35+M36-S36</f>
        <v>5100.745590365817</v>
      </c>
      <c r="U36" s="7">
        <f>S36-N36-O36-Q36</f>
        <v>-437.3128394667365</v>
      </c>
      <c r="V36" s="7">
        <f>V35+U36</f>
        <v>-52105.01677841775</v>
      </c>
      <c r="W36" s="7">
        <f>(1-Parameters!$M$7)*(C36-E36)+(1-Parameters!$M$8)*(D36+E36)</f>
        <v>1000.0</v>
      </c>
      <c r="X36" s="7">
        <f>Parameters!$M$7*(C36-E36)+Parameters!$M$8*Parameters!$M$9*(D36+E36)</f>
        <v>0.0</v>
      </c>
      <c r="Y36" s="7">
        <f>Parameters!$M$8*(1-Parameters!$M$9)*(D36+E36)</f>
        <v>0.0</v>
      </c>
      <c r="Z36" s="7">
        <f>POWER(1/(1+Parameters!$M$32),A36-1)*(M36-N36)</f>
        <v>3351.645713953156</v>
      </c>
    </row>
    <row r="37" spans="1:26">
      <c r="A37" s="7">
        <v>33</v>
      </c>
      <c r="B37" s="7">
        <f>Parameters!$M$20</f>
        <v>1000</v>
      </c>
      <c r="C37" s="7">
        <f>X36+B37</f>
        <v>1000.0</v>
      </c>
      <c r="D37" s="7">
        <f>Y36</f>
        <v>0.0</v>
      </c>
      <c r="E37" s="7">
        <f>Parameters!$M$6*C37</f>
        <v>100.0</v>
      </c>
      <c r="F37" s="7">
        <f>IF(Parameters!$M$5=1,E37,0)</f>
        <v>100.0</v>
      </c>
      <c r="G37" s="7">
        <f>Parameters!$M$27*G36+F37</f>
        <v>2432.972612359025</v>
      </c>
      <c r="H37" s="7">
        <f>IF(AND(Parameters!$M$5=1,Parameters!$M$26=1),SUMPRODUCT(--($A$5:A37&lt;A37),--(MOD(A37-$A$5:A37,Parameters!$M$28)=0),$F$5:F37,POWER(Parameters!$M$27,IF(A37-$A$5:A37=0,1,A37-$A$5:A37))),0)</f>
        <v>140.04970602438783</v>
      </c>
      <c r="I37" s="7">
        <f>Parameters!$M$23*I36+B37*Parameters!$M$22</f>
        <v>0.0</v>
      </c>
      <c r="J37" s="7">
        <f>E37*Parameters!$M$14*(1-Parameters!$M$15)</f>
        <v>3000.0</v>
      </c>
      <c r="K37" s="7">
        <f>H37*Parameters!$M$29</f>
        <v>2100.7455903658174</v>
      </c>
      <c r="L37" s="7">
        <f>I37*Parameters!$M$24</f>
        <v>0.0</v>
      </c>
      <c r="M37" s="7">
        <f>J37+K37+L37</f>
        <v>5100.745590365817</v>
      </c>
      <c r="N37" s="7">
        <f>C37*Parameters!$M$17+D37*Parameters!$M$18+E37*Parameters!$M$16+I37*Parameters!$M$25+G37*Parameters!$M$30</f>
        <v>543.2972612359025</v>
      </c>
      <c r="O37" s="7">
        <f>B37*Parameters!$M$19</f>
        <v>4000</v>
      </c>
      <c r="P37" s="7">
        <f>M37-N37-O37</f>
        <v>557.4483291299148</v>
      </c>
      <c r="Q37" s="7">
        <f>Parameters!$M$21</f>
        <v>1000</v>
      </c>
      <c r="R37" s="7">
        <f>P37-Q37</f>
        <v>-442.5516708700852</v>
      </c>
      <c r="S37" s="7">
        <f>IF(A37&lt;1+Parameters!$M$31,0,INDEX($M$5:$M$40,A37-Parameters!$M$31))</f>
        <v>5100.745590365817</v>
      </c>
      <c r="T37" s="7">
        <f>T36+M37-S37</f>
        <v>5100.745590365817</v>
      </c>
      <c r="U37" s="7">
        <f>S37-N37-O37-Q37</f>
        <v>-442.5516708700852</v>
      </c>
      <c r="V37" s="7">
        <f>V36+U37</f>
        <v>-52547.568449287835</v>
      </c>
      <c r="W37" s="7">
        <f>(1-Parameters!$M$7)*(C37-E37)+(1-Parameters!$M$8)*(D37+E37)</f>
        <v>1000.0</v>
      </c>
      <c r="X37" s="7">
        <f>Parameters!$M$7*(C37-E37)+Parameters!$M$8*Parameters!$M$9*(D37+E37)</f>
        <v>0.0</v>
      </c>
      <c r="Y37" s="7">
        <f>Parameters!$M$8*(1-Parameters!$M$9)*(D37+E37)</f>
        <v>0.0</v>
      </c>
      <c r="Z37" s="7">
        <f>POWER(1/(1+Parameters!$M$32),A37-1)*(M37-N37)</f>
        <v>3314.6508793374373</v>
      </c>
    </row>
    <row r="38" spans="1:26">
      <c r="A38" s="7">
        <v>34</v>
      </c>
      <c r="B38" s="7">
        <f>Parameters!$M$20</f>
        <v>1000</v>
      </c>
      <c r="C38" s="7">
        <f>X37+B38</f>
        <v>1000.0</v>
      </c>
      <c r="D38" s="7">
        <f>Y37</f>
        <v>0.0</v>
      </c>
      <c r="E38" s="7">
        <f>Parameters!$M$6*C38</f>
        <v>100.0</v>
      </c>
      <c r="F38" s="7">
        <f>IF(Parameters!$M$5=1,E38,0)</f>
        <v>100.0</v>
      </c>
      <c r="G38" s="7">
        <f>Parameters!$M$27*G37+F38</f>
        <v>2484.3131601118444</v>
      </c>
      <c r="H38" s="7">
        <f>IF(AND(Parameters!$M$5=1,Parameters!$M$26=1),SUMPRODUCT(--($A$5:A38&lt;A38),--(MOD(A38-$A$5:A38,Parameters!$M$28)=0),$F$5:F38,POWER(Parameters!$M$27,IF(A38-$A$5:A38=0,1,A38-$A$5:A38))),0)</f>
        <v>140.04970602438783</v>
      </c>
      <c r="I38" s="7">
        <f>Parameters!$M$23*I37+B38*Parameters!$M$22</f>
        <v>0.0</v>
      </c>
      <c r="J38" s="7">
        <f>E38*Parameters!$M$14*(1-Parameters!$M$15)</f>
        <v>3000.0</v>
      </c>
      <c r="K38" s="7">
        <f>H38*Parameters!$M$29</f>
        <v>2100.7455903658174</v>
      </c>
      <c r="L38" s="7">
        <f>I38*Parameters!$M$24</f>
        <v>0.0</v>
      </c>
      <c r="M38" s="7">
        <f>J38+K38+L38</f>
        <v>5100.745590365817</v>
      </c>
      <c r="N38" s="7">
        <f>C38*Parameters!$M$17+D38*Parameters!$M$18+E38*Parameters!$M$16+I38*Parameters!$M$25+G38*Parameters!$M$30</f>
        <v>548.4313160111844</v>
      </c>
      <c r="O38" s="7">
        <f>B38*Parameters!$M$19</f>
        <v>4000</v>
      </c>
      <c r="P38" s="7">
        <f>M38-N38-O38</f>
        <v>552.3142743546332</v>
      </c>
      <c r="Q38" s="7">
        <f>Parameters!$M$21</f>
        <v>1000</v>
      </c>
      <c r="R38" s="7">
        <f>P38-Q38</f>
        <v>-447.6857256453668</v>
      </c>
      <c r="S38" s="7">
        <f>IF(A38&lt;1+Parameters!$M$31,0,INDEX($M$5:$M$40,A38-Parameters!$M$31))</f>
        <v>5100.745590365817</v>
      </c>
      <c r="T38" s="7">
        <f>T37+M38-S38</f>
        <v>5100.745590365817</v>
      </c>
      <c r="U38" s="7">
        <f>S38-N38-O38-Q38</f>
        <v>-447.6857256453668</v>
      </c>
      <c r="V38" s="7">
        <f>V37+U38</f>
        <v>-52995.2541749332</v>
      </c>
      <c r="W38" s="7">
        <f>(1-Parameters!$M$7)*(C38-E38)+(1-Parameters!$M$8)*(D38+E38)</f>
        <v>1000.0</v>
      </c>
      <c r="X38" s="7">
        <f>Parameters!$M$7*(C38-E38)+Parameters!$M$8*Parameters!$M$9*(D38+E38)</f>
        <v>0.0</v>
      </c>
      <c r="Y38" s="7">
        <f>Parameters!$M$8*(1-Parameters!$M$9)*(D38+E38)</f>
        <v>0.0</v>
      </c>
      <c r="Z38" s="7">
        <f>POWER(1/(1+Parameters!$M$32),A38-1)*(M38-N38)</f>
        <v>3278.1355051709784</v>
      </c>
    </row>
    <row r="39" spans="1:26">
      <c r="A39" s="7">
        <v>35</v>
      </c>
      <c r="B39" s="7">
        <f>Parameters!$M$20</f>
        <v>1000</v>
      </c>
      <c r="C39" s="7">
        <f>X38+B39</f>
        <v>1000.0</v>
      </c>
      <c r="D39" s="7">
        <f>Y38</f>
        <v>0.0</v>
      </c>
      <c r="E39" s="7">
        <f>Parameters!$M$6*C39</f>
        <v>100.0</v>
      </c>
      <c r="F39" s="7">
        <f>IF(Parameters!$M$5=1,E39,0)</f>
        <v>100.0</v>
      </c>
      <c r="G39" s="7">
        <f>Parameters!$M$27*G38+F39</f>
        <v>2534.6268969096072</v>
      </c>
      <c r="H39" s="7">
        <f>IF(AND(Parameters!$M$5=1,Parameters!$M$26=1),SUMPRODUCT(--($A$5:A39&lt;A39),--(MOD(A39-$A$5:A39,Parameters!$M$28)=0),$F$5:F39,POWER(Parameters!$M$27,IF(A39-$A$5:A39=0,1,A39-$A$5:A39))),0)</f>
        <v>140.04970602438783</v>
      </c>
      <c r="I39" s="7">
        <f>Parameters!$M$23*I38+B39*Parameters!$M$22</f>
        <v>0.0</v>
      </c>
      <c r="J39" s="7">
        <f>E39*Parameters!$M$14*(1-Parameters!$M$15)</f>
        <v>3000.0</v>
      </c>
      <c r="K39" s="7">
        <f>H39*Parameters!$M$29</f>
        <v>2100.7455903658174</v>
      </c>
      <c r="L39" s="7">
        <f>I39*Parameters!$M$24</f>
        <v>0.0</v>
      </c>
      <c r="M39" s="7">
        <f>J39+K39+L39</f>
        <v>5100.745590365817</v>
      </c>
      <c r="N39" s="7">
        <f>C39*Parameters!$M$17+D39*Parameters!$M$18+E39*Parameters!$M$16+I39*Parameters!$M$25+G39*Parameters!$M$30</f>
        <v>553.4626896909607</v>
      </c>
      <c r="O39" s="7">
        <f>B39*Parameters!$M$19</f>
        <v>4000</v>
      </c>
      <c r="P39" s="7">
        <f>M39-N39-O39</f>
        <v>547.282900674857</v>
      </c>
      <c r="Q39" s="7">
        <f>Parameters!$M$21</f>
        <v>1000</v>
      </c>
      <c r="R39" s="7">
        <f>P39-Q39</f>
        <v>-452.71709932514295</v>
      </c>
      <c r="S39" s="7">
        <f>IF(A39&lt;1+Parameters!$M$31,0,INDEX($M$5:$M$40,A39-Parameters!$M$31))</f>
        <v>5100.745590365817</v>
      </c>
      <c r="T39" s="7">
        <f>T38+M39-S39</f>
        <v>5100.745590365817</v>
      </c>
      <c r="U39" s="7">
        <f>S39-N39-O39-Q39</f>
        <v>-452.71709932514295</v>
      </c>
      <c r="V39" s="7">
        <f>V38+U39</f>
        <v>-53447.97127425834</v>
      </c>
      <c r="W39" s="7">
        <f>(1-Parameters!$M$7)*(C39-E39)+(1-Parameters!$M$8)*(D39+E39)</f>
        <v>1000.0</v>
      </c>
      <c r="X39" s="7">
        <f>Parameters!$M$7*(C39-E39)+Parameters!$M$8*Parameters!$M$9*(D39+E39)</f>
        <v>0.0</v>
      </c>
      <c r="Y39" s="7">
        <f>Parameters!$M$8*(1-Parameters!$M$9)*(D39+E39)</f>
        <v>0.0</v>
      </c>
      <c r="Z39" s="7">
        <f>POWER(1/(1+Parameters!$M$32),A39-1)*(M39-N39)</f>
        <v>3242.0914826882004</v>
      </c>
    </row>
    <row r="40" spans="1:26">
      <c r="A40" s="7">
        <v>36</v>
      </c>
      <c r="B40" s="7">
        <f>Parameters!$M$20</f>
        <v>1000</v>
      </c>
      <c r="C40" s="7">
        <f>X39+B40</f>
        <v>1000.0</v>
      </c>
      <c r="D40" s="7">
        <f>Y39</f>
        <v>0.0</v>
      </c>
      <c r="E40" s="7">
        <f>Parameters!$M$6*C40</f>
        <v>100.0</v>
      </c>
      <c r="F40" s="7">
        <f>IF(Parameters!$M$5=1,E40,0)</f>
        <v>100.0</v>
      </c>
      <c r="G40" s="7">
        <f>Parameters!$M$27*G39+F40</f>
        <v>2583.934358971415</v>
      </c>
      <c r="H40" s="7">
        <f>IF(AND(Parameters!$M$5=1,Parameters!$M$26=1),SUMPRODUCT(--($A$5:A40&lt;A40),--(MOD(A40-$A$5:A40,Parameters!$M$28)=0),$F$5:F40,POWER(Parameters!$M$27,IF(A40-$A$5:A40=0,1,A40-$A$5:A40))),0)</f>
        <v>140.04970602438783</v>
      </c>
      <c r="I40" s="7">
        <f>Parameters!$M$23*I39+B40*Parameters!$M$22</f>
        <v>0.0</v>
      </c>
      <c r="J40" s="7">
        <f>E40*Parameters!$M$14*(1-Parameters!$M$15)</f>
        <v>3000.0</v>
      </c>
      <c r="K40" s="7">
        <f>H40*Parameters!$M$29</f>
        <v>2100.7455903658174</v>
      </c>
      <c r="L40" s="7">
        <f>I40*Parameters!$M$24</f>
        <v>0.0</v>
      </c>
      <c r="M40" s="7">
        <f>J40+K40+L40</f>
        <v>5100.745590365817</v>
      </c>
      <c r="N40" s="7">
        <f>C40*Parameters!$M$17+D40*Parameters!$M$18+E40*Parameters!$M$16+I40*Parameters!$M$25+G40*Parameters!$M$30</f>
        <v>558.3934358971414</v>
      </c>
      <c r="O40" s="7">
        <f>B40*Parameters!$M$19</f>
        <v>4000</v>
      </c>
      <c r="P40" s="7">
        <f>M40-N40-O40</f>
        <v>542.3521544686755</v>
      </c>
      <c r="Q40" s="7">
        <f>Parameters!$M$21</f>
        <v>1000</v>
      </c>
      <c r="R40" s="7">
        <f>P40-Q40</f>
        <v>-457.6478455313245</v>
      </c>
      <c r="S40" s="7">
        <f>IF(A40&lt;1+Parameters!$M$31,0,INDEX($M$5:$M$40,A40-Parameters!$M$31))</f>
        <v>5100.745590365817</v>
      </c>
      <c r="T40" s="7">
        <f>T39+M40-S40</f>
        <v>5100.745590365817</v>
      </c>
      <c r="U40" s="7">
        <f>S40-N40-O40-Q40</f>
        <v>-457.6478455313245</v>
      </c>
      <c r="V40" s="7">
        <f>V39+U40</f>
        <v>-53905.61911978967</v>
      </c>
      <c r="W40" s="7">
        <f>(1-Parameters!$M$7)*(C40-E40)+(1-Parameters!$M$8)*(D40+E40)</f>
        <v>1000.0</v>
      </c>
      <c r="X40" s="7">
        <f>Parameters!$M$7*(C40-E40)+Parameters!$M$8*Parameters!$M$9*(D40+E40)</f>
        <v>0.0</v>
      </c>
      <c r="Y40" s="7">
        <f>Parameters!$M$8*(1-Parameters!$M$9)*(D40+E40)</f>
        <v>0.0</v>
      </c>
      <c r="Z40" s="7">
        <f>POWER(1/(1+Parameters!$M$32),A40-1)*(M40-N40)</f>
        <v>3206.5108832588026</v>
      </c>
    </row>
    <row r="43" spans="1:26">
      <c r="A43" s="1" t="s">
        <v>189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45" customHeight="1">
      <c r="A44" s="4" t="s">
        <v>164</v>
      </c>
      <c r="B44" s="4" t="s">
        <v>165</v>
      </c>
      <c r="C44" s="4" t="s">
        <v>166</v>
      </c>
      <c r="D44" s="4" t="s">
        <v>167</v>
      </c>
      <c r="E44" s="4" t="s">
        <v>168</v>
      </c>
      <c r="F44" s="4" t="s">
        <v>169</v>
      </c>
      <c r="G44" s="4" t="s">
        <v>170</v>
      </c>
      <c r="H44" s="4" t="s">
        <v>171</v>
      </c>
      <c r="I44" s="4" t="s">
        <v>172</v>
      </c>
      <c r="J44" s="4" t="s">
        <v>173</v>
      </c>
      <c r="K44" s="4" t="s">
        <v>174</v>
      </c>
      <c r="L44" s="4" t="s">
        <v>175</v>
      </c>
      <c r="M44" s="4" t="s">
        <v>176</v>
      </c>
      <c r="N44" s="4" t="s">
        <v>177</v>
      </c>
      <c r="O44" s="4" t="s">
        <v>99</v>
      </c>
      <c r="P44" s="4" t="s">
        <v>178</v>
      </c>
      <c r="Q44" s="4" t="s">
        <v>179</v>
      </c>
      <c r="R44" s="4" t="s">
        <v>180</v>
      </c>
      <c r="S44" s="4" t="s">
        <v>181</v>
      </c>
      <c r="T44" s="4" t="s">
        <v>182</v>
      </c>
      <c r="U44" s="4" t="s">
        <v>183</v>
      </c>
      <c r="V44" s="4" t="s">
        <v>184</v>
      </c>
      <c r="W44" s="4" t="s">
        <v>185</v>
      </c>
      <c r="X44" s="4" t="s">
        <v>186</v>
      </c>
      <c r="Y44" s="4" t="s">
        <v>187</v>
      </c>
      <c r="Z44" s="4" t="s">
        <v>188</v>
      </c>
    </row>
    <row r="45" spans="1:26">
      <c r="A45" s="7">
        <v>1</v>
      </c>
      <c r="B45" s="7">
        <f>1</f>
        <v>1</v>
      </c>
      <c r="C45" s="7">
        <f>B45</f>
        <v>1</v>
      </c>
      <c r="D45" s="7">
        <f>0</f>
        <v>0.0</v>
      </c>
      <c r="E45" s="7">
        <f>Parameters!$M$6*C45</f>
        <v>0.1</v>
      </c>
      <c r="F45" s="7">
        <f>IF(Parameters!$M$5=1,E45,0)</f>
        <v>0.1</v>
      </c>
      <c r="G45" s="7">
        <f>F45</f>
        <v>0.1</v>
      </c>
      <c r="H45" s="7">
        <f>IF(AND(Parameters!$M$5=1,Parameters!$M$26=1),SUMPRODUCT(--($A$45:A45&lt;A45),--(MOD(A45-$A$45:A45,Parameters!$M$28)=0),$F$45:F45,POWER(Parameters!$M$27,IF(A45-$A$45:A45=0,1,A45-$A$45:A45))),0)</f>
        <v>0</v>
      </c>
      <c r="I45" s="7">
        <f>B45*Parameters!$M$22</f>
        <v>0.0</v>
      </c>
      <c r="J45" s="7">
        <f>E45*Parameters!$M$14*(1-Parameters!$M$15)</f>
        <v>3.0</v>
      </c>
      <c r="K45" s="7">
        <f>H45*Parameters!$M$29</f>
        <v>0</v>
      </c>
      <c r="L45" s="7">
        <f>I45*Parameters!$M$24</f>
        <v>0.0</v>
      </c>
      <c r="M45" s="7">
        <f>J45+K45+L45</f>
        <v>3.0</v>
      </c>
      <c r="N45" s="7">
        <f>C45*Parameters!$M$17+D45*Parameters!$M$18+E45*Parameters!$M$16+I45*Parameters!$M$25+G45*Parameters!$M$30</f>
        <v>0.31000000000000005</v>
      </c>
      <c r="O45" s="7">
        <f>0</f>
        <v>0</v>
      </c>
      <c r="P45" s="7">
        <f>M45-N45-O45</f>
        <v>2.69</v>
      </c>
      <c r="Q45" s="7">
        <f>0</f>
        <v>0</v>
      </c>
      <c r="R45" s="7">
        <f>P45-Q45</f>
        <v>2.69</v>
      </c>
      <c r="S45" s="7">
        <f>IF(A45&lt;1+Parameters!$M$31,0,INDEX($M$45:$M$80,A45-Parameters!$M$31))</f>
        <v>0.0</v>
      </c>
      <c r="T45" s="7">
        <f>M45-S45</f>
        <v>3.0</v>
      </c>
      <c r="U45" s="7">
        <f>S45-N45-O45-Q45</f>
        <v>-0.31000000000000005</v>
      </c>
      <c r="V45" s="7">
        <f>U45</f>
        <v>-0.31000000000000005</v>
      </c>
      <c r="W45" s="7">
        <f>(1-Parameters!$M$7)*(C45-E45)+(1-Parameters!$M$8)*(D45+E45)</f>
        <v>1.0</v>
      </c>
      <c r="X45" s="7">
        <f>Parameters!$M$7*(C45-E45)+Parameters!$M$8*Parameters!$M$9*(D45+E45)</f>
        <v>0.0</v>
      </c>
      <c r="Y45" s="7">
        <f>Parameters!$M$8*(1-Parameters!$M$9)*(D45+E45)</f>
        <v>0.0</v>
      </c>
      <c r="Z45" s="7">
        <f>POWER(1/(1+Parameters!$M$32),A45-1)*(M45-N45)</f>
        <v>2.69</v>
      </c>
    </row>
    <row r="46" spans="1:26">
      <c r="A46" s="7">
        <v>2</v>
      </c>
      <c r="B46" s="7">
        <f>0</f>
        <v>0</v>
      </c>
      <c r="C46" s="7">
        <f>X45+B46</f>
        <v>0.0</v>
      </c>
      <c r="D46" s="7">
        <f>Y45</f>
        <v>0.0</v>
      </c>
      <c r="E46" s="7">
        <f>Parameters!$M$6*C46</f>
        <v>0.0</v>
      </c>
      <c r="F46" s="7">
        <f>IF(Parameters!$M$5=1,E46,0)</f>
        <v>0.0</v>
      </c>
      <c r="G46" s="7">
        <f>Parameters!$M$27*G45+F46</f>
        <v>0.098</v>
      </c>
      <c r="H46" s="7">
        <f>IF(AND(Parameters!$M$5=1,Parameters!$M$26=1),SUMPRODUCT(--($A$45:A46&lt;A46),--(MOD(A46-$A$45:A46,Parameters!$M$28)=0),$F$45:F46,POWER(Parameters!$M$27,IF(A46-$A$45:A46=0,1,A46-$A$45:A46))),0)</f>
        <v>0</v>
      </c>
      <c r="I46" s="7">
        <f>Parameters!$M$23*I45+B46*Parameters!$M$22</f>
        <v>0.0</v>
      </c>
      <c r="J46" s="7">
        <f>E46*Parameters!$M$14*(1-Parameters!$M$15)</f>
        <v>0.0</v>
      </c>
      <c r="K46" s="7">
        <f>H46*Parameters!$M$29</f>
        <v>0</v>
      </c>
      <c r="L46" s="7">
        <f>I46*Parameters!$M$24</f>
        <v>0.0</v>
      </c>
      <c r="M46" s="7">
        <f>J46+K46+L46</f>
        <v>0.0</v>
      </c>
      <c r="N46" s="7">
        <f>C46*Parameters!$M$17+D46*Parameters!$M$18+E46*Parameters!$M$16+I46*Parameters!$M$25+G46*Parameters!$M$30</f>
        <v>0.009800000000000001</v>
      </c>
      <c r="O46" s="7">
        <f>0</f>
        <v>0</v>
      </c>
      <c r="P46" s="7">
        <f>M46-N46-O46</f>
        <v>-0.009800000000000001</v>
      </c>
      <c r="Q46" s="7">
        <f>0</f>
        <v>0</v>
      </c>
      <c r="R46" s="7">
        <f>P46-Q46</f>
        <v>-0.009800000000000001</v>
      </c>
      <c r="S46" s="7">
        <f>IF(A46&lt;1+Parameters!$M$31,0,INDEX($M$45:$M$80,A46-Parameters!$M$31))</f>
        <v>3.0</v>
      </c>
      <c r="T46" s="7">
        <f>T45+M46-S46</f>
        <v>0.0</v>
      </c>
      <c r="U46" s="7">
        <f>S46-N46-O46-Q46</f>
        <v>2.9902</v>
      </c>
      <c r="V46" s="7">
        <f>V45+U46</f>
        <v>2.6802</v>
      </c>
      <c r="W46" s="7">
        <f>(1-Parameters!$M$7)*(C46-E46)+(1-Parameters!$M$8)*(D46+E46)</f>
        <v>0.0</v>
      </c>
      <c r="X46" s="7">
        <f>Parameters!$M$7*(C46-E46)+Parameters!$M$8*Parameters!$M$9*(D46+E46)</f>
        <v>0.0</v>
      </c>
      <c r="Y46" s="7">
        <f>Parameters!$M$8*(1-Parameters!$M$9)*(D46+E46)</f>
        <v>0.0</v>
      </c>
      <c r="Z46" s="7">
        <f>POWER(1/(1+Parameters!$M$32),A46-1)*(M46-N46)</f>
        <v>-0.009702970297029705</v>
      </c>
    </row>
    <row r="47" spans="1:26">
      <c r="A47" s="7">
        <v>3</v>
      </c>
      <c r="B47" s="7">
        <f>0</f>
        <v>0</v>
      </c>
      <c r="C47" s="7">
        <f>X46+B47</f>
        <v>0.0</v>
      </c>
      <c r="D47" s="7">
        <f>Y46</f>
        <v>0.0</v>
      </c>
      <c r="E47" s="7">
        <f>Parameters!$M$6*C47</f>
        <v>0.0</v>
      </c>
      <c r="F47" s="7">
        <f>IF(Parameters!$M$5=1,E47,0)</f>
        <v>0.0</v>
      </c>
      <c r="G47" s="7">
        <f>Parameters!$M$27*G46+F47</f>
        <v>0.09604</v>
      </c>
      <c r="H47" s="7">
        <f>IF(AND(Parameters!$M$5=1,Parameters!$M$26=1),SUMPRODUCT(--($A$45:A47&lt;A47),--(MOD(A47-$A$45:A47,Parameters!$M$28)=0),$F$45:F47,POWER(Parameters!$M$27,IF(A47-$A$45:A47=0,1,A47-$A$45:A47))),0)</f>
        <v>0</v>
      </c>
      <c r="I47" s="7">
        <f>Parameters!$M$23*I46+B47*Parameters!$M$22</f>
        <v>0.0</v>
      </c>
      <c r="J47" s="7">
        <f>E47*Parameters!$M$14*(1-Parameters!$M$15)</f>
        <v>0.0</v>
      </c>
      <c r="K47" s="7">
        <f>H47*Parameters!$M$29</f>
        <v>0</v>
      </c>
      <c r="L47" s="7">
        <f>I47*Parameters!$M$24</f>
        <v>0.0</v>
      </c>
      <c r="M47" s="7">
        <f>J47+K47+L47</f>
        <v>0.0</v>
      </c>
      <c r="N47" s="7">
        <f>C47*Parameters!$M$17+D47*Parameters!$M$18+E47*Parameters!$M$16+I47*Parameters!$M$25+G47*Parameters!$M$30</f>
        <v>0.009604000000000001</v>
      </c>
      <c r="O47" s="7">
        <f>0</f>
        <v>0</v>
      </c>
      <c r="P47" s="7">
        <f>M47-N47-O47</f>
        <v>-0.009604000000000001</v>
      </c>
      <c r="Q47" s="7">
        <f>0</f>
        <v>0</v>
      </c>
      <c r="R47" s="7">
        <f>P47-Q47</f>
        <v>-0.009604000000000001</v>
      </c>
      <c r="S47" s="7">
        <f>IF(A47&lt;1+Parameters!$M$31,0,INDEX($M$45:$M$80,A47-Parameters!$M$31))</f>
        <v>0.0</v>
      </c>
      <c r="T47" s="7">
        <f>T46+M47-S47</f>
        <v>0.0</v>
      </c>
      <c r="U47" s="7">
        <f>S47-N47-O47-Q47</f>
        <v>-0.009604000000000001</v>
      </c>
      <c r="V47" s="7">
        <f>V46+U47</f>
        <v>2.670596</v>
      </c>
      <c r="W47" s="7">
        <f>(1-Parameters!$M$7)*(C47-E47)+(1-Parameters!$M$8)*(D47+E47)</f>
        <v>0.0</v>
      </c>
      <c r="X47" s="7">
        <f>Parameters!$M$7*(C47-E47)+Parameters!$M$8*Parameters!$M$9*(D47+E47)</f>
        <v>0.0</v>
      </c>
      <c r="Y47" s="7">
        <f>Parameters!$M$8*(1-Parameters!$M$9)*(D47+E47)</f>
        <v>0.0</v>
      </c>
      <c r="Z47" s="7">
        <f>POWER(1/(1+Parameters!$M$32),A47-1)*(M47-N47)</f>
        <v>-0.009414763258504068</v>
      </c>
    </row>
    <row r="48" spans="1:26">
      <c r="A48" s="7">
        <v>4</v>
      </c>
      <c r="B48" s="7">
        <f>0</f>
        <v>0</v>
      </c>
      <c r="C48" s="7">
        <f>X47+B48</f>
        <v>0.0</v>
      </c>
      <c r="D48" s="7">
        <f>Y47</f>
        <v>0.0</v>
      </c>
      <c r="E48" s="7">
        <f>Parameters!$M$6*C48</f>
        <v>0.0</v>
      </c>
      <c r="F48" s="7">
        <f>IF(Parameters!$M$5=1,E48,0)</f>
        <v>0.0</v>
      </c>
      <c r="G48" s="7">
        <f>Parameters!$M$27*G47+F48</f>
        <v>0.0941192</v>
      </c>
      <c r="H48" s="7">
        <f>IF(AND(Parameters!$M$5=1,Parameters!$M$26=1),SUMPRODUCT(--($A$45:A48&lt;A48),--(MOD(A48-$A$45:A48,Parameters!$M$28)=0),$F$45:F48,POWER(Parameters!$M$27,IF(A48-$A$45:A48=0,1,A48-$A$45:A48))),0)</f>
        <v>0</v>
      </c>
      <c r="I48" s="7">
        <f>Parameters!$M$23*I47+B48*Parameters!$M$22</f>
        <v>0.0</v>
      </c>
      <c r="J48" s="7">
        <f>E48*Parameters!$M$14*(1-Parameters!$M$15)</f>
        <v>0.0</v>
      </c>
      <c r="K48" s="7">
        <f>H48*Parameters!$M$29</f>
        <v>0</v>
      </c>
      <c r="L48" s="7">
        <f>I48*Parameters!$M$24</f>
        <v>0.0</v>
      </c>
      <c r="M48" s="7">
        <f>J48+K48+L48</f>
        <v>0.0</v>
      </c>
      <c r="N48" s="7">
        <f>C48*Parameters!$M$17+D48*Parameters!$M$18+E48*Parameters!$M$16+I48*Parameters!$M$25+G48*Parameters!$M$30</f>
        <v>0.00941192</v>
      </c>
      <c r="O48" s="7">
        <f>0</f>
        <v>0</v>
      </c>
      <c r="P48" s="7">
        <f>M48-N48-O48</f>
        <v>-0.00941192</v>
      </c>
      <c r="Q48" s="7">
        <f>0</f>
        <v>0</v>
      </c>
      <c r="R48" s="7">
        <f>P48-Q48</f>
        <v>-0.00941192</v>
      </c>
      <c r="S48" s="7">
        <f>IF(A48&lt;1+Parameters!$M$31,0,INDEX($M$45:$M$80,A48-Parameters!$M$31))</f>
        <v>0.0</v>
      </c>
      <c r="T48" s="7">
        <f>T47+M48-S48</f>
        <v>0.0</v>
      </c>
      <c r="U48" s="7">
        <f>S48-N48-O48-Q48</f>
        <v>-0.00941192</v>
      </c>
      <c r="V48" s="7">
        <f>V47+U48</f>
        <v>2.6611840800000004</v>
      </c>
      <c r="W48" s="7">
        <f>(1-Parameters!$M$7)*(C48-E48)+(1-Parameters!$M$8)*(D48+E48)</f>
        <v>0.0</v>
      </c>
      <c r="X48" s="7">
        <f>Parameters!$M$7*(C48-E48)+Parameters!$M$8*Parameters!$M$9*(D48+E48)</f>
        <v>0.0</v>
      </c>
      <c r="Y48" s="7">
        <f>Parameters!$M$8*(1-Parameters!$M$9)*(D48+E48)</f>
        <v>0.0</v>
      </c>
      <c r="Z48" s="7">
        <f>POWER(1/(1+Parameters!$M$32),A48-1)*(M48-N48)</f>
        <v>-0.009135116825083155</v>
      </c>
    </row>
    <row r="49" spans="1:26">
      <c r="A49" s="7">
        <v>5</v>
      </c>
      <c r="B49" s="7">
        <f>0</f>
        <v>0</v>
      </c>
      <c r="C49" s="7">
        <f>X48+B49</f>
        <v>0.0</v>
      </c>
      <c r="D49" s="7">
        <f>Y48</f>
        <v>0.0</v>
      </c>
      <c r="E49" s="7">
        <f>Parameters!$M$6*C49</f>
        <v>0.0</v>
      </c>
      <c r="F49" s="7">
        <f>IF(Parameters!$M$5=1,E49,0)</f>
        <v>0.0</v>
      </c>
      <c r="G49" s="7">
        <f>Parameters!$M$27*G48+F49</f>
        <v>0.092236816</v>
      </c>
      <c r="H49" s="7">
        <f>IF(AND(Parameters!$M$5=1,Parameters!$M$26=1),SUMPRODUCT(--($A$45:A49&lt;A49),--(MOD(A49-$A$45:A49,Parameters!$M$28)=0),$F$45:F49,POWER(Parameters!$M$27,IF(A49-$A$45:A49=0,1,A49-$A$45:A49))),0)</f>
        <v>0</v>
      </c>
      <c r="I49" s="7">
        <f>Parameters!$M$23*I48+B49*Parameters!$M$22</f>
        <v>0.0</v>
      </c>
      <c r="J49" s="7">
        <f>E49*Parameters!$M$14*(1-Parameters!$M$15)</f>
        <v>0.0</v>
      </c>
      <c r="K49" s="7">
        <f>H49*Parameters!$M$29</f>
        <v>0</v>
      </c>
      <c r="L49" s="7">
        <f>I49*Parameters!$M$24</f>
        <v>0.0</v>
      </c>
      <c r="M49" s="7">
        <f>J49+K49+L49</f>
        <v>0.0</v>
      </c>
      <c r="N49" s="7">
        <f>C49*Parameters!$M$17+D49*Parameters!$M$18+E49*Parameters!$M$16+I49*Parameters!$M$25+G49*Parameters!$M$30</f>
        <v>0.0092236816</v>
      </c>
      <c r="O49" s="7">
        <f>0</f>
        <v>0</v>
      </c>
      <c r="P49" s="7">
        <f>M49-N49-O49</f>
        <v>-0.0092236816</v>
      </c>
      <c r="Q49" s="7">
        <f>0</f>
        <v>0</v>
      </c>
      <c r="R49" s="7">
        <f>P49-Q49</f>
        <v>-0.0092236816</v>
      </c>
      <c r="S49" s="7">
        <f>IF(A49&lt;1+Parameters!$M$31,0,INDEX($M$45:$M$80,A49-Parameters!$M$31))</f>
        <v>0.0</v>
      </c>
      <c r="T49" s="7">
        <f>T48+M49-S49</f>
        <v>0.0</v>
      </c>
      <c r="U49" s="7">
        <f>S49-N49-O49-Q49</f>
        <v>-0.0092236816</v>
      </c>
      <c r="V49" s="7">
        <f>V48+U49</f>
        <v>2.6519603984000004</v>
      </c>
      <c r="W49" s="7">
        <f>(1-Parameters!$M$7)*(C49-E49)+(1-Parameters!$M$8)*(D49+E49)</f>
        <v>0.0</v>
      </c>
      <c r="X49" s="7">
        <f>Parameters!$M$7*(C49-E49)+Parameters!$M$8*Parameters!$M$9*(D49+E49)</f>
        <v>0.0</v>
      </c>
      <c r="Y49" s="7">
        <f>Parameters!$M$8*(1-Parameters!$M$9)*(D49+E49)</f>
        <v>0.0</v>
      </c>
      <c r="Z49" s="7">
        <f>POWER(1/(1+Parameters!$M$32),A49-1)*(M49-N49)</f>
        <v>-0.008863776721367813</v>
      </c>
    </row>
    <row r="50" spans="1:26">
      <c r="A50" s="7">
        <v>6</v>
      </c>
      <c r="B50" s="7">
        <f>0</f>
        <v>0</v>
      </c>
      <c r="C50" s="7">
        <f>X49+B50</f>
        <v>0.0</v>
      </c>
      <c r="D50" s="7">
        <f>Y49</f>
        <v>0.0</v>
      </c>
      <c r="E50" s="7">
        <f>Parameters!$M$6*C50</f>
        <v>0.0</v>
      </c>
      <c r="F50" s="7">
        <f>IF(Parameters!$M$5=1,E50,0)</f>
        <v>0.0</v>
      </c>
      <c r="G50" s="7">
        <f>Parameters!$M$27*G49+F50</f>
        <v>0.09039207968</v>
      </c>
      <c r="H50" s="7">
        <f>IF(AND(Parameters!$M$5=1,Parameters!$M$26=1),SUMPRODUCT(--($A$45:A50&lt;A50),--(MOD(A50-$A$45:A50,Parameters!$M$28)=0),$F$45:F50,POWER(Parameters!$M$27,IF(A50-$A$45:A50=0,1,A50-$A$45:A50))),0)</f>
        <v>0</v>
      </c>
      <c r="I50" s="7">
        <f>Parameters!$M$23*I49+B50*Parameters!$M$22</f>
        <v>0.0</v>
      </c>
      <c r="J50" s="7">
        <f>E50*Parameters!$M$14*(1-Parameters!$M$15)</f>
        <v>0.0</v>
      </c>
      <c r="K50" s="7">
        <f>H50*Parameters!$M$29</f>
        <v>0</v>
      </c>
      <c r="L50" s="7">
        <f>I50*Parameters!$M$24</f>
        <v>0.0</v>
      </c>
      <c r="M50" s="7">
        <f>J50+K50+L50</f>
        <v>0.0</v>
      </c>
      <c r="N50" s="7">
        <f>C50*Parameters!$M$17+D50*Parameters!$M$18+E50*Parameters!$M$16+I50*Parameters!$M$25+G50*Parameters!$M$30</f>
        <v>0.009039207968</v>
      </c>
      <c r="O50" s="7">
        <f>0</f>
        <v>0</v>
      </c>
      <c r="P50" s="7">
        <f>M50-N50-O50</f>
        <v>-0.009039207968</v>
      </c>
      <c r="Q50" s="7">
        <f>0</f>
        <v>0</v>
      </c>
      <c r="R50" s="7">
        <f>P50-Q50</f>
        <v>-0.009039207968</v>
      </c>
      <c r="S50" s="7">
        <f>IF(A50&lt;1+Parameters!$M$31,0,INDEX($M$45:$M$80,A50-Parameters!$M$31))</f>
        <v>0.0</v>
      </c>
      <c r="T50" s="7">
        <f>T49+M50-S50</f>
        <v>0.0</v>
      </c>
      <c r="U50" s="7">
        <f>S50-N50-O50-Q50</f>
        <v>-0.009039207968</v>
      </c>
      <c r="V50" s="7">
        <f>V49+U50</f>
        <v>2.6429211904320002</v>
      </c>
      <c r="W50" s="7">
        <f>(1-Parameters!$M$7)*(C50-E50)+(1-Parameters!$M$8)*(D50+E50)</f>
        <v>0.0</v>
      </c>
      <c r="X50" s="7">
        <f>Parameters!$M$7*(C50-E50)+Parameters!$M$8*Parameters!$M$9*(D50+E50)</f>
        <v>0.0</v>
      </c>
      <c r="Y50" s="7">
        <f>Parameters!$M$8*(1-Parameters!$M$9)*(D50+E50)</f>
        <v>0.0</v>
      </c>
      <c r="Z50" s="7">
        <f>POWER(1/(1+Parameters!$M$32),A50-1)*(M50-N50)</f>
        <v>-0.008600496224693522</v>
      </c>
    </row>
    <row r="51" spans="1:26">
      <c r="A51" s="7">
        <v>7</v>
      </c>
      <c r="B51" s="7">
        <f>0</f>
        <v>0</v>
      </c>
      <c r="C51" s="7">
        <f>X50+B51</f>
        <v>0.0</v>
      </c>
      <c r="D51" s="7">
        <f>Y50</f>
        <v>0.0</v>
      </c>
      <c r="E51" s="7">
        <f>Parameters!$M$6*C51</f>
        <v>0.0</v>
      </c>
      <c r="F51" s="7">
        <f>IF(Parameters!$M$5=1,E51,0)</f>
        <v>0.0</v>
      </c>
      <c r="G51" s="7">
        <f>Parameters!$M$27*G50+F51</f>
        <v>0.0885842380864</v>
      </c>
      <c r="H51" s="7">
        <f>IF(AND(Parameters!$M$5=1,Parameters!$M$26=1),SUMPRODUCT(--($A$45:A51&lt;A51),--(MOD(A51-$A$45:A51,Parameters!$M$28)=0),$F$45:F51,POWER(Parameters!$M$27,IF(A51-$A$45:A51=0,1,A51-$A$45:A51))),0)</f>
        <v>0</v>
      </c>
      <c r="I51" s="7">
        <f>Parameters!$M$23*I50+B51*Parameters!$M$22</f>
        <v>0.0</v>
      </c>
      <c r="J51" s="7">
        <f>E51*Parameters!$M$14*(1-Parameters!$M$15)</f>
        <v>0.0</v>
      </c>
      <c r="K51" s="7">
        <f>H51*Parameters!$M$29</f>
        <v>0</v>
      </c>
      <c r="L51" s="7">
        <f>I51*Parameters!$M$24</f>
        <v>0.0</v>
      </c>
      <c r="M51" s="7">
        <f>J51+K51+L51</f>
        <v>0.0</v>
      </c>
      <c r="N51" s="7">
        <f>C51*Parameters!$M$17+D51*Parameters!$M$18+E51*Parameters!$M$16+I51*Parameters!$M$25+G51*Parameters!$M$30</f>
        <v>0.00885842380864</v>
      </c>
      <c r="O51" s="7">
        <f>0</f>
        <v>0</v>
      </c>
      <c r="P51" s="7">
        <f>M51-N51-O51</f>
        <v>-0.00885842380864</v>
      </c>
      <c r="Q51" s="7">
        <f>0</f>
        <v>0</v>
      </c>
      <c r="R51" s="7">
        <f>P51-Q51</f>
        <v>-0.00885842380864</v>
      </c>
      <c r="S51" s="7">
        <f>IF(A51&lt;1+Parameters!$M$31,0,INDEX($M$45:$M$80,A51-Parameters!$M$31))</f>
        <v>0.0</v>
      </c>
      <c r="T51" s="7">
        <f>T50+M51-S51</f>
        <v>0.0</v>
      </c>
      <c r="U51" s="7">
        <f>S51-N51-O51-Q51</f>
        <v>-0.00885842380864</v>
      </c>
      <c r="V51" s="7">
        <f>V50+U51</f>
        <v>2.63406276662336</v>
      </c>
      <c r="W51" s="7">
        <f>(1-Parameters!$M$7)*(C51-E51)+(1-Parameters!$M$8)*(D51+E51)</f>
        <v>0.0</v>
      </c>
      <c r="X51" s="7">
        <f>Parameters!$M$7*(C51-E51)+Parameters!$M$8*Parameters!$M$9*(D51+E51)</f>
        <v>0.0</v>
      </c>
      <c r="Y51" s="7">
        <f>Parameters!$M$8*(1-Parameters!$M$9)*(D51+E51)</f>
        <v>0.0</v>
      </c>
      <c r="Z51" s="7">
        <f>POWER(1/(1+Parameters!$M$32),A51-1)*(M51-N51)</f>
        <v>-0.008345035940791733</v>
      </c>
    </row>
    <row r="52" spans="1:26">
      <c r="A52" s="7">
        <v>8</v>
      </c>
      <c r="B52" s="7">
        <f>0</f>
        <v>0</v>
      </c>
      <c r="C52" s="7">
        <f>X51+B52</f>
        <v>0.0</v>
      </c>
      <c r="D52" s="7">
        <f>Y51</f>
        <v>0.0</v>
      </c>
      <c r="E52" s="7">
        <f>Parameters!$M$6*C52</f>
        <v>0.0</v>
      </c>
      <c r="F52" s="7">
        <f>IF(Parameters!$M$5=1,E52,0)</f>
        <v>0.0</v>
      </c>
      <c r="G52" s="7">
        <f>Parameters!$M$27*G51+F52</f>
        <v>0.086812553324672</v>
      </c>
      <c r="H52" s="7">
        <f>IF(AND(Parameters!$M$5=1,Parameters!$M$26=1),SUMPRODUCT(--($A$45:A52&lt;A52),--(MOD(A52-$A$45:A52,Parameters!$M$28)=0),$F$45:F52,POWER(Parameters!$M$27,IF(A52-$A$45:A52=0,1,A52-$A$45:A52))),0)</f>
        <v>0</v>
      </c>
      <c r="I52" s="7">
        <f>Parameters!$M$23*I51+B52*Parameters!$M$22</f>
        <v>0.0</v>
      </c>
      <c r="J52" s="7">
        <f>E52*Parameters!$M$14*(1-Parameters!$M$15)</f>
        <v>0.0</v>
      </c>
      <c r="K52" s="7">
        <f>H52*Parameters!$M$29</f>
        <v>0</v>
      </c>
      <c r="L52" s="7">
        <f>I52*Parameters!$M$24</f>
        <v>0.0</v>
      </c>
      <c r="M52" s="7">
        <f>J52+K52+L52</f>
        <v>0.0</v>
      </c>
      <c r="N52" s="7">
        <f>C52*Parameters!$M$17+D52*Parameters!$M$18+E52*Parameters!$M$16+I52*Parameters!$M$25+G52*Parameters!$M$30</f>
        <v>0.0086812553324672</v>
      </c>
      <c r="O52" s="7">
        <f>0</f>
        <v>0</v>
      </c>
      <c r="P52" s="7">
        <f>M52-N52-O52</f>
        <v>-0.0086812553324672</v>
      </c>
      <c r="Q52" s="7">
        <f>0</f>
        <v>0</v>
      </c>
      <c r="R52" s="7">
        <f>P52-Q52</f>
        <v>-0.0086812553324672</v>
      </c>
      <c r="S52" s="7">
        <f>IF(A52&lt;1+Parameters!$M$31,0,INDEX($M$45:$M$80,A52-Parameters!$M$31))</f>
        <v>0.0</v>
      </c>
      <c r="T52" s="7">
        <f>T51+M52-S52</f>
        <v>0.0</v>
      </c>
      <c r="U52" s="7">
        <f>S52-N52-O52-Q52</f>
        <v>-0.0086812553324672</v>
      </c>
      <c r="V52" s="7">
        <f>V51+U52</f>
        <v>2.6253815112908927</v>
      </c>
      <c r="W52" s="7">
        <f>(1-Parameters!$M$7)*(C52-E52)+(1-Parameters!$M$8)*(D52+E52)</f>
        <v>0.0</v>
      </c>
      <c r="X52" s="7">
        <f>Parameters!$M$7*(C52-E52)+Parameters!$M$8*Parameters!$M$9*(D52+E52)</f>
        <v>0.0</v>
      </c>
      <c r="Y52" s="7">
        <f>Parameters!$M$8*(1-Parameters!$M$9)*(D52+E52)</f>
        <v>0.0</v>
      </c>
      <c r="Z52" s="7">
        <f>POWER(1/(1+Parameters!$M$32),A52-1)*(M52-N52)</f>
        <v>-0.008097163586114751</v>
      </c>
    </row>
    <row r="53" spans="1:26">
      <c r="A53" s="7">
        <v>9</v>
      </c>
      <c r="B53" s="7">
        <f>0</f>
        <v>0</v>
      </c>
      <c r="C53" s="7">
        <f>X52+B53</f>
        <v>0.0</v>
      </c>
      <c r="D53" s="7">
        <f>Y52</f>
        <v>0.0</v>
      </c>
      <c r="E53" s="7">
        <f>Parameters!$M$6*C53</f>
        <v>0.0</v>
      </c>
      <c r="F53" s="7">
        <f>IF(Parameters!$M$5=1,E53,0)</f>
        <v>0.0</v>
      </c>
      <c r="G53" s="7">
        <f>Parameters!$M$27*G52+F53</f>
        <v>0.08507630225817855</v>
      </c>
      <c r="H53" s="7">
        <f>IF(AND(Parameters!$M$5=1,Parameters!$M$26=1),SUMPRODUCT(--($A$45:A53&lt;A53),--(MOD(A53-$A$45:A53,Parameters!$M$28)=0),$F$45:F53,POWER(Parameters!$M$27,IF(A53-$A$45:A53=0,1,A53-$A$45:A53))),0)</f>
        <v>0</v>
      </c>
      <c r="I53" s="7">
        <f>Parameters!$M$23*I52+B53*Parameters!$M$22</f>
        <v>0.0</v>
      </c>
      <c r="J53" s="7">
        <f>E53*Parameters!$M$14*(1-Parameters!$M$15)</f>
        <v>0.0</v>
      </c>
      <c r="K53" s="7">
        <f>H53*Parameters!$M$29</f>
        <v>0</v>
      </c>
      <c r="L53" s="7">
        <f>I53*Parameters!$M$24</f>
        <v>0.0</v>
      </c>
      <c r="M53" s="7">
        <f>J53+K53+L53</f>
        <v>0.0</v>
      </c>
      <c r="N53" s="7">
        <f>C53*Parameters!$M$17+D53*Parameters!$M$18+E53*Parameters!$M$16+I53*Parameters!$M$25+G53*Parameters!$M$30</f>
        <v>0.008507630225817856</v>
      </c>
      <c r="O53" s="7">
        <f>0</f>
        <v>0</v>
      </c>
      <c r="P53" s="7">
        <f>M53-N53-O53</f>
        <v>-0.008507630225817856</v>
      </c>
      <c r="Q53" s="7">
        <f>0</f>
        <v>0</v>
      </c>
      <c r="R53" s="7">
        <f>P53-Q53</f>
        <v>-0.008507630225817856</v>
      </c>
      <c r="S53" s="7">
        <f>IF(A53&lt;1+Parameters!$M$31,0,INDEX($M$45:$M$80,A53-Parameters!$M$31))</f>
        <v>0.0</v>
      </c>
      <c r="T53" s="7">
        <f>T52+M53-S53</f>
        <v>0.0</v>
      </c>
      <c r="U53" s="7">
        <f>S53-N53-O53-Q53</f>
        <v>-0.008507630225817856</v>
      </c>
      <c r="V53" s="7">
        <f>V52+U53</f>
        <v>2.6168738810650747</v>
      </c>
      <c r="W53" s="7">
        <f>(1-Parameters!$M$7)*(C53-E53)+(1-Parameters!$M$8)*(D53+E53)</f>
        <v>0.0</v>
      </c>
      <c r="X53" s="7">
        <f>Parameters!$M$7*(C53-E53)+Parameters!$M$8*Parameters!$M$9*(D53+E53)</f>
        <v>0.0</v>
      </c>
      <c r="Y53" s="7">
        <f>Parameters!$M$8*(1-Parameters!$M$9)*(D53+E53)</f>
        <v>0.0</v>
      </c>
      <c r="Z53" s="7">
        <f>POWER(1/(1+Parameters!$M$32),A53-1)*(M53-N53)</f>
        <v>-0.007856653776626196</v>
      </c>
    </row>
    <row r="54" spans="1:26">
      <c r="A54" s="7">
        <v>10</v>
      </c>
      <c r="B54" s="7">
        <f>0</f>
        <v>0</v>
      </c>
      <c r="C54" s="7">
        <f>X53+B54</f>
        <v>0.0</v>
      </c>
      <c r="D54" s="7">
        <f>Y53</f>
        <v>0.0</v>
      </c>
      <c r="E54" s="7">
        <f>Parameters!$M$6*C54</f>
        <v>0.0</v>
      </c>
      <c r="F54" s="7">
        <f>IF(Parameters!$M$5=1,E54,0)</f>
        <v>0.0</v>
      </c>
      <c r="G54" s="7">
        <f>Parameters!$M$27*G53+F54</f>
        <v>0.08337477621301498</v>
      </c>
      <c r="H54" s="7">
        <f>IF(AND(Parameters!$M$5=1,Parameters!$M$26=1),SUMPRODUCT(--($A$45:A54&lt;A54),--(MOD(A54-$A$45:A54,Parameters!$M$28)=0),$F$45:F54,POWER(Parameters!$M$27,IF(A54-$A$45:A54=0,1,A54-$A$45:A54))),0)</f>
        <v>0</v>
      </c>
      <c r="I54" s="7">
        <f>Parameters!$M$23*I53+B54*Parameters!$M$22</f>
        <v>0.0</v>
      </c>
      <c r="J54" s="7">
        <f>E54*Parameters!$M$14*(1-Parameters!$M$15)</f>
        <v>0.0</v>
      </c>
      <c r="K54" s="7">
        <f>H54*Parameters!$M$29</f>
        <v>0</v>
      </c>
      <c r="L54" s="7">
        <f>I54*Parameters!$M$24</f>
        <v>0.0</v>
      </c>
      <c r="M54" s="7">
        <f>J54+K54+L54</f>
        <v>0.0</v>
      </c>
      <c r="N54" s="7">
        <f>C54*Parameters!$M$17+D54*Parameters!$M$18+E54*Parameters!$M$16+I54*Parameters!$M$25+G54*Parameters!$M$30</f>
        <v>0.008337477621301497</v>
      </c>
      <c r="O54" s="7">
        <f>0</f>
        <v>0</v>
      </c>
      <c r="P54" s="7">
        <f>M54-N54-O54</f>
        <v>-0.008337477621301497</v>
      </c>
      <c r="Q54" s="7">
        <f>0</f>
        <v>0</v>
      </c>
      <c r="R54" s="7">
        <f>P54-Q54</f>
        <v>-0.008337477621301497</v>
      </c>
      <c r="S54" s="7">
        <f>IF(A54&lt;1+Parameters!$M$31,0,INDEX($M$45:$M$80,A54-Parameters!$M$31))</f>
        <v>0.0</v>
      </c>
      <c r="T54" s="7">
        <f>T53+M54-S54</f>
        <v>0.0</v>
      </c>
      <c r="U54" s="7">
        <f>S54-N54-O54-Q54</f>
        <v>-0.008337477621301497</v>
      </c>
      <c r="V54" s="7">
        <f>V53+U54</f>
        <v>2.608536403443773</v>
      </c>
      <c r="W54" s="7">
        <f>(1-Parameters!$M$7)*(C54-E54)+(1-Parameters!$M$8)*(D54+E54)</f>
        <v>0.0</v>
      </c>
      <c r="X54" s="7">
        <f>Parameters!$M$7*(C54-E54)+Parameters!$M$8*Parameters!$M$9*(D54+E54)</f>
        <v>0.0</v>
      </c>
      <c r="Y54" s="7">
        <f>Parameters!$M$8*(1-Parameters!$M$9)*(D54+E54)</f>
        <v>0.0</v>
      </c>
      <c r="Z54" s="7">
        <f>POWER(1/(1+Parameters!$M$32),A54-1)*(M54-N54)</f>
        <v>-0.0076232878228650195</v>
      </c>
    </row>
    <row r="55" spans="1:26">
      <c r="A55" s="7">
        <v>11</v>
      </c>
      <c r="B55" s="7">
        <f>0</f>
        <v>0</v>
      </c>
      <c r="C55" s="7">
        <f>X54+B55</f>
        <v>0.0</v>
      </c>
      <c r="D55" s="7">
        <f>Y54</f>
        <v>0.0</v>
      </c>
      <c r="E55" s="7">
        <f>Parameters!$M$6*C55</f>
        <v>0.0</v>
      </c>
      <c r="F55" s="7">
        <f>IF(Parameters!$M$5=1,E55,0)</f>
        <v>0.0</v>
      </c>
      <c r="G55" s="7">
        <f>Parameters!$M$27*G54+F55</f>
        <v>0.08170728068875467</v>
      </c>
      <c r="H55" s="7">
        <f>IF(AND(Parameters!$M$5=1,Parameters!$M$26=1),SUMPRODUCT(--($A$45:A55&lt;A55),--(MOD(A55-$A$45:A55,Parameters!$M$28)=0),$F$45:F55,POWER(Parameters!$M$27,IF(A55-$A$45:A55=0,1,A55-$A$45:A55))),0)</f>
        <v>0</v>
      </c>
      <c r="I55" s="7">
        <f>Parameters!$M$23*I54+B55*Parameters!$M$22</f>
        <v>0.0</v>
      </c>
      <c r="J55" s="7">
        <f>E55*Parameters!$M$14*(1-Parameters!$M$15)</f>
        <v>0.0</v>
      </c>
      <c r="K55" s="7">
        <f>H55*Parameters!$M$29</f>
        <v>0</v>
      </c>
      <c r="L55" s="7">
        <f>I55*Parameters!$M$24</f>
        <v>0.0</v>
      </c>
      <c r="M55" s="7">
        <f>J55+K55+L55</f>
        <v>0.0</v>
      </c>
      <c r="N55" s="7">
        <f>C55*Parameters!$M$17+D55*Parameters!$M$18+E55*Parameters!$M$16+I55*Parameters!$M$25+G55*Parameters!$M$30</f>
        <v>0.008170728068875468</v>
      </c>
      <c r="O55" s="7">
        <f>0</f>
        <v>0</v>
      </c>
      <c r="P55" s="7">
        <f>M55-N55-O55</f>
        <v>-0.008170728068875468</v>
      </c>
      <c r="Q55" s="7">
        <f>0</f>
        <v>0</v>
      </c>
      <c r="R55" s="7">
        <f>P55-Q55</f>
        <v>-0.008170728068875468</v>
      </c>
      <c r="S55" s="7">
        <f>IF(A55&lt;1+Parameters!$M$31,0,INDEX($M$45:$M$80,A55-Parameters!$M$31))</f>
        <v>0.0</v>
      </c>
      <c r="T55" s="7">
        <f>T54+M55-S55</f>
        <v>0.0</v>
      </c>
      <c r="U55" s="7">
        <f>S55-N55-O55-Q55</f>
        <v>-0.008170728068875468</v>
      </c>
      <c r="V55" s="7">
        <f>V54+U55</f>
        <v>2.6003656753748974</v>
      </c>
      <c r="W55" s="7">
        <f>(1-Parameters!$M$7)*(C55-E55)+(1-Parameters!$M$8)*(D55+E55)</f>
        <v>0.0</v>
      </c>
      <c r="X55" s="7">
        <f>Parameters!$M$7*(C55-E55)+Parameters!$M$8*Parameters!$M$9*(D55+E55)</f>
        <v>0.0</v>
      </c>
      <c r="Y55" s="7">
        <f>Parameters!$M$8*(1-Parameters!$M$9)*(D55+E55)</f>
        <v>0.0</v>
      </c>
      <c r="Z55" s="7">
        <f>POWER(1/(1+Parameters!$M$32),A55-1)*(M55-N55)</f>
        <v>-0.007396853531096753</v>
      </c>
    </row>
    <row r="56" spans="1:26">
      <c r="A56" s="7">
        <v>12</v>
      </c>
      <c r="B56" s="7">
        <f>0</f>
        <v>0</v>
      </c>
      <c r="C56" s="7">
        <f>X55+B56</f>
        <v>0.0</v>
      </c>
      <c r="D56" s="7">
        <f>Y55</f>
        <v>0.0</v>
      </c>
      <c r="E56" s="7">
        <f>Parameters!$M$6*C56</f>
        <v>0.0</v>
      </c>
      <c r="F56" s="7">
        <f>IF(Parameters!$M$5=1,E56,0)</f>
        <v>0.0</v>
      </c>
      <c r="G56" s="7">
        <f>Parameters!$M$27*G55+F56</f>
        <v>0.08007313507497958</v>
      </c>
      <c r="H56" s="7">
        <f>IF(AND(Parameters!$M$5=1,Parameters!$M$26=1),SUMPRODUCT(--($A$45:A56&lt;A56),--(MOD(A56-$A$45:A56,Parameters!$M$28)=0),$F$45:F56,POWER(Parameters!$M$27,IF(A56-$A$45:A56=0,1,A56-$A$45:A56))),0)</f>
        <v>0</v>
      </c>
      <c r="I56" s="7">
        <f>Parameters!$M$23*I55+B56*Parameters!$M$22</f>
        <v>0.0</v>
      </c>
      <c r="J56" s="7">
        <f>E56*Parameters!$M$14*(1-Parameters!$M$15)</f>
        <v>0.0</v>
      </c>
      <c r="K56" s="7">
        <f>H56*Parameters!$M$29</f>
        <v>0</v>
      </c>
      <c r="L56" s="7">
        <f>I56*Parameters!$M$24</f>
        <v>0.0</v>
      </c>
      <c r="M56" s="7">
        <f>J56+K56+L56</f>
        <v>0.0</v>
      </c>
      <c r="N56" s="7">
        <f>C56*Parameters!$M$17+D56*Parameters!$M$18+E56*Parameters!$M$16+I56*Parameters!$M$25+G56*Parameters!$M$30</f>
        <v>0.008007313507497959</v>
      </c>
      <c r="O56" s="7">
        <f>0</f>
        <v>0</v>
      </c>
      <c r="P56" s="7">
        <f>M56-N56-O56</f>
        <v>-0.008007313507497959</v>
      </c>
      <c r="Q56" s="7">
        <f>0</f>
        <v>0</v>
      </c>
      <c r="R56" s="7">
        <f>P56-Q56</f>
        <v>-0.008007313507497959</v>
      </c>
      <c r="S56" s="7">
        <f>IF(A56&lt;1+Parameters!$M$31,0,INDEX($M$45:$M$80,A56-Parameters!$M$31))</f>
        <v>0.0</v>
      </c>
      <c r="T56" s="7">
        <f>T55+M56-S56</f>
        <v>0.0</v>
      </c>
      <c r="U56" s="7">
        <f>S56-N56-O56-Q56</f>
        <v>-0.008007313507497959</v>
      </c>
      <c r="V56" s="7">
        <f>V55+U56</f>
        <v>2.5923583618673995</v>
      </c>
      <c r="W56" s="7">
        <f>(1-Parameters!$M$7)*(C56-E56)+(1-Parameters!$M$8)*(D56+E56)</f>
        <v>0.0</v>
      </c>
      <c r="X56" s="7">
        <f>Parameters!$M$7*(C56-E56)+Parameters!$M$8*Parameters!$M$9*(D56+E56)</f>
        <v>0.0</v>
      </c>
      <c r="Y56" s="7">
        <f>Parameters!$M$8*(1-Parameters!$M$9)*(D56+E56)</f>
        <v>0.0</v>
      </c>
      <c r="Z56" s="7">
        <f>POWER(1/(1+Parameters!$M$32),A56-1)*(M56-N56)</f>
        <v>-0.007177145010371106</v>
      </c>
    </row>
    <row r="57" spans="1:26">
      <c r="A57" s="7">
        <v>13</v>
      </c>
      <c r="B57" s="7">
        <f>0</f>
        <v>0</v>
      </c>
      <c r="C57" s="7">
        <f>X56+B57</f>
        <v>0.0</v>
      </c>
      <c r="D57" s="7">
        <f>Y56</f>
        <v>0.0</v>
      </c>
      <c r="E57" s="7">
        <f>Parameters!$M$6*C57</f>
        <v>0.0</v>
      </c>
      <c r="F57" s="7">
        <f>IF(Parameters!$M$5=1,E57,0)</f>
        <v>0.0</v>
      </c>
      <c r="G57" s="7">
        <f>Parameters!$M$27*G56+F57</f>
        <v>0.07847167237347999</v>
      </c>
      <c r="H57" s="7">
        <f>IF(AND(Parameters!$M$5=1,Parameters!$M$26=1),SUMPRODUCT(--($A$45:A57&lt;A57),--(MOD(A57-$A$45:A57,Parameters!$M$28)=0),$F$45:F57,POWER(Parameters!$M$27,IF(A57-$A$45:A57=0,1,A57-$A$45:A57))),0)</f>
        <v>0.07847167237347999</v>
      </c>
      <c r="I57" s="7">
        <f>Parameters!$M$23*I56+B57*Parameters!$M$22</f>
        <v>0.0</v>
      </c>
      <c r="J57" s="7">
        <f>E57*Parameters!$M$14*(1-Parameters!$M$15)</f>
        <v>0.0</v>
      </c>
      <c r="K57" s="7">
        <f>H57*Parameters!$M$29</f>
        <v>1.1770750856021999</v>
      </c>
      <c r="L57" s="7">
        <f>I57*Parameters!$M$24</f>
        <v>0.0</v>
      </c>
      <c r="M57" s="7">
        <f>J57+K57+L57</f>
        <v>1.1770750856021999</v>
      </c>
      <c r="N57" s="7">
        <f>C57*Parameters!$M$17+D57*Parameters!$M$18+E57*Parameters!$M$16+I57*Parameters!$M$25+G57*Parameters!$M$30</f>
        <v>0.007847167237348</v>
      </c>
      <c r="O57" s="7">
        <f>0</f>
        <v>0</v>
      </c>
      <c r="P57" s="7">
        <f>M57-N57-O57</f>
        <v>1.169227918364852</v>
      </c>
      <c r="Q57" s="7">
        <f>0</f>
        <v>0</v>
      </c>
      <c r="R57" s="7">
        <f>P57-Q57</f>
        <v>1.169227918364852</v>
      </c>
      <c r="S57" s="7">
        <f>IF(A57&lt;1+Parameters!$M$31,0,INDEX($M$45:$M$80,A57-Parameters!$M$31))</f>
        <v>0.0</v>
      </c>
      <c r="T57" s="7">
        <f>T56+M57-S57</f>
        <v>1.1770750856021999</v>
      </c>
      <c r="U57" s="7">
        <f>S57-N57-O57-Q57</f>
        <v>-0.007847167237348</v>
      </c>
      <c r="V57" s="7">
        <f>V56+U57</f>
        <v>2.5845111946300516</v>
      </c>
      <c r="W57" s="7">
        <f>(1-Parameters!$M$7)*(C57-E57)+(1-Parameters!$M$8)*(D57+E57)</f>
        <v>0.0</v>
      </c>
      <c r="X57" s="7">
        <f>Parameters!$M$7*(C57-E57)+Parameters!$M$8*Parameters!$M$9*(D57+E57)</f>
        <v>0.0</v>
      </c>
      <c r="Y57" s="7">
        <f>Parameters!$M$8*(1-Parameters!$M$9)*(D57+E57)</f>
        <v>0.0</v>
      </c>
      <c r="Z57" s="7">
        <f>POWER(1/(1+Parameters!$M$32),A57-1)*(M57-N57)</f>
        <v>1.0376304103112761</v>
      </c>
    </row>
    <row r="58" spans="1:26">
      <c r="A58" s="7">
        <v>14</v>
      </c>
      <c r="B58" s="7">
        <f>0</f>
        <v>0</v>
      </c>
      <c r="C58" s="7">
        <f>X57+B58</f>
        <v>0.0</v>
      </c>
      <c r="D58" s="7">
        <f>Y57</f>
        <v>0.0</v>
      </c>
      <c r="E58" s="7">
        <f>Parameters!$M$6*C58</f>
        <v>0.0</v>
      </c>
      <c r="F58" s="7">
        <f>IF(Parameters!$M$5=1,E58,0)</f>
        <v>0.0</v>
      </c>
      <c r="G58" s="7">
        <f>Parameters!$M$27*G57+F58</f>
        <v>0.07690223892601039</v>
      </c>
      <c r="H58" s="7">
        <f>IF(AND(Parameters!$M$5=1,Parameters!$M$26=1),SUMPRODUCT(--($A$45:A58&lt;A58),--(MOD(A58-$A$45:A58,Parameters!$M$28)=0),$F$45:F58,POWER(Parameters!$M$27,IF(A58-$A$45:A58=0,1,A58-$A$45:A58))),0)</f>
        <v>0.0</v>
      </c>
      <c r="I58" s="7">
        <f>Parameters!$M$23*I57+B58*Parameters!$M$22</f>
        <v>0.0</v>
      </c>
      <c r="J58" s="7">
        <f>E58*Parameters!$M$14*(1-Parameters!$M$15)</f>
        <v>0.0</v>
      </c>
      <c r="K58" s="7">
        <f>H58*Parameters!$M$29</f>
        <v>0.0</v>
      </c>
      <c r="L58" s="7">
        <f>I58*Parameters!$M$24</f>
        <v>0.0</v>
      </c>
      <c r="M58" s="7">
        <f>J58+K58+L58</f>
        <v>0.0</v>
      </c>
      <c r="N58" s="7">
        <f>C58*Parameters!$M$17+D58*Parameters!$M$18+E58*Parameters!$M$16+I58*Parameters!$M$25+G58*Parameters!$M$30</f>
        <v>0.0076902238926010395</v>
      </c>
      <c r="O58" s="7">
        <f>0</f>
        <v>0</v>
      </c>
      <c r="P58" s="7">
        <f>M58-N58-O58</f>
        <v>-0.0076902238926010395</v>
      </c>
      <c r="Q58" s="7">
        <f>0</f>
        <v>0</v>
      </c>
      <c r="R58" s="7">
        <f>P58-Q58</f>
        <v>-0.0076902238926010395</v>
      </c>
      <c r="S58" s="7">
        <f>IF(A58&lt;1+Parameters!$M$31,0,INDEX($M$45:$M$80,A58-Parameters!$M$31))</f>
        <v>1.1770750856021999</v>
      </c>
      <c r="T58" s="7">
        <f>T57+M58-S58</f>
        <v>0.0</v>
      </c>
      <c r="U58" s="7">
        <f>S58-N58-O58-Q58</f>
        <v>1.1693848617095988</v>
      </c>
      <c r="V58" s="7">
        <f>V57+U58</f>
        <v>3.7538960563396504</v>
      </c>
      <c r="W58" s="7">
        <f>(1-Parameters!$M$7)*(C58-E58)+(1-Parameters!$M$8)*(D58+E58)</f>
        <v>0.0</v>
      </c>
      <c r="X58" s="7">
        <f>Parameters!$M$7*(C58-E58)+Parameters!$M$8*Parameters!$M$9*(D58+E58)</f>
        <v>0.0</v>
      </c>
      <c r="Y58" s="7">
        <f>Parameters!$M$8*(1-Parameters!$M$9)*(D58+E58)</f>
        <v>0.0</v>
      </c>
      <c r="Z58" s="7">
        <f>POWER(1/(1+Parameters!$M$32),A58-1)*(M58-N58)</f>
        <v>-0.006757112114459768</v>
      </c>
    </row>
    <row r="59" spans="1:26">
      <c r="A59" s="7">
        <v>15</v>
      </c>
      <c r="B59" s="7">
        <f>0</f>
        <v>0</v>
      </c>
      <c r="C59" s="7">
        <f>X58+B59</f>
        <v>0.0</v>
      </c>
      <c r="D59" s="7">
        <f>Y58</f>
        <v>0.0</v>
      </c>
      <c r="E59" s="7">
        <f>Parameters!$M$6*C59</f>
        <v>0.0</v>
      </c>
      <c r="F59" s="7">
        <f>IF(Parameters!$M$5=1,E59,0)</f>
        <v>0.0</v>
      </c>
      <c r="G59" s="7">
        <f>Parameters!$M$27*G58+F59</f>
        <v>0.07536419414749018</v>
      </c>
      <c r="H59" s="7">
        <f>IF(AND(Parameters!$M$5=1,Parameters!$M$26=1),SUMPRODUCT(--($A$45:A59&lt;A59),--(MOD(A59-$A$45:A59,Parameters!$M$28)=0),$F$45:F59,POWER(Parameters!$M$27,IF(A59-$A$45:A59=0,1,A59-$A$45:A59))),0)</f>
        <v>0.0</v>
      </c>
      <c r="I59" s="7">
        <f>Parameters!$M$23*I58+B59*Parameters!$M$22</f>
        <v>0.0</v>
      </c>
      <c r="J59" s="7">
        <f>E59*Parameters!$M$14*(1-Parameters!$M$15)</f>
        <v>0.0</v>
      </c>
      <c r="K59" s="7">
        <f>H59*Parameters!$M$29</f>
        <v>0.0</v>
      </c>
      <c r="L59" s="7">
        <f>I59*Parameters!$M$24</f>
        <v>0.0</v>
      </c>
      <c r="M59" s="7">
        <f>J59+K59+L59</f>
        <v>0.0</v>
      </c>
      <c r="N59" s="7">
        <f>C59*Parameters!$M$17+D59*Parameters!$M$18+E59*Parameters!$M$16+I59*Parameters!$M$25+G59*Parameters!$M$30</f>
        <v>0.007536419414749019</v>
      </c>
      <c r="O59" s="7">
        <f>0</f>
        <v>0</v>
      </c>
      <c r="P59" s="7">
        <f>M59-N59-O59</f>
        <v>-0.007536419414749019</v>
      </c>
      <c r="Q59" s="7">
        <f>0</f>
        <v>0</v>
      </c>
      <c r="R59" s="7">
        <f>P59-Q59</f>
        <v>-0.007536419414749019</v>
      </c>
      <c r="S59" s="7">
        <f>IF(A59&lt;1+Parameters!$M$31,0,INDEX($M$45:$M$80,A59-Parameters!$M$31))</f>
        <v>0.0</v>
      </c>
      <c r="T59" s="7">
        <f>T58+M59-S59</f>
        <v>0.0</v>
      </c>
      <c r="U59" s="7">
        <f>S59-N59-O59-Q59</f>
        <v>-0.007536419414749019</v>
      </c>
      <c r="V59" s="7">
        <f>V58+U59</f>
        <v>3.7463596369249013</v>
      </c>
      <c r="W59" s="7">
        <f>(1-Parameters!$M$7)*(C59-E59)+(1-Parameters!$M$8)*(D59+E59)</f>
        <v>0.0</v>
      </c>
      <c r="X59" s="7">
        <f>Parameters!$M$7*(C59-E59)+Parameters!$M$8*Parameters!$M$9*(D59+E59)</f>
        <v>0.0</v>
      </c>
      <c r="Y59" s="7">
        <f>Parameters!$M$8*(1-Parameters!$M$9)*(D59+E59)</f>
        <v>0.0</v>
      </c>
      <c r="Z59" s="7">
        <f>POWER(1/(1+Parameters!$M$32),A59-1)*(M59-N59)</f>
        <v>-0.006556405814030271</v>
      </c>
    </row>
    <row r="60" spans="1:26">
      <c r="A60" s="7">
        <v>16</v>
      </c>
      <c r="B60" s="7">
        <f>0</f>
        <v>0</v>
      </c>
      <c r="C60" s="7">
        <f>X59+B60</f>
        <v>0.0</v>
      </c>
      <c r="D60" s="7">
        <f>Y59</f>
        <v>0.0</v>
      </c>
      <c r="E60" s="7">
        <f>Parameters!$M$6*C60</f>
        <v>0.0</v>
      </c>
      <c r="F60" s="7">
        <f>IF(Parameters!$M$5=1,E60,0)</f>
        <v>0.0</v>
      </c>
      <c r="G60" s="7">
        <f>Parameters!$M$27*G59+F60</f>
        <v>0.07385691026454037</v>
      </c>
      <c r="H60" s="7">
        <f>IF(AND(Parameters!$M$5=1,Parameters!$M$26=1),SUMPRODUCT(--($A$45:A60&lt;A60),--(MOD(A60-$A$45:A60,Parameters!$M$28)=0),$F$45:F60,POWER(Parameters!$M$27,IF(A60-$A$45:A60=0,1,A60-$A$45:A60))),0)</f>
        <v>0.0</v>
      </c>
      <c r="I60" s="7">
        <f>Parameters!$M$23*I59+B60*Parameters!$M$22</f>
        <v>0.0</v>
      </c>
      <c r="J60" s="7">
        <f>E60*Parameters!$M$14*(1-Parameters!$M$15)</f>
        <v>0.0</v>
      </c>
      <c r="K60" s="7">
        <f>H60*Parameters!$M$29</f>
        <v>0.0</v>
      </c>
      <c r="L60" s="7">
        <f>I60*Parameters!$M$24</f>
        <v>0.0</v>
      </c>
      <c r="M60" s="7">
        <f>J60+K60+L60</f>
        <v>0.0</v>
      </c>
      <c r="N60" s="7">
        <f>C60*Parameters!$M$17+D60*Parameters!$M$18+E60*Parameters!$M$16+I60*Parameters!$M$25+G60*Parameters!$M$30</f>
        <v>0.0073856910264540375</v>
      </c>
      <c r="O60" s="7">
        <f>0</f>
        <v>0</v>
      </c>
      <c r="P60" s="7">
        <f>M60-N60-O60</f>
        <v>-0.0073856910264540375</v>
      </c>
      <c r="Q60" s="7">
        <f>0</f>
        <v>0</v>
      </c>
      <c r="R60" s="7">
        <f>P60-Q60</f>
        <v>-0.0073856910264540375</v>
      </c>
      <c r="S60" s="7">
        <f>IF(A60&lt;1+Parameters!$M$31,0,INDEX($M$45:$M$80,A60-Parameters!$M$31))</f>
        <v>0.0</v>
      </c>
      <c r="T60" s="7">
        <f>T59+M60-S60</f>
        <v>0.0</v>
      </c>
      <c r="U60" s="7">
        <f>S60-N60-O60-Q60</f>
        <v>-0.0073856910264540375</v>
      </c>
      <c r="V60" s="7">
        <f>V59+U60</f>
        <v>3.7389739458984472</v>
      </c>
      <c r="W60" s="7">
        <f>(1-Parameters!$M$7)*(C60-E60)+(1-Parameters!$M$8)*(D60+E60)</f>
        <v>0.0</v>
      </c>
      <c r="X60" s="7">
        <f>Parameters!$M$7*(C60-E60)+Parameters!$M$8*Parameters!$M$9*(D60+E60)</f>
        <v>0.0</v>
      </c>
      <c r="Y60" s="7">
        <f>Parameters!$M$8*(1-Parameters!$M$9)*(D60+E60)</f>
        <v>0.0</v>
      </c>
      <c r="Z60" s="7">
        <f>POWER(1/(1+Parameters!$M$32),A60-1)*(M60-N60)</f>
        <v>-0.006361661086880856</v>
      </c>
    </row>
    <row r="61" spans="1:26">
      <c r="A61" s="7">
        <v>17</v>
      </c>
      <c r="B61" s="7">
        <f>0</f>
        <v>0</v>
      </c>
      <c r="C61" s="7">
        <f>X60+B61</f>
        <v>0.0</v>
      </c>
      <c r="D61" s="7">
        <f>Y60</f>
        <v>0.0</v>
      </c>
      <c r="E61" s="7">
        <f>Parameters!$M$6*C61</f>
        <v>0.0</v>
      </c>
      <c r="F61" s="7">
        <f>IF(Parameters!$M$5=1,E61,0)</f>
        <v>0.0</v>
      </c>
      <c r="G61" s="7">
        <f>Parameters!$M$27*G60+F61</f>
        <v>0.07237977205924956</v>
      </c>
      <c r="H61" s="7">
        <f>IF(AND(Parameters!$M$5=1,Parameters!$M$26=1),SUMPRODUCT(--($A$45:A61&lt;A61),--(MOD(A61-$A$45:A61,Parameters!$M$28)=0),$F$45:F61,POWER(Parameters!$M$27,IF(A61-$A$45:A61=0,1,A61-$A$45:A61))),0)</f>
        <v>0.0</v>
      </c>
      <c r="I61" s="7">
        <f>Parameters!$M$23*I60+B61*Parameters!$M$22</f>
        <v>0.0</v>
      </c>
      <c r="J61" s="7">
        <f>E61*Parameters!$M$14*(1-Parameters!$M$15)</f>
        <v>0.0</v>
      </c>
      <c r="K61" s="7">
        <f>H61*Parameters!$M$29</f>
        <v>0.0</v>
      </c>
      <c r="L61" s="7">
        <f>I61*Parameters!$M$24</f>
        <v>0.0</v>
      </c>
      <c r="M61" s="7">
        <f>J61+K61+L61</f>
        <v>0.0</v>
      </c>
      <c r="N61" s="7">
        <f>C61*Parameters!$M$17+D61*Parameters!$M$18+E61*Parameters!$M$16+I61*Parameters!$M$25+G61*Parameters!$M$30</f>
        <v>0.007237977205924956</v>
      </c>
      <c r="O61" s="7">
        <f>0</f>
        <v>0</v>
      </c>
      <c r="P61" s="7">
        <f>M61-N61-O61</f>
        <v>-0.007237977205924956</v>
      </c>
      <c r="Q61" s="7">
        <f>0</f>
        <v>0</v>
      </c>
      <c r="R61" s="7">
        <f>P61-Q61</f>
        <v>-0.007237977205924956</v>
      </c>
      <c r="S61" s="7">
        <f>IF(A61&lt;1+Parameters!$M$31,0,INDEX($M$45:$M$80,A61-Parameters!$M$31))</f>
        <v>0.0</v>
      </c>
      <c r="T61" s="7">
        <f>T60+M61-S61</f>
        <v>0.0</v>
      </c>
      <c r="U61" s="7">
        <f>S61-N61-O61-Q61</f>
        <v>-0.007237977205924956</v>
      </c>
      <c r="V61" s="7">
        <f>V60+U61</f>
        <v>3.731735968692522</v>
      </c>
      <c r="W61" s="7">
        <f>(1-Parameters!$M$7)*(C61-E61)+(1-Parameters!$M$8)*(D61+E61)</f>
        <v>0.0</v>
      </c>
      <c r="X61" s="7">
        <f>Parameters!$M$7*(C61-E61)+Parameters!$M$8*Parameters!$M$9*(D61+E61)</f>
        <v>0.0</v>
      </c>
      <c r="Y61" s="7">
        <f>Parameters!$M$8*(1-Parameters!$M$9)*(D61+E61)</f>
        <v>0.0</v>
      </c>
      <c r="Z61" s="7">
        <f>POWER(1/(1+Parameters!$M$32),A61-1)*(M61-N61)</f>
        <v>-0.006172700856577463</v>
      </c>
    </row>
    <row r="62" spans="1:26">
      <c r="A62" s="7">
        <v>18</v>
      </c>
      <c r="B62" s="7">
        <f>0</f>
        <v>0</v>
      </c>
      <c r="C62" s="7">
        <f>X61+B62</f>
        <v>0.0</v>
      </c>
      <c r="D62" s="7">
        <f>Y61</f>
        <v>0.0</v>
      </c>
      <c r="E62" s="7">
        <f>Parameters!$M$6*C62</f>
        <v>0.0</v>
      </c>
      <c r="F62" s="7">
        <f>IF(Parameters!$M$5=1,E62,0)</f>
        <v>0.0</v>
      </c>
      <c r="G62" s="7">
        <f>Parameters!$M$27*G61+F62</f>
        <v>0.07093217661806457</v>
      </c>
      <c r="H62" s="7">
        <f>IF(AND(Parameters!$M$5=1,Parameters!$M$26=1),SUMPRODUCT(--($A$45:A62&lt;A62),--(MOD(A62-$A$45:A62,Parameters!$M$28)=0),$F$45:F62,POWER(Parameters!$M$27,IF(A62-$A$45:A62=0,1,A62-$A$45:A62))),0)</f>
        <v>0.0</v>
      </c>
      <c r="I62" s="7">
        <f>Parameters!$M$23*I61+B62*Parameters!$M$22</f>
        <v>0.0</v>
      </c>
      <c r="J62" s="7">
        <f>E62*Parameters!$M$14*(1-Parameters!$M$15)</f>
        <v>0.0</v>
      </c>
      <c r="K62" s="7">
        <f>H62*Parameters!$M$29</f>
        <v>0.0</v>
      </c>
      <c r="L62" s="7">
        <f>I62*Parameters!$M$24</f>
        <v>0.0</v>
      </c>
      <c r="M62" s="7">
        <f>J62+K62+L62</f>
        <v>0.0</v>
      </c>
      <c r="N62" s="7">
        <f>C62*Parameters!$M$17+D62*Parameters!$M$18+E62*Parameters!$M$16+I62*Parameters!$M$25+G62*Parameters!$M$30</f>
        <v>0.0070932176618064575</v>
      </c>
      <c r="O62" s="7">
        <f>0</f>
        <v>0</v>
      </c>
      <c r="P62" s="7">
        <f>M62-N62-O62</f>
        <v>-0.0070932176618064575</v>
      </c>
      <c r="Q62" s="7">
        <f>0</f>
        <v>0</v>
      </c>
      <c r="R62" s="7">
        <f>P62-Q62</f>
        <v>-0.0070932176618064575</v>
      </c>
      <c r="S62" s="7">
        <f>IF(A62&lt;1+Parameters!$M$31,0,INDEX($M$45:$M$80,A62-Parameters!$M$31))</f>
        <v>0.0</v>
      </c>
      <c r="T62" s="7">
        <f>T61+M62-S62</f>
        <v>0.0</v>
      </c>
      <c r="U62" s="7">
        <f>S62-N62-O62-Q62</f>
        <v>-0.0070932176618064575</v>
      </c>
      <c r="V62" s="7">
        <f>V61+U62</f>
        <v>3.7246427510307156</v>
      </c>
      <c r="W62" s="7">
        <f>(1-Parameters!$M$7)*(C62-E62)+(1-Parameters!$M$8)*(D62+E62)</f>
        <v>0.0</v>
      </c>
      <c r="X62" s="7">
        <f>Parameters!$M$7*(C62-E62)+Parameters!$M$8*Parameters!$M$9*(D62+E62)</f>
        <v>0.0</v>
      </c>
      <c r="Y62" s="7">
        <f>Parameters!$M$8*(1-Parameters!$M$9)*(D62+E62)</f>
        <v>0.0</v>
      </c>
      <c r="Z62" s="7">
        <f>POWER(1/(1+Parameters!$M$32),A62-1)*(M62-N62)</f>
        <v>-0.0059893533063820935</v>
      </c>
    </row>
    <row r="63" spans="1:26">
      <c r="A63" s="7">
        <v>19</v>
      </c>
      <c r="B63" s="7">
        <f>0</f>
        <v>0</v>
      </c>
      <c r="C63" s="7">
        <f>X62+B63</f>
        <v>0.0</v>
      </c>
      <c r="D63" s="7">
        <f>Y62</f>
        <v>0.0</v>
      </c>
      <c r="E63" s="7">
        <f>Parameters!$M$6*C63</f>
        <v>0.0</v>
      </c>
      <c r="F63" s="7">
        <f>IF(Parameters!$M$5=1,E63,0)</f>
        <v>0.0</v>
      </c>
      <c r="G63" s="7">
        <f>Parameters!$M$27*G62+F63</f>
        <v>0.06951353308570328</v>
      </c>
      <c r="H63" s="7">
        <f>IF(AND(Parameters!$M$5=1,Parameters!$M$26=1),SUMPRODUCT(--($A$45:A63&lt;A63),--(MOD(A63-$A$45:A63,Parameters!$M$28)=0),$F$45:F63,POWER(Parameters!$M$27,IF(A63-$A$45:A63=0,1,A63-$A$45:A63))),0)</f>
        <v>0.0</v>
      </c>
      <c r="I63" s="7">
        <f>Parameters!$M$23*I62+B63*Parameters!$M$22</f>
        <v>0.0</v>
      </c>
      <c r="J63" s="7">
        <f>E63*Parameters!$M$14*(1-Parameters!$M$15)</f>
        <v>0.0</v>
      </c>
      <c r="K63" s="7">
        <f>H63*Parameters!$M$29</f>
        <v>0.0</v>
      </c>
      <c r="L63" s="7">
        <f>I63*Parameters!$M$24</f>
        <v>0.0</v>
      </c>
      <c r="M63" s="7">
        <f>J63+K63+L63</f>
        <v>0.0</v>
      </c>
      <c r="N63" s="7">
        <f>C63*Parameters!$M$17+D63*Parameters!$M$18+E63*Parameters!$M$16+I63*Parameters!$M$25+G63*Parameters!$M$30</f>
        <v>0.0069513533085703285</v>
      </c>
      <c r="O63" s="7">
        <f>0</f>
        <v>0</v>
      </c>
      <c r="P63" s="7">
        <f>M63-N63-O63</f>
        <v>-0.0069513533085703285</v>
      </c>
      <c r="Q63" s="7">
        <f>0</f>
        <v>0</v>
      </c>
      <c r="R63" s="7">
        <f>P63-Q63</f>
        <v>-0.0069513533085703285</v>
      </c>
      <c r="S63" s="7">
        <f>IF(A63&lt;1+Parameters!$M$31,0,INDEX($M$45:$M$80,A63-Parameters!$M$31))</f>
        <v>0.0</v>
      </c>
      <c r="T63" s="7">
        <f>T62+M63-S63</f>
        <v>0.0</v>
      </c>
      <c r="U63" s="7">
        <f>S63-N63-O63-Q63</f>
        <v>-0.0069513533085703285</v>
      </c>
      <c r="V63" s="7">
        <f>V62+U63</f>
        <v>3.7176913977221453</v>
      </c>
      <c r="W63" s="7">
        <f>(1-Parameters!$M$7)*(C63-E63)+(1-Parameters!$M$8)*(D63+E63)</f>
        <v>0.0</v>
      </c>
      <c r="X63" s="7">
        <f>Parameters!$M$7*(C63-E63)+Parameters!$M$8*Parameters!$M$9*(D63+E63)</f>
        <v>0.0</v>
      </c>
      <c r="Y63" s="7">
        <f>Parameters!$M$8*(1-Parameters!$M$9)*(D63+E63)</f>
        <v>0.0</v>
      </c>
      <c r="Z63" s="7">
        <f>POWER(1/(1+Parameters!$M$32),A63-1)*(M63-N63)</f>
        <v>-0.0058114517230242095</v>
      </c>
    </row>
    <row r="64" spans="1:26">
      <c r="A64" s="7">
        <v>20</v>
      </c>
      <c r="B64" s="7">
        <f>0</f>
        <v>0</v>
      </c>
      <c r="C64" s="7">
        <f>X63+B64</f>
        <v>0.0</v>
      </c>
      <c r="D64" s="7">
        <f>Y63</f>
        <v>0.0</v>
      </c>
      <c r="E64" s="7">
        <f>Parameters!$M$6*C64</f>
        <v>0.0</v>
      </c>
      <c r="F64" s="7">
        <f>IF(Parameters!$M$5=1,E64,0)</f>
        <v>0.0</v>
      </c>
      <c r="G64" s="7">
        <f>Parameters!$M$27*G63+F64</f>
        <v>0.06812326242398921</v>
      </c>
      <c r="H64" s="7">
        <f>IF(AND(Parameters!$M$5=1,Parameters!$M$26=1),SUMPRODUCT(--($A$45:A64&lt;A64),--(MOD(A64-$A$45:A64,Parameters!$M$28)=0),$F$45:F64,POWER(Parameters!$M$27,IF(A64-$A$45:A64=0,1,A64-$A$45:A64))),0)</f>
        <v>0.0</v>
      </c>
      <c r="I64" s="7">
        <f>Parameters!$M$23*I63+B64*Parameters!$M$22</f>
        <v>0.0</v>
      </c>
      <c r="J64" s="7">
        <f>E64*Parameters!$M$14*(1-Parameters!$M$15)</f>
        <v>0.0</v>
      </c>
      <c r="K64" s="7">
        <f>H64*Parameters!$M$29</f>
        <v>0.0</v>
      </c>
      <c r="L64" s="7">
        <f>I64*Parameters!$M$24</f>
        <v>0.0</v>
      </c>
      <c r="M64" s="7">
        <f>J64+K64+L64</f>
        <v>0.0</v>
      </c>
      <c r="N64" s="7">
        <f>C64*Parameters!$M$17+D64*Parameters!$M$18+E64*Parameters!$M$16+I64*Parameters!$M$25+G64*Parameters!$M$30</f>
        <v>0.006812326242398921</v>
      </c>
      <c r="O64" s="7">
        <f>0</f>
        <v>0</v>
      </c>
      <c r="P64" s="7">
        <f>M64-N64-O64</f>
        <v>-0.006812326242398921</v>
      </c>
      <c r="Q64" s="7">
        <f>0</f>
        <v>0</v>
      </c>
      <c r="R64" s="7">
        <f>P64-Q64</f>
        <v>-0.006812326242398921</v>
      </c>
      <c r="S64" s="7">
        <f>IF(A64&lt;1+Parameters!$M$31,0,INDEX($M$45:$M$80,A64-Parameters!$M$31))</f>
        <v>0.0</v>
      </c>
      <c r="T64" s="7">
        <f>T63+M64-S64</f>
        <v>0.0</v>
      </c>
      <c r="U64" s="7">
        <f>S64-N64-O64-Q64</f>
        <v>-0.006812326242398921</v>
      </c>
      <c r="V64" s="7">
        <f>V63+U64</f>
        <v>3.7108790714797464</v>
      </c>
      <c r="W64" s="7">
        <f>(1-Parameters!$M$7)*(C64-E64)+(1-Parameters!$M$8)*(D64+E64)</f>
        <v>0.0</v>
      </c>
      <c r="X64" s="7">
        <f>Parameters!$M$7*(C64-E64)+Parameters!$M$8*Parameters!$M$9*(D64+E64)</f>
        <v>0.0</v>
      </c>
      <c r="Y64" s="7">
        <f>Parameters!$M$8*(1-Parameters!$M$9)*(D64+E64)</f>
        <v>0.0</v>
      </c>
      <c r="Z64" s="7">
        <f>POWER(1/(1+Parameters!$M$32),A64-1)*(M64-N64)</f>
        <v>-0.005638834345112598</v>
      </c>
    </row>
    <row r="65" spans="1:26">
      <c r="A65" s="7">
        <v>21</v>
      </c>
      <c r="B65" s="7">
        <f>0</f>
        <v>0</v>
      </c>
      <c r="C65" s="7">
        <f>X64+B65</f>
        <v>0.0</v>
      </c>
      <c r="D65" s="7">
        <f>Y64</f>
        <v>0.0</v>
      </c>
      <c r="E65" s="7">
        <f>Parameters!$M$6*C65</f>
        <v>0.0</v>
      </c>
      <c r="F65" s="7">
        <f>IF(Parameters!$M$5=1,E65,0)</f>
        <v>0.0</v>
      </c>
      <c r="G65" s="7">
        <f>Parameters!$M$27*G64+F65</f>
        <v>0.06676079717550942</v>
      </c>
      <c r="H65" s="7">
        <f>IF(AND(Parameters!$M$5=1,Parameters!$M$26=1),SUMPRODUCT(--($A$45:A65&lt;A65),--(MOD(A65-$A$45:A65,Parameters!$M$28)=0),$F$45:F65,POWER(Parameters!$M$27,IF(A65-$A$45:A65=0,1,A65-$A$45:A65))),0)</f>
        <v>0.0</v>
      </c>
      <c r="I65" s="7">
        <f>Parameters!$M$23*I64+B65*Parameters!$M$22</f>
        <v>0.0</v>
      </c>
      <c r="J65" s="7">
        <f>E65*Parameters!$M$14*(1-Parameters!$M$15)</f>
        <v>0.0</v>
      </c>
      <c r="K65" s="7">
        <f>H65*Parameters!$M$29</f>
        <v>0.0</v>
      </c>
      <c r="L65" s="7">
        <f>I65*Parameters!$M$24</f>
        <v>0.0</v>
      </c>
      <c r="M65" s="7">
        <f>J65+K65+L65</f>
        <v>0.0</v>
      </c>
      <c r="N65" s="7">
        <f>C65*Parameters!$M$17+D65*Parameters!$M$18+E65*Parameters!$M$16+I65*Parameters!$M$25+G65*Parameters!$M$30</f>
        <v>0.006676079717550943</v>
      </c>
      <c r="O65" s="7">
        <f>0</f>
        <v>0</v>
      </c>
      <c r="P65" s="7">
        <f>M65-N65-O65</f>
        <v>-0.006676079717550943</v>
      </c>
      <c r="Q65" s="7">
        <f>0</f>
        <v>0</v>
      </c>
      <c r="R65" s="7">
        <f>P65-Q65</f>
        <v>-0.006676079717550943</v>
      </c>
      <c r="S65" s="7">
        <f>IF(A65&lt;1+Parameters!$M$31,0,INDEX($M$45:$M$80,A65-Parameters!$M$31))</f>
        <v>0.0</v>
      </c>
      <c r="T65" s="7">
        <f>T64+M65-S65</f>
        <v>0.0</v>
      </c>
      <c r="U65" s="7">
        <f>S65-N65-O65-Q65</f>
        <v>-0.006676079717550943</v>
      </c>
      <c r="V65" s="7">
        <f>V64+U65</f>
        <v>3.7042029917621955</v>
      </c>
      <c r="W65" s="7">
        <f>(1-Parameters!$M$7)*(C65-E65)+(1-Parameters!$M$8)*(D65+E65)</f>
        <v>0.0</v>
      </c>
      <c r="X65" s="7">
        <f>Parameters!$M$7*(C65-E65)+Parameters!$M$8*Parameters!$M$9*(D65+E65)</f>
        <v>0.0</v>
      </c>
      <c r="Y65" s="7">
        <f>Parameters!$M$8*(1-Parameters!$M$9)*(D65+E65)</f>
        <v>0.0</v>
      </c>
      <c r="Z65" s="7">
        <f>POWER(1/(1+Parameters!$M$32),A65-1)*(M65-N65)</f>
        <v>-0.005471344216049848</v>
      </c>
    </row>
    <row r="66" spans="1:26">
      <c r="A66" s="7">
        <v>22</v>
      </c>
      <c r="B66" s="7">
        <f>0</f>
        <v>0</v>
      </c>
      <c r="C66" s="7">
        <f>X65+B66</f>
        <v>0.0</v>
      </c>
      <c r="D66" s="7">
        <f>Y65</f>
        <v>0.0</v>
      </c>
      <c r="E66" s="7">
        <f>Parameters!$M$6*C66</f>
        <v>0.0</v>
      </c>
      <c r="F66" s="7">
        <f>IF(Parameters!$M$5=1,E66,0)</f>
        <v>0.0</v>
      </c>
      <c r="G66" s="7">
        <f>Parameters!$M$27*G65+F66</f>
        <v>0.06542558123199924</v>
      </c>
      <c r="H66" s="7">
        <f>IF(AND(Parameters!$M$5=1,Parameters!$M$26=1),SUMPRODUCT(--($A$45:A66&lt;A66),--(MOD(A66-$A$45:A66,Parameters!$M$28)=0),$F$45:F66,POWER(Parameters!$M$27,IF(A66-$A$45:A66=0,1,A66-$A$45:A66))),0)</f>
        <v>0.0</v>
      </c>
      <c r="I66" s="7">
        <f>Parameters!$M$23*I65+B66*Parameters!$M$22</f>
        <v>0.0</v>
      </c>
      <c r="J66" s="7">
        <f>E66*Parameters!$M$14*(1-Parameters!$M$15)</f>
        <v>0.0</v>
      </c>
      <c r="K66" s="7">
        <f>H66*Parameters!$M$29</f>
        <v>0.0</v>
      </c>
      <c r="L66" s="7">
        <f>I66*Parameters!$M$24</f>
        <v>0.0</v>
      </c>
      <c r="M66" s="7">
        <f>J66+K66+L66</f>
        <v>0.0</v>
      </c>
      <c r="N66" s="7">
        <f>C66*Parameters!$M$17+D66*Parameters!$M$18+E66*Parameters!$M$16+I66*Parameters!$M$25+G66*Parameters!$M$30</f>
        <v>0.006542558123199924</v>
      </c>
      <c r="O66" s="7">
        <f>0</f>
        <v>0</v>
      </c>
      <c r="P66" s="7">
        <f>M66-N66-O66</f>
        <v>-0.006542558123199924</v>
      </c>
      <c r="Q66" s="7">
        <f>0</f>
        <v>0</v>
      </c>
      <c r="R66" s="7">
        <f>P66-Q66</f>
        <v>-0.006542558123199924</v>
      </c>
      <c r="S66" s="7">
        <f>IF(A66&lt;1+Parameters!$M$31,0,INDEX($M$45:$M$80,A66-Parameters!$M$31))</f>
        <v>0.0</v>
      </c>
      <c r="T66" s="7">
        <f>T65+M66-S66</f>
        <v>0.0</v>
      </c>
      <c r="U66" s="7">
        <f>S66-N66-O66-Q66</f>
        <v>-0.006542558123199924</v>
      </c>
      <c r="V66" s="7">
        <f>V65+U66</f>
        <v>3.6976604336389958</v>
      </c>
      <c r="W66" s="7">
        <f>(1-Parameters!$M$7)*(C66-E66)+(1-Parameters!$M$8)*(D66+E66)</f>
        <v>0.0</v>
      </c>
      <c r="X66" s="7">
        <f>Parameters!$M$7*(C66-E66)+Parameters!$M$8*Parameters!$M$9*(D66+E66)</f>
        <v>0.0</v>
      </c>
      <c r="Y66" s="7">
        <f>Parameters!$M$8*(1-Parameters!$M$9)*(D66+E66)</f>
        <v>0.0</v>
      </c>
      <c r="Z66" s="7">
        <f>POWER(1/(1+Parameters!$M$32),A66-1)*(M66-N66)</f>
        <v>-0.005308829041315694</v>
      </c>
    </row>
    <row r="67" spans="1:26">
      <c r="A67" s="7">
        <v>23</v>
      </c>
      <c r="B67" s="7">
        <f>0</f>
        <v>0</v>
      </c>
      <c r="C67" s="7">
        <f>X66+B67</f>
        <v>0.0</v>
      </c>
      <c r="D67" s="7">
        <f>Y66</f>
        <v>0.0</v>
      </c>
      <c r="E67" s="7">
        <f>Parameters!$M$6*C67</f>
        <v>0.0</v>
      </c>
      <c r="F67" s="7">
        <f>IF(Parameters!$M$5=1,E67,0)</f>
        <v>0.0</v>
      </c>
      <c r="G67" s="7">
        <f>Parameters!$M$27*G66+F67</f>
        <v>0.06411706960735924</v>
      </c>
      <c r="H67" s="7">
        <f>IF(AND(Parameters!$M$5=1,Parameters!$M$26=1),SUMPRODUCT(--($A$45:A67&lt;A67),--(MOD(A67-$A$45:A67,Parameters!$M$28)=0),$F$45:F67,POWER(Parameters!$M$27,IF(A67-$A$45:A67=0,1,A67-$A$45:A67))),0)</f>
        <v>0.0</v>
      </c>
      <c r="I67" s="7">
        <f>Parameters!$M$23*I66+B67*Parameters!$M$22</f>
        <v>0.0</v>
      </c>
      <c r="J67" s="7">
        <f>E67*Parameters!$M$14*(1-Parameters!$M$15)</f>
        <v>0.0</v>
      </c>
      <c r="K67" s="7">
        <f>H67*Parameters!$M$29</f>
        <v>0.0</v>
      </c>
      <c r="L67" s="7">
        <f>I67*Parameters!$M$24</f>
        <v>0.0</v>
      </c>
      <c r="M67" s="7">
        <f>J67+K67+L67</f>
        <v>0.0</v>
      </c>
      <c r="N67" s="7">
        <f>C67*Parameters!$M$17+D67*Parameters!$M$18+E67*Parameters!$M$16+I67*Parameters!$M$25+G67*Parameters!$M$30</f>
        <v>0.0064117069607359245</v>
      </c>
      <c r="O67" s="7">
        <f>0</f>
        <v>0</v>
      </c>
      <c r="P67" s="7">
        <f>M67-N67-O67</f>
        <v>-0.0064117069607359245</v>
      </c>
      <c r="Q67" s="7">
        <f>0</f>
        <v>0</v>
      </c>
      <c r="R67" s="7">
        <f>P67-Q67</f>
        <v>-0.0064117069607359245</v>
      </c>
      <c r="S67" s="7">
        <f>IF(A67&lt;1+Parameters!$M$31,0,INDEX($M$45:$M$80,A67-Parameters!$M$31))</f>
        <v>0.0</v>
      </c>
      <c r="T67" s="7">
        <f>T66+M67-S67</f>
        <v>0.0</v>
      </c>
      <c r="U67" s="7">
        <f>S67-N67-O67-Q67</f>
        <v>-0.0064117069607359245</v>
      </c>
      <c r="V67" s="7">
        <f>V66+U67</f>
        <v>3.6912487266782597</v>
      </c>
      <c r="W67" s="7">
        <f>(1-Parameters!$M$7)*(C67-E67)+(1-Parameters!$M$8)*(D67+E67)</f>
        <v>0.0</v>
      </c>
      <c r="X67" s="7">
        <f>Parameters!$M$7*(C67-E67)+Parameters!$M$8*Parameters!$M$9*(D67+E67)</f>
        <v>0.0</v>
      </c>
      <c r="Y67" s="7">
        <f>Parameters!$M$8*(1-Parameters!$M$9)*(D67+E67)</f>
        <v>0.0</v>
      </c>
      <c r="Z67" s="7">
        <f>POWER(1/(1+Parameters!$M$32),A67-1)*(M67-N67)</f>
        <v>-0.0051511410499894845</v>
      </c>
    </row>
    <row r="68" spans="1:26">
      <c r="A68" s="7">
        <v>24</v>
      </c>
      <c r="B68" s="7">
        <f>0</f>
        <v>0</v>
      </c>
      <c r="C68" s="7">
        <f>X67+B68</f>
        <v>0.0</v>
      </c>
      <c r="D68" s="7">
        <f>Y67</f>
        <v>0.0</v>
      </c>
      <c r="E68" s="7">
        <f>Parameters!$M$6*C68</f>
        <v>0.0</v>
      </c>
      <c r="F68" s="7">
        <f>IF(Parameters!$M$5=1,E68,0)</f>
        <v>0.0</v>
      </c>
      <c r="G68" s="7">
        <f>Parameters!$M$27*G67+F68</f>
        <v>0.06283472821521206</v>
      </c>
      <c r="H68" s="7">
        <f>IF(AND(Parameters!$M$5=1,Parameters!$M$26=1),SUMPRODUCT(--($A$45:A68&lt;A68),--(MOD(A68-$A$45:A68,Parameters!$M$28)=0),$F$45:F68,POWER(Parameters!$M$27,IF(A68-$A$45:A68=0,1,A68-$A$45:A68))),0)</f>
        <v>0.0</v>
      </c>
      <c r="I68" s="7">
        <f>Parameters!$M$23*I67+B68*Parameters!$M$22</f>
        <v>0.0</v>
      </c>
      <c r="J68" s="7">
        <f>E68*Parameters!$M$14*(1-Parameters!$M$15)</f>
        <v>0.0</v>
      </c>
      <c r="K68" s="7">
        <f>H68*Parameters!$M$29</f>
        <v>0.0</v>
      </c>
      <c r="L68" s="7">
        <f>I68*Parameters!$M$24</f>
        <v>0.0</v>
      </c>
      <c r="M68" s="7">
        <f>J68+K68+L68</f>
        <v>0.0</v>
      </c>
      <c r="N68" s="7">
        <f>C68*Parameters!$M$17+D68*Parameters!$M$18+E68*Parameters!$M$16+I68*Parameters!$M$25+G68*Parameters!$M$30</f>
        <v>0.006283472821521207</v>
      </c>
      <c r="O68" s="7">
        <f>0</f>
        <v>0</v>
      </c>
      <c r="P68" s="7">
        <f>M68-N68-O68</f>
        <v>-0.006283472821521207</v>
      </c>
      <c r="Q68" s="7">
        <f>0</f>
        <v>0</v>
      </c>
      <c r="R68" s="7">
        <f>P68-Q68</f>
        <v>-0.006283472821521207</v>
      </c>
      <c r="S68" s="7">
        <f>IF(A68&lt;1+Parameters!$M$31,0,INDEX($M$45:$M$80,A68-Parameters!$M$31))</f>
        <v>0.0</v>
      </c>
      <c r="T68" s="7">
        <f>T67+M68-S68</f>
        <v>0.0</v>
      </c>
      <c r="U68" s="7">
        <f>S68-N68-O68-Q68</f>
        <v>-0.006283472821521207</v>
      </c>
      <c r="V68" s="7">
        <f>V67+U68</f>
        <v>3.6849652538567383</v>
      </c>
      <c r="W68" s="7">
        <f>(1-Parameters!$M$7)*(C68-E68)+(1-Parameters!$M$8)*(D68+E68)</f>
        <v>0.0</v>
      </c>
      <c r="X68" s="7">
        <f>Parameters!$M$7*(C68-E68)+Parameters!$M$8*Parameters!$M$9*(D68+E68)</f>
        <v>0.0</v>
      </c>
      <c r="Y68" s="7">
        <f>Parameters!$M$8*(1-Parameters!$M$9)*(D68+E68)</f>
        <v>0.0</v>
      </c>
      <c r="Z68" s="7">
        <f>POWER(1/(1+Parameters!$M$32),A68-1)*(M68-N68)</f>
        <v>-0.0049981368603858375</v>
      </c>
    </row>
    <row r="69" spans="1:26">
      <c r="A69" s="7">
        <v>25</v>
      </c>
      <c r="B69" s="7">
        <f>0</f>
        <v>0</v>
      </c>
      <c r="C69" s="7">
        <f>X68+B69</f>
        <v>0.0</v>
      </c>
      <c r="D69" s="7">
        <f>Y68</f>
        <v>0.0</v>
      </c>
      <c r="E69" s="7">
        <f>Parameters!$M$6*C69</f>
        <v>0.0</v>
      </c>
      <c r="F69" s="7">
        <f>IF(Parameters!$M$5=1,E69,0)</f>
        <v>0.0</v>
      </c>
      <c r="G69" s="7">
        <f>Parameters!$M$27*G68+F69</f>
        <v>0.06157803365090782</v>
      </c>
      <c r="H69" s="7">
        <f>IF(AND(Parameters!$M$5=1,Parameters!$M$26=1),SUMPRODUCT(--($A$45:A69&lt;A69),--(MOD(A69-$A$45:A69,Parameters!$M$28)=0),$F$45:F69,POWER(Parameters!$M$27,IF(A69-$A$45:A69=0,1,A69-$A$45:A69))),0)</f>
        <v>0.06157803365090783</v>
      </c>
      <c r="I69" s="7">
        <f>Parameters!$M$23*I68+B69*Parameters!$M$22</f>
        <v>0.0</v>
      </c>
      <c r="J69" s="7">
        <f>E69*Parameters!$M$14*(1-Parameters!$M$15)</f>
        <v>0.0</v>
      </c>
      <c r="K69" s="7">
        <f>H69*Parameters!$M$29</f>
        <v>0.9236705047636175</v>
      </c>
      <c r="L69" s="7">
        <f>I69*Parameters!$M$24</f>
        <v>0.0</v>
      </c>
      <c r="M69" s="7">
        <f>J69+K69+L69</f>
        <v>0.9236705047636175</v>
      </c>
      <c r="N69" s="7">
        <f>C69*Parameters!$M$17+D69*Parameters!$M$18+E69*Parameters!$M$16+I69*Parameters!$M$25+G69*Parameters!$M$30</f>
        <v>0.006157803365090782</v>
      </c>
      <c r="O69" s="7">
        <f>0</f>
        <v>0</v>
      </c>
      <c r="P69" s="7">
        <f>M69-N69-O69</f>
        <v>0.9175127013985267</v>
      </c>
      <c r="Q69" s="7">
        <f>0</f>
        <v>0</v>
      </c>
      <c r="R69" s="7">
        <f>P69-Q69</f>
        <v>0.9175127013985267</v>
      </c>
      <c r="S69" s="7">
        <f>IF(A69&lt;1+Parameters!$M$31,0,INDEX($M$45:$M$80,A69-Parameters!$M$31))</f>
        <v>0.0</v>
      </c>
      <c r="T69" s="7">
        <f>T68+M69-S69</f>
        <v>0.9236705047636175</v>
      </c>
      <c r="U69" s="7">
        <f>S69-N69-O69-Q69</f>
        <v>-0.006157803365090782</v>
      </c>
      <c r="V69" s="7">
        <f>V68+U69</f>
        <v>3.6788074504916475</v>
      </c>
      <c r="W69" s="7">
        <f>(1-Parameters!$M$7)*(C69-E69)+(1-Parameters!$M$8)*(D69+E69)</f>
        <v>0.0</v>
      </c>
      <c r="X69" s="7">
        <f>Parameters!$M$7*(C69-E69)+Parameters!$M$8*Parameters!$M$9*(D69+E69)</f>
        <v>0.0</v>
      </c>
      <c r="Y69" s="7">
        <f>Parameters!$M$8*(1-Parameters!$M$9)*(D69+E69)</f>
        <v>0.0</v>
      </c>
      <c r="Z69" s="7">
        <f>POWER(1/(1+Parameters!$M$32),A69-1)*(M69-N69)</f>
        <v>0.7226019251025149</v>
      </c>
    </row>
    <row r="70" spans="1:26">
      <c r="A70" s="7">
        <v>26</v>
      </c>
      <c r="B70" s="7">
        <f>0</f>
        <v>0</v>
      </c>
      <c r="C70" s="7">
        <f>X69+B70</f>
        <v>0.0</v>
      </c>
      <c r="D70" s="7">
        <f>Y69</f>
        <v>0.0</v>
      </c>
      <c r="E70" s="7">
        <f>Parameters!$M$6*C70</f>
        <v>0.0</v>
      </c>
      <c r="F70" s="7">
        <f>IF(Parameters!$M$5=1,E70,0)</f>
        <v>0.0</v>
      </c>
      <c r="G70" s="7">
        <f>Parameters!$M$27*G69+F70</f>
        <v>0.06034647297788966</v>
      </c>
      <c r="H70" s="7">
        <f>IF(AND(Parameters!$M$5=1,Parameters!$M$26=1),SUMPRODUCT(--($A$45:A70&lt;A70),--(MOD(A70-$A$45:A70,Parameters!$M$28)=0),$F$45:F70,POWER(Parameters!$M$27,IF(A70-$A$45:A70=0,1,A70-$A$45:A70))),0)</f>
        <v>0.0</v>
      </c>
      <c r="I70" s="7">
        <f>Parameters!$M$23*I69+B70*Parameters!$M$22</f>
        <v>0.0</v>
      </c>
      <c r="J70" s="7">
        <f>E70*Parameters!$M$14*(1-Parameters!$M$15)</f>
        <v>0.0</v>
      </c>
      <c r="K70" s="7">
        <f>H70*Parameters!$M$29</f>
        <v>0.0</v>
      </c>
      <c r="L70" s="7">
        <f>I70*Parameters!$M$24</f>
        <v>0.0</v>
      </c>
      <c r="M70" s="7">
        <f>J70+K70+L70</f>
        <v>0.0</v>
      </c>
      <c r="N70" s="7">
        <f>C70*Parameters!$M$17+D70*Parameters!$M$18+E70*Parameters!$M$16+I70*Parameters!$M$25+G70*Parameters!$M$30</f>
        <v>0.006034647297788967</v>
      </c>
      <c r="O70" s="7">
        <f>0</f>
        <v>0</v>
      </c>
      <c r="P70" s="7">
        <f>M70-N70-O70</f>
        <v>-0.006034647297788967</v>
      </c>
      <c r="Q70" s="7">
        <f>0</f>
        <v>0</v>
      </c>
      <c r="R70" s="7">
        <f>P70-Q70</f>
        <v>-0.006034647297788967</v>
      </c>
      <c r="S70" s="7">
        <f>IF(A70&lt;1+Parameters!$M$31,0,INDEX($M$45:$M$80,A70-Parameters!$M$31))</f>
        <v>0.9236705047636175</v>
      </c>
      <c r="T70" s="7">
        <f>T69+M70-S70</f>
        <v>0.0</v>
      </c>
      <c r="U70" s="7">
        <f>S70-N70-O70-Q70</f>
        <v>0.9176358574658284</v>
      </c>
      <c r="V70" s="7">
        <f>V69+U70</f>
        <v>4.596443307957476</v>
      </c>
      <c r="W70" s="7">
        <f>(1-Parameters!$M$7)*(C70-E70)+(1-Parameters!$M$8)*(D70+E70)</f>
        <v>0.0</v>
      </c>
      <c r="X70" s="7">
        <f>Parameters!$M$7*(C70-E70)+Parameters!$M$8*Parameters!$M$9*(D70+E70)</f>
        <v>0.0</v>
      </c>
      <c r="Y70" s="7">
        <f>Parameters!$M$8*(1-Parameters!$M$9)*(D70+E70)</f>
        <v>0.0</v>
      </c>
      <c r="Z70" s="7">
        <f>POWER(1/(1+Parameters!$M$32),A70-1)*(M70-N70)</f>
        <v>-0.0047056275274135455</v>
      </c>
    </row>
    <row r="71" spans="1:26">
      <c r="A71" s="7">
        <v>27</v>
      </c>
      <c r="B71" s="7">
        <f>0</f>
        <v>0</v>
      </c>
      <c r="C71" s="7">
        <f>X70+B71</f>
        <v>0.0</v>
      </c>
      <c r="D71" s="7">
        <f>Y70</f>
        <v>0.0</v>
      </c>
      <c r="E71" s="7">
        <f>Parameters!$M$6*C71</f>
        <v>0.0</v>
      </c>
      <c r="F71" s="7">
        <f>IF(Parameters!$M$5=1,E71,0)</f>
        <v>0.0</v>
      </c>
      <c r="G71" s="7">
        <f>Parameters!$M$27*G70+F71</f>
        <v>0.059139543518331866</v>
      </c>
      <c r="H71" s="7">
        <f>IF(AND(Parameters!$M$5=1,Parameters!$M$26=1),SUMPRODUCT(--($A$45:A71&lt;A71),--(MOD(A71-$A$45:A71,Parameters!$M$28)=0),$F$45:F71,POWER(Parameters!$M$27,IF(A71-$A$45:A71=0,1,A71-$A$45:A71))),0)</f>
        <v>0.0</v>
      </c>
      <c r="I71" s="7">
        <f>Parameters!$M$23*I70+B71*Parameters!$M$22</f>
        <v>0.0</v>
      </c>
      <c r="J71" s="7">
        <f>E71*Parameters!$M$14*(1-Parameters!$M$15)</f>
        <v>0.0</v>
      </c>
      <c r="K71" s="7">
        <f>H71*Parameters!$M$29</f>
        <v>0.0</v>
      </c>
      <c r="L71" s="7">
        <f>I71*Parameters!$M$24</f>
        <v>0.0</v>
      </c>
      <c r="M71" s="7">
        <f>J71+K71+L71</f>
        <v>0.0</v>
      </c>
      <c r="N71" s="7">
        <f>C71*Parameters!$M$17+D71*Parameters!$M$18+E71*Parameters!$M$16+I71*Parameters!$M$25+G71*Parameters!$M$30</f>
        <v>0.005913954351833187</v>
      </c>
      <c r="O71" s="7">
        <f>0</f>
        <v>0</v>
      </c>
      <c r="P71" s="7">
        <f>M71-N71-O71</f>
        <v>-0.005913954351833187</v>
      </c>
      <c r="Q71" s="7">
        <f>0</f>
        <v>0</v>
      </c>
      <c r="R71" s="7">
        <f>P71-Q71</f>
        <v>-0.005913954351833187</v>
      </c>
      <c r="S71" s="7">
        <f>IF(A71&lt;1+Parameters!$M$31,0,INDEX($M$45:$M$80,A71-Parameters!$M$31))</f>
        <v>0.0</v>
      </c>
      <c r="T71" s="7">
        <f>T70+M71-S71</f>
        <v>0.0</v>
      </c>
      <c r="U71" s="7">
        <f>S71-N71-O71-Q71</f>
        <v>-0.005913954351833187</v>
      </c>
      <c r="V71" s="7">
        <f>V70+U71</f>
        <v>4.590529353605643</v>
      </c>
      <c r="W71" s="7">
        <f>(1-Parameters!$M$7)*(C71-E71)+(1-Parameters!$M$8)*(D71+E71)</f>
        <v>0.0</v>
      </c>
      <c r="X71" s="7">
        <f>Parameters!$M$7*(C71-E71)+Parameters!$M$8*Parameters!$M$9*(D71+E71)</f>
        <v>0.0</v>
      </c>
      <c r="Y71" s="7">
        <f>Parameters!$M$8*(1-Parameters!$M$9)*(D71+E71)</f>
        <v>0.0</v>
      </c>
      <c r="Z71" s="7">
        <f>POWER(1/(1+Parameters!$M$32),A71-1)*(M71-N71)</f>
        <v>-0.004565856412737895</v>
      </c>
    </row>
    <row r="72" spans="1:26">
      <c r="A72" s="7">
        <v>28</v>
      </c>
      <c r="B72" s="7">
        <f>0</f>
        <v>0</v>
      </c>
      <c r="C72" s="7">
        <f>X71+B72</f>
        <v>0.0</v>
      </c>
      <c r="D72" s="7">
        <f>Y71</f>
        <v>0.0</v>
      </c>
      <c r="E72" s="7">
        <f>Parameters!$M$6*C72</f>
        <v>0.0</v>
      </c>
      <c r="F72" s="7">
        <f>IF(Parameters!$M$5=1,E72,0)</f>
        <v>0.0</v>
      </c>
      <c r="G72" s="7">
        <f>Parameters!$M$27*G71+F72</f>
        <v>0.05795675264796523</v>
      </c>
      <c r="H72" s="7">
        <f>IF(AND(Parameters!$M$5=1,Parameters!$M$26=1),SUMPRODUCT(--($A$45:A72&lt;A72),--(MOD(A72-$A$45:A72,Parameters!$M$28)=0),$F$45:F72,POWER(Parameters!$M$27,IF(A72-$A$45:A72=0,1,A72-$A$45:A72))),0)</f>
        <v>0.0</v>
      </c>
      <c r="I72" s="7">
        <f>Parameters!$M$23*I71+B72*Parameters!$M$22</f>
        <v>0.0</v>
      </c>
      <c r="J72" s="7">
        <f>E72*Parameters!$M$14*(1-Parameters!$M$15)</f>
        <v>0.0</v>
      </c>
      <c r="K72" s="7">
        <f>H72*Parameters!$M$29</f>
        <v>0.0</v>
      </c>
      <c r="L72" s="7">
        <f>I72*Parameters!$M$24</f>
        <v>0.0</v>
      </c>
      <c r="M72" s="7">
        <f>J72+K72+L72</f>
        <v>0.0</v>
      </c>
      <c r="N72" s="7">
        <f>C72*Parameters!$M$17+D72*Parameters!$M$18+E72*Parameters!$M$16+I72*Parameters!$M$25+G72*Parameters!$M$30</f>
        <v>0.005795675264796523</v>
      </c>
      <c r="O72" s="7">
        <f>0</f>
        <v>0</v>
      </c>
      <c r="P72" s="7">
        <f>M72-N72-O72</f>
        <v>-0.005795675264796523</v>
      </c>
      <c r="Q72" s="7">
        <f>0</f>
        <v>0</v>
      </c>
      <c r="R72" s="7">
        <f>P72-Q72</f>
        <v>-0.005795675264796523</v>
      </c>
      <c r="S72" s="7">
        <f>IF(A72&lt;1+Parameters!$M$31,0,INDEX($M$45:$M$80,A72-Parameters!$M$31))</f>
        <v>0.0</v>
      </c>
      <c r="T72" s="7">
        <f>T71+M72-S72</f>
        <v>0.0</v>
      </c>
      <c r="U72" s="7">
        <f>S72-N72-O72-Q72</f>
        <v>-0.005795675264796523</v>
      </c>
      <c r="V72" s="7">
        <f>V71+U72</f>
        <v>4.584733678340846</v>
      </c>
      <c r="W72" s="7">
        <f>(1-Parameters!$M$7)*(C72-E72)+(1-Parameters!$M$8)*(D72+E72)</f>
        <v>0.0</v>
      </c>
      <c r="X72" s="7">
        <f>Parameters!$M$7*(C72-E72)+Parameters!$M$8*Parameters!$M$9*(D72+E72)</f>
        <v>0.0</v>
      </c>
      <c r="Y72" s="7">
        <f>Parameters!$M$8*(1-Parameters!$M$9)*(D72+E72)</f>
        <v>0.0</v>
      </c>
      <c r="Z72" s="7">
        <f>POWER(1/(1+Parameters!$M$32),A72-1)*(M72-N72)</f>
        <v>-0.0044302369153298386</v>
      </c>
    </row>
    <row r="73" spans="1:26">
      <c r="A73" s="7">
        <v>29</v>
      </c>
      <c r="B73" s="7">
        <f>0</f>
        <v>0</v>
      </c>
      <c r="C73" s="7">
        <f>X72+B73</f>
        <v>0.0</v>
      </c>
      <c r="D73" s="7">
        <f>Y72</f>
        <v>0.0</v>
      </c>
      <c r="E73" s="7">
        <f>Parameters!$M$6*C73</f>
        <v>0.0</v>
      </c>
      <c r="F73" s="7">
        <f>IF(Parameters!$M$5=1,E73,0)</f>
        <v>0.0</v>
      </c>
      <c r="G73" s="7">
        <f>Parameters!$M$27*G72+F73</f>
        <v>0.05679761759500593</v>
      </c>
      <c r="H73" s="7">
        <f>IF(AND(Parameters!$M$5=1,Parameters!$M$26=1),SUMPRODUCT(--($A$45:A73&lt;A73),--(MOD(A73-$A$45:A73,Parameters!$M$28)=0),$F$45:F73,POWER(Parameters!$M$27,IF(A73-$A$45:A73=0,1,A73-$A$45:A73))),0)</f>
        <v>0.0</v>
      </c>
      <c r="I73" s="7">
        <f>Parameters!$M$23*I72+B73*Parameters!$M$22</f>
        <v>0.0</v>
      </c>
      <c r="J73" s="7">
        <f>E73*Parameters!$M$14*(1-Parameters!$M$15)</f>
        <v>0.0</v>
      </c>
      <c r="K73" s="7">
        <f>H73*Parameters!$M$29</f>
        <v>0.0</v>
      </c>
      <c r="L73" s="7">
        <f>I73*Parameters!$M$24</f>
        <v>0.0</v>
      </c>
      <c r="M73" s="7">
        <f>J73+K73+L73</f>
        <v>0.0</v>
      </c>
      <c r="N73" s="7">
        <f>C73*Parameters!$M$17+D73*Parameters!$M$18+E73*Parameters!$M$16+I73*Parameters!$M$25+G73*Parameters!$M$30</f>
        <v>0.005679761759500593</v>
      </c>
      <c r="O73" s="7">
        <f>0</f>
        <v>0</v>
      </c>
      <c r="P73" s="7">
        <f>M73-N73-O73</f>
        <v>-0.005679761759500593</v>
      </c>
      <c r="Q73" s="7">
        <f>0</f>
        <v>0</v>
      </c>
      <c r="R73" s="7">
        <f>P73-Q73</f>
        <v>-0.005679761759500593</v>
      </c>
      <c r="S73" s="7">
        <f>IF(A73&lt;1+Parameters!$M$31,0,INDEX($M$45:$M$80,A73-Parameters!$M$31))</f>
        <v>0.0</v>
      </c>
      <c r="T73" s="7">
        <f>T72+M73-S73</f>
        <v>0.0</v>
      </c>
      <c r="U73" s="7">
        <f>S73-N73-O73-Q73</f>
        <v>-0.005679761759500593</v>
      </c>
      <c r="V73" s="7">
        <f>V72+U73</f>
        <v>4.579053916581345</v>
      </c>
      <c r="W73" s="7">
        <f>(1-Parameters!$M$7)*(C73-E73)+(1-Parameters!$M$8)*(D73+E73)</f>
        <v>0.0</v>
      </c>
      <c r="X73" s="7">
        <f>Parameters!$M$7*(C73-E73)+Parameters!$M$8*Parameters!$M$9*(D73+E73)</f>
        <v>0.0</v>
      </c>
      <c r="Y73" s="7">
        <f>Parameters!$M$8*(1-Parameters!$M$9)*(D73+E73)</f>
        <v>0.0</v>
      </c>
      <c r="Z73" s="7">
        <f>POWER(1/(1+Parameters!$M$32),A73-1)*(M73-N73)</f>
        <v>-0.004298645719824992</v>
      </c>
    </row>
    <row r="74" spans="1:26">
      <c r="A74" s="7">
        <v>30</v>
      </c>
      <c r="B74" s="7">
        <f>0</f>
        <v>0</v>
      </c>
      <c r="C74" s="7">
        <f>X73+B74</f>
        <v>0.0</v>
      </c>
      <c r="D74" s="7">
        <f>Y73</f>
        <v>0.0</v>
      </c>
      <c r="E74" s="7">
        <f>Parameters!$M$6*C74</f>
        <v>0.0</v>
      </c>
      <c r="F74" s="7">
        <f>IF(Parameters!$M$5=1,E74,0)</f>
        <v>0.0</v>
      </c>
      <c r="G74" s="7">
        <f>Parameters!$M$27*G73+F74</f>
        <v>0.055661665243105805</v>
      </c>
      <c r="H74" s="7">
        <f>IF(AND(Parameters!$M$5=1,Parameters!$M$26=1),SUMPRODUCT(--($A$45:A74&lt;A74),--(MOD(A74-$A$45:A74,Parameters!$M$28)=0),$F$45:F74,POWER(Parameters!$M$27,IF(A74-$A$45:A74=0,1,A74-$A$45:A74))),0)</f>
        <v>0.0</v>
      </c>
      <c r="I74" s="7">
        <f>Parameters!$M$23*I73+B74*Parameters!$M$22</f>
        <v>0.0</v>
      </c>
      <c r="J74" s="7">
        <f>E74*Parameters!$M$14*(1-Parameters!$M$15)</f>
        <v>0.0</v>
      </c>
      <c r="K74" s="7">
        <f>H74*Parameters!$M$29</f>
        <v>0.0</v>
      </c>
      <c r="L74" s="7">
        <f>I74*Parameters!$M$24</f>
        <v>0.0</v>
      </c>
      <c r="M74" s="7">
        <f>J74+K74+L74</f>
        <v>0.0</v>
      </c>
      <c r="N74" s="7">
        <f>C74*Parameters!$M$17+D74*Parameters!$M$18+E74*Parameters!$M$16+I74*Parameters!$M$25+G74*Parameters!$M$30</f>
        <v>0.005566166524310581</v>
      </c>
      <c r="O74" s="7">
        <f>0</f>
        <v>0</v>
      </c>
      <c r="P74" s="7">
        <f>M74-N74-O74</f>
        <v>-0.005566166524310581</v>
      </c>
      <c r="Q74" s="7">
        <f>0</f>
        <v>0</v>
      </c>
      <c r="R74" s="7">
        <f>P74-Q74</f>
        <v>-0.005566166524310581</v>
      </c>
      <c r="S74" s="7">
        <f>IF(A74&lt;1+Parameters!$M$31,0,INDEX($M$45:$M$80,A74-Parameters!$M$31))</f>
        <v>0.0</v>
      </c>
      <c r="T74" s="7">
        <f>T73+M74-S74</f>
        <v>0.0</v>
      </c>
      <c r="U74" s="7">
        <f>S74-N74-O74-Q74</f>
        <v>-0.005566166524310581</v>
      </c>
      <c r="V74" s="7">
        <f>V73+U74</f>
        <v>4.573487750057034</v>
      </c>
      <c r="W74" s="7">
        <f>(1-Parameters!$M$7)*(C74-E74)+(1-Parameters!$M$8)*(D74+E74)</f>
        <v>0.0</v>
      </c>
      <c r="X74" s="7">
        <f>Parameters!$M$7*(C74-E74)+Parameters!$M$8*Parameters!$M$9*(D74+E74)</f>
        <v>0.0</v>
      </c>
      <c r="Y74" s="7">
        <f>Parameters!$M$8*(1-Parameters!$M$9)*(D74+E74)</f>
        <v>0.0</v>
      </c>
      <c r="Z74" s="7">
        <f>POWER(1/(1+Parameters!$M$32),A74-1)*(M74-N74)</f>
        <v>-0.0041709631736915765</v>
      </c>
    </row>
    <row r="75" spans="1:26">
      <c r="A75" s="7">
        <v>31</v>
      </c>
      <c r="B75" s="7">
        <f>0</f>
        <v>0</v>
      </c>
      <c r="C75" s="7">
        <f>X74+B75</f>
        <v>0.0</v>
      </c>
      <c r="D75" s="7">
        <f>Y74</f>
        <v>0.0</v>
      </c>
      <c r="E75" s="7">
        <f>Parameters!$M$6*C75</f>
        <v>0.0</v>
      </c>
      <c r="F75" s="7">
        <f>IF(Parameters!$M$5=1,E75,0)</f>
        <v>0.0</v>
      </c>
      <c r="G75" s="7">
        <f>Parameters!$M$27*G74+F75</f>
        <v>0.054548431938243686</v>
      </c>
      <c r="H75" s="7">
        <f>IF(AND(Parameters!$M$5=1,Parameters!$M$26=1),SUMPRODUCT(--($A$45:A75&lt;A75),--(MOD(A75-$A$45:A75,Parameters!$M$28)=0),$F$45:F75,POWER(Parameters!$M$27,IF(A75-$A$45:A75=0,1,A75-$A$45:A75))),0)</f>
        <v>0.0</v>
      </c>
      <c r="I75" s="7">
        <f>Parameters!$M$23*I74+B75*Parameters!$M$22</f>
        <v>0.0</v>
      </c>
      <c r="J75" s="7">
        <f>E75*Parameters!$M$14*(1-Parameters!$M$15)</f>
        <v>0.0</v>
      </c>
      <c r="K75" s="7">
        <f>H75*Parameters!$M$29</f>
        <v>0.0</v>
      </c>
      <c r="L75" s="7">
        <f>I75*Parameters!$M$24</f>
        <v>0.0</v>
      </c>
      <c r="M75" s="7">
        <f>J75+K75+L75</f>
        <v>0.0</v>
      </c>
      <c r="N75" s="7">
        <f>C75*Parameters!$M$17+D75*Parameters!$M$18+E75*Parameters!$M$16+I75*Parameters!$M$25+G75*Parameters!$M$30</f>
        <v>0.005454843193824369</v>
      </c>
      <c r="O75" s="7">
        <f>0</f>
        <v>0</v>
      </c>
      <c r="P75" s="7">
        <f>M75-N75-O75</f>
        <v>-0.005454843193824369</v>
      </c>
      <c r="Q75" s="7">
        <f>0</f>
        <v>0</v>
      </c>
      <c r="R75" s="7">
        <f>P75-Q75</f>
        <v>-0.005454843193824369</v>
      </c>
      <c r="S75" s="7">
        <f>IF(A75&lt;1+Parameters!$M$31,0,INDEX($M$45:$M$80,A75-Parameters!$M$31))</f>
        <v>0.0</v>
      </c>
      <c r="T75" s="7">
        <f>T74+M75-S75</f>
        <v>0.0</v>
      </c>
      <c r="U75" s="7">
        <f>S75-N75-O75-Q75</f>
        <v>-0.005454843193824369</v>
      </c>
      <c r="V75" s="7">
        <f>V74+U75</f>
        <v>4.56803290686321</v>
      </c>
      <c r="W75" s="7">
        <f>(1-Parameters!$M$7)*(C75-E75)+(1-Parameters!$M$8)*(D75+E75)</f>
        <v>0.0</v>
      </c>
      <c r="X75" s="7">
        <f>Parameters!$M$7*(C75-E75)+Parameters!$M$8*Parameters!$M$9*(D75+E75)</f>
        <v>0.0</v>
      </c>
      <c r="Y75" s="7">
        <f>Parameters!$M$8*(1-Parameters!$M$9)*(D75+E75)</f>
        <v>0.0</v>
      </c>
      <c r="Z75" s="7">
        <f>POWER(1/(1+Parameters!$M$32),A75-1)*(M75-N75)</f>
        <v>-0.00404707317843341</v>
      </c>
    </row>
    <row r="76" spans="1:26">
      <c r="A76" s="7">
        <v>32</v>
      </c>
      <c r="B76" s="7">
        <f>0</f>
        <v>0</v>
      </c>
      <c r="C76" s="7">
        <f>X75+B76</f>
        <v>0.0</v>
      </c>
      <c r="D76" s="7">
        <f>Y75</f>
        <v>0.0</v>
      </c>
      <c r="E76" s="7">
        <f>Parameters!$M$6*C76</f>
        <v>0.0</v>
      </c>
      <c r="F76" s="7">
        <f>IF(Parameters!$M$5=1,E76,0)</f>
        <v>0.0</v>
      </c>
      <c r="G76" s="7">
        <f>Parameters!$M$27*G75+F76</f>
        <v>0.053457463299478813</v>
      </c>
      <c r="H76" s="7">
        <f>IF(AND(Parameters!$M$5=1,Parameters!$M$26=1),SUMPRODUCT(--($A$45:A76&lt;A76),--(MOD(A76-$A$45:A76,Parameters!$M$28)=0),$F$45:F76,POWER(Parameters!$M$27,IF(A76-$A$45:A76=0,1,A76-$A$45:A76))),0)</f>
        <v>0.0</v>
      </c>
      <c r="I76" s="7">
        <f>Parameters!$M$23*I75+B76*Parameters!$M$22</f>
        <v>0.0</v>
      </c>
      <c r="J76" s="7">
        <f>E76*Parameters!$M$14*(1-Parameters!$M$15)</f>
        <v>0.0</v>
      </c>
      <c r="K76" s="7">
        <f>H76*Parameters!$M$29</f>
        <v>0.0</v>
      </c>
      <c r="L76" s="7">
        <f>I76*Parameters!$M$24</f>
        <v>0.0</v>
      </c>
      <c r="M76" s="7">
        <f>J76+K76+L76</f>
        <v>0.0</v>
      </c>
      <c r="N76" s="7">
        <f>C76*Parameters!$M$17+D76*Parameters!$M$18+E76*Parameters!$M$16+I76*Parameters!$M$25+G76*Parameters!$M$30</f>
        <v>0.005345746329947882</v>
      </c>
      <c r="O76" s="7">
        <f>0</f>
        <v>0</v>
      </c>
      <c r="P76" s="7">
        <f>M76-N76-O76</f>
        <v>-0.005345746329947882</v>
      </c>
      <c r="Q76" s="7">
        <f>0</f>
        <v>0</v>
      </c>
      <c r="R76" s="7">
        <f>P76-Q76</f>
        <v>-0.005345746329947882</v>
      </c>
      <c r="S76" s="7">
        <f>IF(A76&lt;1+Parameters!$M$31,0,INDEX($M$45:$M$80,A76-Parameters!$M$31))</f>
        <v>0.0</v>
      </c>
      <c r="T76" s="7">
        <f>T75+M76-S76</f>
        <v>0.0</v>
      </c>
      <c r="U76" s="7">
        <f>S76-N76-O76-Q76</f>
        <v>-0.005345746329947882</v>
      </c>
      <c r="V76" s="7">
        <f>V75+U76</f>
        <v>4.562687160533262</v>
      </c>
      <c r="W76" s="7">
        <f>(1-Parameters!$M$7)*(C76-E76)+(1-Parameters!$M$8)*(D76+E76)</f>
        <v>0.0</v>
      </c>
      <c r="X76" s="7">
        <f>Parameters!$M$7*(C76-E76)+Parameters!$M$8*Parameters!$M$9*(D76+E76)</f>
        <v>0.0</v>
      </c>
      <c r="Y76" s="7">
        <f>Parameters!$M$8*(1-Parameters!$M$9)*(D76+E76)</f>
        <v>0.0</v>
      </c>
      <c r="Z76" s="7">
        <f>POWER(1/(1+Parameters!$M$32),A76-1)*(M76-N76)</f>
        <v>-0.0039268630840244975</v>
      </c>
    </row>
    <row r="77" spans="1:26">
      <c r="A77" s="7">
        <v>33</v>
      </c>
      <c r="B77" s="7">
        <f>0</f>
        <v>0</v>
      </c>
      <c r="C77" s="7">
        <f>X76+B77</f>
        <v>0.0</v>
      </c>
      <c r="D77" s="7">
        <f>Y76</f>
        <v>0.0</v>
      </c>
      <c r="E77" s="7">
        <f>Parameters!$M$6*C77</f>
        <v>0.0</v>
      </c>
      <c r="F77" s="7">
        <f>IF(Parameters!$M$5=1,E77,0)</f>
        <v>0.0</v>
      </c>
      <c r="G77" s="7">
        <f>Parameters!$M$27*G76+F77</f>
        <v>0.05238831403348924</v>
      </c>
      <c r="H77" s="7">
        <f>IF(AND(Parameters!$M$5=1,Parameters!$M$26=1),SUMPRODUCT(--($A$45:A77&lt;A77),--(MOD(A77-$A$45:A77,Parameters!$M$28)=0),$F$45:F77,POWER(Parameters!$M$27,IF(A77-$A$45:A77=0,1,A77-$A$45:A77))),0)</f>
        <v>0.0</v>
      </c>
      <c r="I77" s="7">
        <f>Parameters!$M$23*I76+B77*Parameters!$M$22</f>
        <v>0.0</v>
      </c>
      <c r="J77" s="7">
        <f>E77*Parameters!$M$14*(1-Parameters!$M$15)</f>
        <v>0.0</v>
      </c>
      <c r="K77" s="7">
        <f>H77*Parameters!$M$29</f>
        <v>0.0</v>
      </c>
      <c r="L77" s="7">
        <f>I77*Parameters!$M$24</f>
        <v>0.0</v>
      </c>
      <c r="M77" s="7">
        <f>J77+K77+L77</f>
        <v>0.0</v>
      </c>
      <c r="N77" s="7">
        <f>C77*Parameters!$M$17+D77*Parameters!$M$18+E77*Parameters!$M$16+I77*Parameters!$M$25+G77*Parameters!$M$30</f>
        <v>0.005238831403348924</v>
      </c>
      <c r="O77" s="7">
        <f>0</f>
        <v>0</v>
      </c>
      <c r="P77" s="7">
        <f>M77-N77-O77</f>
        <v>-0.005238831403348924</v>
      </c>
      <c r="Q77" s="7">
        <f>0</f>
        <v>0</v>
      </c>
      <c r="R77" s="7">
        <f>P77-Q77</f>
        <v>-0.005238831403348924</v>
      </c>
      <c r="S77" s="7">
        <f>IF(A77&lt;1+Parameters!$M$31,0,INDEX($M$45:$M$80,A77-Parameters!$M$31))</f>
        <v>0.0</v>
      </c>
      <c r="T77" s="7">
        <f>T76+M77-S77</f>
        <v>0.0</v>
      </c>
      <c r="U77" s="7">
        <f>S77-N77-O77-Q77</f>
        <v>-0.005238831403348924</v>
      </c>
      <c r="V77" s="7">
        <f>V76+U77</f>
        <v>4.557448329129913</v>
      </c>
      <c r="W77" s="7">
        <f>(1-Parameters!$M$7)*(C77-E77)+(1-Parameters!$M$8)*(D77+E77)</f>
        <v>0.0</v>
      </c>
      <c r="X77" s="7">
        <f>Parameters!$M$7*(C77-E77)+Parameters!$M$8*Parameters!$M$9*(D77+E77)</f>
        <v>0.0</v>
      </c>
      <c r="Y77" s="7">
        <f>Parameters!$M$8*(1-Parameters!$M$9)*(D77+E77)</f>
        <v>0.0</v>
      </c>
      <c r="Z77" s="7">
        <f>POWER(1/(1+Parameters!$M$32),A77-1)*(M77-N77)</f>
        <v>-0.003810223586479215</v>
      </c>
    </row>
    <row r="78" spans="1:26">
      <c r="A78" s="7">
        <v>34</v>
      </c>
      <c r="B78" s="7">
        <f>0</f>
        <v>0</v>
      </c>
      <c r="C78" s="7">
        <f>X77+B78</f>
        <v>0.0</v>
      </c>
      <c r="D78" s="7">
        <f>Y77</f>
        <v>0.0</v>
      </c>
      <c r="E78" s="7">
        <f>Parameters!$M$6*C78</f>
        <v>0.0</v>
      </c>
      <c r="F78" s="7">
        <f>IF(Parameters!$M$5=1,E78,0)</f>
        <v>0.0</v>
      </c>
      <c r="G78" s="7">
        <f>Parameters!$M$27*G77+F78</f>
        <v>0.05134054775281945</v>
      </c>
      <c r="H78" s="7">
        <f>IF(AND(Parameters!$M$5=1,Parameters!$M$26=1),SUMPRODUCT(--($A$45:A78&lt;A78),--(MOD(A78-$A$45:A78,Parameters!$M$28)=0),$F$45:F78,POWER(Parameters!$M$27,IF(A78-$A$45:A78=0,1,A78-$A$45:A78))),0)</f>
        <v>0.0</v>
      </c>
      <c r="I78" s="7">
        <f>Parameters!$M$23*I77+B78*Parameters!$M$22</f>
        <v>0.0</v>
      </c>
      <c r="J78" s="7">
        <f>E78*Parameters!$M$14*(1-Parameters!$M$15)</f>
        <v>0.0</v>
      </c>
      <c r="K78" s="7">
        <f>H78*Parameters!$M$29</f>
        <v>0.0</v>
      </c>
      <c r="L78" s="7">
        <f>I78*Parameters!$M$24</f>
        <v>0.0</v>
      </c>
      <c r="M78" s="7">
        <f>J78+K78+L78</f>
        <v>0.0</v>
      </c>
      <c r="N78" s="7">
        <f>C78*Parameters!$M$17+D78*Parameters!$M$18+E78*Parameters!$M$16+I78*Parameters!$M$25+G78*Parameters!$M$30</f>
        <v>0.005134054775281945</v>
      </c>
      <c r="O78" s="7">
        <f>0</f>
        <v>0</v>
      </c>
      <c r="P78" s="7">
        <f>M78-N78-O78</f>
        <v>-0.005134054775281945</v>
      </c>
      <c r="Q78" s="7">
        <f>0</f>
        <v>0</v>
      </c>
      <c r="R78" s="7">
        <f>P78-Q78</f>
        <v>-0.005134054775281945</v>
      </c>
      <c r="S78" s="7">
        <f>IF(A78&lt;1+Parameters!$M$31,0,INDEX($M$45:$M$80,A78-Parameters!$M$31))</f>
        <v>0.0</v>
      </c>
      <c r="T78" s="7">
        <f>T77+M78-S78</f>
        <v>0.0</v>
      </c>
      <c r="U78" s="7">
        <f>S78-N78-O78-Q78</f>
        <v>-0.005134054775281945</v>
      </c>
      <c r="V78" s="7">
        <f>V77+U78</f>
        <v>4.5523142743546305</v>
      </c>
      <c r="W78" s="7">
        <f>(1-Parameters!$M$7)*(C78-E78)+(1-Parameters!$M$8)*(D78+E78)</f>
        <v>0.0</v>
      </c>
      <c r="X78" s="7">
        <f>Parameters!$M$7*(C78-E78)+Parameters!$M$8*Parameters!$M$9*(D78+E78)</f>
        <v>0.0</v>
      </c>
      <c r="Y78" s="7">
        <f>Parameters!$M$8*(1-Parameters!$M$9)*(D78+E78)</f>
        <v>0.0</v>
      </c>
      <c r="Z78" s="7">
        <f>POWER(1/(1+Parameters!$M$32),A78-1)*(M78-N78)</f>
        <v>-0.003697048628464981</v>
      </c>
    </row>
    <row r="79" spans="1:26">
      <c r="A79" s="7">
        <v>35</v>
      </c>
      <c r="B79" s="7">
        <f>0</f>
        <v>0</v>
      </c>
      <c r="C79" s="7">
        <f>X78+B79</f>
        <v>0.0</v>
      </c>
      <c r="D79" s="7">
        <f>Y78</f>
        <v>0.0</v>
      </c>
      <c r="E79" s="7">
        <f>Parameters!$M$6*C79</f>
        <v>0.0</v>
      </c>
      <c r="F79" s="7">
        <f>IF(Parameters!$M$5=1,E79,0)</f>
        <v>0.0</v>
      </c>
      <c r="G79" s="7">
        <f>Parameters!$M$27*G78+F79</f>
        <v>0.05031373679776306</v>
      </c>
      <c r="H79" s="7">
        <f>IF(AND(Parameters!$M$5=1,Parameters!$M$26=1),SUMPRODUCT(--($A$45:A79&lt;A79),--(MOD(A79-$A$45:A79,Parameters!$M$28)=0),$F$45:F79,POWER(Parameters!$M$27,IF(A79-$A$45:A79=0,1,A79-$A$45:A79))),0)</f>
        <v>0.0</v>
      </c>
      <c r="I79" s="7">
        <f>Parameters!$M$23*I78+B79*Parameters!$M$22</f>
        <v>0.0</v>
      </c>
      <c r="J79" s="7">
        <f>E79*Parameters!$M$14*(1-Parameters!$M$15)</f>
        <v>0.0</v>
      </c>
      <c r="K79" s="7">
        <f>H79*Parameters!$M$29</f>
        <v>0.0</v>
      </c>
      <c r="L79" s="7">
        <f>I79*Parameters!$M$24</f>
        <v>0.0</v>
      </c>
      <c r="M79" s="7">
        <f>J79+K79+L79</f>
        <v>0.0</v>
      </c>
      <c r="N79" s="7">
        <f>C79*Parameters!$M$17+D79*Parameters!$M$18+E79*Parameters!$M$16+I79*Parameters!$M$25+G79*Parameters!$M$30</f>
        <v>0.005031373679776307</v>
      </c>
      <c r="O79" s="7">
        <f>0</f>
        <v>0</v>
      </c>
      <c r="P79" s="7">
        <f>M79-N79-O79</f>
        <v>-0.005031373679776307</v>
      </c>
      <c r="Q79" s="7">
        <f>0</f>
        <v>0</v>
      </c>
      <c r="R79" s="7">
        <f>P79-Q79</f>
        <v>-0.005031373679776307</v>
      </c>
      <c r="S79" s="7">
        <f>IF(A79&lt;1+Parameters!$M$31,0,INDEX($M$45:$M$80,A79-Parameters!$M$31))</f>
        <v>0.0</v>
      </c>
      <c r="T79" s="7">
        <f>T78+M79-S79</f>
        <v>0.0</v>
      </c>
      <c r="U79" s="7">
        <f>S79-N79-O79-Q79</f>
        <v>-0.005031373679776307</v>
      </c>
      <c r="V79" s="7">
        <f>V78+U79</f>
        <v>4.547282900674854</v>
      </c>
      <c r="W79" s="7">
        <f>(1-Parameters!$M$7)*(C79-E79)+(1-Parameters!$M$8)*(D79+E79)</f>
        <v>0.0</v>
      </c>
      <c r="X79" s="7">
        <f>Parameters!$M$7*(C79-E79)+Parameters!$M$8*Parameters!$M$9*(D79+E79)</f>
        <v>0.0</v>
      </c>
      <c r="Y79" s="7">
        <f>Parameters!$M$8*(1-Parameters!$M$9)*(D79+E79)</f>
        <v>0.0</v>
      </c>
      <c r="Z79" s="7">
        <f>POWER(1/(1+Parameters!$M$32),A79-1)*(M79-N79)</f>
        <v>-0.0035872353028670112</v>
      </c>
    </row>
    <row r="80" spans="1:26">
      <c r="A80" s="7">
        <v>36</v>
      </c>
      <c r="B80" s="7">
        <f>0</f>
        <v>0</v>
      </c>
      <c r="C80" s="7">
        <f>X79+B80</f>
        <v>0.0</v>
      </c>
      <c r="D80" s="7">
        <f>Y79</f>
        <v>0.0</v>
      </c>
      <c r="E80" s="7">
        <f>Parameters!$M$6*C80</f>
        <v>0.0</v>
      </c>
      <c r="F80" s="7">
        <f>IF(Parameters!$M$5=1,E80,0)</f>
        <v>0.0</v>
      </c>
      <c r="G80" s="7">
        <f>Parameters!$M$27*G79+F80</f>
        <v>0.0493074620618078</v>
      </c>
      <c r="H80" s="7">
        <f>IF(AND(Parameters!$M$5=1,Parameters!$M$26=1),SUMPRODUCT(--($A$45:A80&lt;A80),--(MOD(A80-$A$45:A80,Parameters!$M$28)=0),$F$45:F80,POWER(Parameters!$M$27,IF(A80-$A$45:A80=0,1,A80-$A$45:A80))),0)</f>
        <v>0.0</v>
      </c>
      <c r="I80" s="7">
        <f>Parameters!$M$23*I79+B80*Parameters!$M$22</f>
        <v>0.0</v>
      </c>
      <c r="J80" s="7">
        <f>E80*Parameters!$M$14*(1-Parameters!$M$15)</f>
        <v>0.0</v>
      </c>
      <c r="K80" s="7">
        <f>H80*Parameters!$M$29</f>
        <v>0.0</v>
      </c>
      <c r="L80" s="7">
        <f>I80*Parameters!$M$24</f>
        <v>0.0</v>
      </c>
      <c r="M80" s="7">
        <f>J80+K80+L80</f>
        <v>0.0</v>
      </c>
      <c r="N80" s="7">
        <f>C80*Parameters!$M$17+D80*Parameters!$M$18+E80*Parameters!$M$16+I80*Parameters!$M$25+G80*Parameters!$M$30</f>
        <v>0.0049307462061807805</v>
      </c>
      <c r="O80" s="7">
        <f>0</f>
        <v>0</v>
      </c>
      <c r="P80" s="7">
        <f>M80-N80-O80</f>
        <v>-0.0049307462061807805</v>
      </c>
      <c r="Q80" s="7">
        <f>0</f>
        <v>0</v>
      </c>
      <c r="R80" s="7">
        <f>P80-Q80</f>
        <v>-0.0049307462061807805</v>
      </c>
      <c r="S80" s="7">
        <f>IF(A80&lt;1+Parameters!$M$31,0,INDEX($M$45:$M$80,A80-Parameters!$M$31))</f>
        <v>0.0</v>
      </c>
      <c r="T80" s="7">
        <f>T79+M80-S80</f>
        <v>0.0</v>
      </c>
      <c r="U80" s="7">
        <f>S80-N80-O80-Q80</f>
        <v>-0.0049307462061807805</v>
      </c>
      <c r="V80" s="7">
        <f>V79+U80</f>
        <v>4.542352154468673</v>
      </c>
      <c r="W80" s="7">
        <f>(1-Parameters!$M$7)*(C80-E80)+(1-Parameters!$M$8)*(D80+E80)</f>
        <v>0.0</v>
      </c>
      <c r="X80" s="7">
        <f>Parameters!$M$7*(C80-E80)+Parameters!$M$8*Parameters!$M$9*(D80+E80)</f>
        <v>0.0</v>
      </c>
      <c r="Y80" s="7">
        <f>Parameters!$M$8*(1-Parameters!$M$9)*(D80+E80)</f>
        <v>0.0</v>
      </c>
      <c r="Z80" s="7">
        <f>POWER(1/(1+Parameters!$M$32),A80-1)*(M80-N80)</f>
        <v>-0.003480683759217496</v>
      </c>
    </row>
  </sheetData>
  <mergeCells count="3">
    <mergeCell ref="A1:Z1"/>
    <mergeCell ref="A2:Z2"/>
    <mergeCell ref="A43:Z4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L15"/>
  <sheetViews>
    <sheetView showGridLines="0" workbookViewId="0"/>
  </sheetViews>
  <sheetFormatPr defaultRowHeight="15"/>
  <cols>
    <col min="1" max="1" width="28.7109375" customWidth="1"/>
    <col min="2" max="12" width="14.7109375" customWidth="1"/>
  </cols>
  <sheetData>
    <row r="1" spans="1:12">
      <c r="A1" s="1" t="s">
        <v>209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210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4" spans="1:12">
      <c r="A4" s="4" t="s">
        <v>211</v>
      </c>
      <c r="B4" s="7">
        <v>0</v>
      </c>
      <c r="C4" s="7">
        <v>0.1</v>
      </c>
      <c r="D4" s="7">
        <v>0.2</v>
      </c>
      <c r="E4" s="7">
        <v>0.3</v>
      </c>
      <c r="F4" s="7">
        <v>0.4</v>
      </c>
      <c r="G4" s="7">
        <v>0.5</v>
      </c>
      <c r="H4" s="7">
        <v>0.6</v>
      </c>
      <c r="I4" s="7">
        <v>0.7</v>
      </c>
      <c r="J4" s="7">
        <v>0.8</v>
      </c>
      <c r="K4" s="7">
        <v>0.9</v>
      </c>
      <c r="L4" s="7">
        <v>1</v>
      </c>
    </row>
    <row r="5" spans="1:12">
      <c r="A5" s="7">
        <v>0</v>
      </c>
      <c r="B5" s="7">
        <f>IFERROR(((Parameters!$D$14*(1-Parameters!$D$15)-Parameters!$D$16)*Parameters!$D$6-Parameters!$D$17-Parameters!$D$18*(1/(1+Parameters!$D$32))*$A5*Parameters!$D$6/(1-(1/(1+Parameters!$D$32))*$A5))/(1-(1/(1+Parameters!$D$32))*B$4*(1-Parameters!$D$6))-Parameters!$D$19,"NONCONVERGENT - USE FINITE HORIZON")</f>
        <v>-2.4</v>
      </c>
      <c r="C5" s="7">
        <f>IFERROR(((Parameters!$D$14*(1-Parameters!$D$15)-Parameters!$D$16)*Parameters!$D$6-Parameters!$D$17-Parameters!$D$18*(1/(1+Parameters!$D$32))*$A5*Parameters!$D$6/(1-(1/(1+Parameters!$D$32))*$A5))/(1-(1/(1+Parameters!$D$32))*C$4*(1-Parameters!$D$6))-Parameters!$D$19,"NONCONVERGENT - USE FINITE HORIZON")</f>
        <v>-2.243478260869565</v>
      </c>
      <c r="D5" s="7">
        <f>IFERROR(((Parameters!$D$14*(1-Parameters!$D$15)-Parameters!$D$16)*Parameters!$D$6-Parameters!$D$17-Parameters!$D$18*(1/(1+Parameters!$D$32))*$A5*Parameters!$D$6/(1-(1/(1+Parameters!$D$32))*$A5))/(1-(1/(1+Parameters!$D$32))*D$4*(1-Parameters!$D$6))-Parameters!$D$19,"NONCONVERGENT - USE FINITE HORIZON")</f>
        <v>-2.0530120481927705</v>
      </c>
      <c r="E5" s="7">
        <f>IFERROR(((Parameters!$D$14*(1-Parameters!$D$15)-Parameters!$D$16)*Parameters!$D$6-Parameters!$D$17-Parameters!$D$18*(1/(1+Parameters!$D$32))*$A5*Parameters!$D$6/(1-(1/(1+Parameters!$D$32))*$A5))/(1-(1/(1+Parameters!$D$32))*E$4*(1-Parameters!$D$6))-Parameters!$D$19,"NONCONVERGENT - USE FINITE HORIZON")</f>
        <v>-1.8162162162162163</v>
      </c>
      <c r="F5" s="7">
        <f>IFERROR(((Parameters!$D$14*(1-Parameters!$D$15)-Parameters!$D$16)*Parameters!$D$6-Parameters!$D$17-Parameters!$D$18*(1/(1+Parameters!$D$32))*$A5*Parameters!$D$6/(1-(1/(1+Parameters!$D$32))*$A5))/(1-(1/(1+Parameters!$D$32))*F$4*(1-Parameters!$D$6))-Parameters!$D$19,"NONCONVERGENT - USE FINITE HORIZON")</f>
        <v>-1.5138461538461536</v>
      </c>
      <c r="G5" s="7">
        <f>IFERROR(((Parameters!$D$14*(1-Parameters!$D$15)-Parameters!$D$16)*Parameters!$D$6-Parameters!$D$17-Parameters!$D$18*(1/(1+Parameters!$D$32))*$A5*Parameters!$D$6/(1-(1/(1+Parameters!$D$32))*$A5))/(1-(1/(1+Parameters!$D$32))*G$4*(1-Parameters!$D$6))-Parameters!$D$19,"NONCONVERGENT - USE FINITE HORIZON")</f>
        <v>-1.1142857142857148</v>
      </c>
      <c r="H5" s="7">
        <f>IFERROR(((Parameters!$D$14*(1-Parameters!$D$15)-Parameters!$D$16)*Parameters!$D$6-Parameters!$D$17-Parameters!$D$18*(1/(1+Parameters!$D$32))*$A5*Parameters!$D$6/(1-(1/(1+Parameters!$D$32))*$A5))/(1-(1/(1+Parameters!$D$32))*H$4*(1-Parameters!$D$6))-Parameters!$D$19,"NONCONVERGENT - USE FINITE HORIZON")</f>
        <v>-0.561702127659574</v>
      </c>
      <c r="I5" s="7">
        <f>IFERROR(((Parameters!$D$14*(1-Parameters!$D$15)-Parameters!$D$16)*Parameters!$D$6-Parameters!$D$17-Parameters!$D$18*(1/(1+Parameters!$D$32))*$A5*Parameters!$D$6/(1-(1/(1+Parameters!$D$32))*$A5))/(1-(1/(1+Parameters!$D$32))*I$4*(1-Parameters!$D$6))-Parameters!$D$19,"NONCONVERGENT - USE FINITE HORIZON")</f>
        <v>0.2526315789473692</v>
      </c>
      <c r="J5" s="7">
        <f>IFERROR(((Parameters!$D$14*(1-Parameters!$D$15)-Parameters!$D$16)*Parameters!$D$6-Parameters!$D$17-Parameters!$D$18*(1/(1+Parameters!$D$32))*$A5*Parameters!$D$6/(1-(1/(1+Parameters!$D$32))*$A5))/(1-(1/(1+Parameters!$D$32))*J$4*(1-Parameters!$D$6))-Parameters!$D$19,"NONCONVERGENT - USE FINITE HORIZON")</f>
        <v>1.5724137931034496</v>
      </c>
      <c r="K5" s="7">
        <f>IFERROR(((Parameters!$D$14*(1-Parameters!$D$15)-Parameters!$D$16)*Parameters!$D$6-Parameters!$D$17-Parameters!$D$18*(1/(1+Parameters!$D$32))*$A5*Parameters!$D$6/(1-(1/(1+Parameters!$D$32))*$A5))/(1-(1/(1+Parameters!$D$32))*K$4*(1-Parameters!$D$6))-Parameters!$D$19,"NONCONVERGENT - USE FINITE HORIZON")</f>
        <v>4.080000000000004</v>
      </c>
      <c r="L5" s="7">
        <f>IFERROR(((Parameters!$D$14*(1-Parameters!$D$15)-Parameters!$D$16)*Parameters!$D$6-Parameters!$D$17-Parameters!$D$18*(1/(1+Parameters!$D$32))*$A5*Parameters!$D$6/(1-(1/(1+Parameters!$D$32))*$A5))/(1-(1/(1+Parameters!$D$32))*L$4*(1-Parameters!$D$6))-Parameters!$D$19,"NONCONVERGENT - USE FINITE HORIZON")</f>
        <v>10.690909090909095</v>
      </c>
    </row>
    <row r="6" spans="1:12">
      <c r="A6" s="7">
        <v>0.1</v>
      </c>
      <c r="B6" s="7">
        <f>IFERROR(((Parameters!$D$14*(1-Parameters!$D$15)-Parameters!$D$16)*Parameters!$D$6-Parameters!$D$17-Parameters!$D$18*(1/(1+Parameters!$D$32))*$A6*Parameters!$D$6/(1-(1/(1+Parameters!$D$32))*$A6))/(1-(1/(1+Parameters!$D$32))*B$4*(1-Parameters!$D$6))-Parameters!$D$19,"NONCONVERGENT - USE FINITE HORIZON")</f>
        <v>-2.403296703296703</v>
      </c>
      <c r="C6" s="7">
        <f>IFERROR(((Parameters!$D$14*(1-Parameters!$D$15)-Parameters!$D$16)*Parameters!$D$6-Parameters!$D$17-Parameters!$D$18*(1/(1+Parameters!$D$32))*$A6*Parameters!$D$6/(1-(1/(1+Parameters!$D$32))*$A6))/(1-(1/(1+Parameters!$D$32))*C$4*(1-Parameters!$D$6))-Parameters!$D$19,"NONCONVERGENT - USE FINITE HORIZON")</f>
        <v>-2.247097467749642</v>
      </c>
      <c r="D6" s="7">
        <f>IFERROR(((Parameters!$D$14*(1-Parameters!$D$15)-Parameters!$D$16)*Parameters!$D$6-Parameters!$D$17-Parameters!$D$18*(1/(1+Parameters!$D$32))*$A6*Parameters!$D$6/(1-(1/(1+Parameters!$D$32))*$A6))/(1-(1/(1+Parameters!$D$32))*D$4*(1-Parameters!$D$6))-Parameters!$D$19,"NONCONVERGENT - USE FINITE HORIZON")</f>
        <v>-2.0570236991923734</v>
      </c>
      <c r="E6" s="7">
        <f>IFERROR(((Parameters!$D$14*(1-Parameters!$D$15)-Parameters!$D$16)*Parameters!$D$6-Parameters!$D$17-Parameters!$D$18*(1/(1+Parameters!$D$32))*$A6*Parameters!$D$6/(1-(1/(1+Parameters!$D$32))*$A6))/(1-(1/(1+Parameters!$D$32))*E$4*(1-Parameters!$D$6))-Parameters!$D$19,"NONCONVERGENT - USE FINITE HORIZON")</f>
        <v>-1.8207157707157706</v>
      </c>
      <c r="F6" s="7">
        <f>IFERROR(((Parameters!$D$14*(1-Parameters!$D$15)-Parameters!$D$16)*Parameters!$D$6-Parameters!$D$17-Parameters!$D$18*(1/(1+Parameters!$D$32))*$A6*Parameters!$D$6/(1-(1/(1+Parameters!$D$32))*$A6))/(1-(1/(1+Parameters!$D$32))*F$4*(1-Parameters!$D$6))-Parameters!$D$19,"NONCONVERGENT - USE FINITE HORIZON")</f>
        <v>-1.5189687235841078</v>
      </c>
      <c r="G6" s="7">
        <f>IFERROR(((Parameters!$D$14*(1-Parameters!$D$15)-Parameters!$D$16)*Parameters!$D$6-Parameters!$D$17-Parameters!$D$18*(1/(1+Parameters!$D$32))*$A6*Parameters!$D$6/(1-(1/(1+Parameters!$D$32))*$A6))/(1-(1/(1+Parameters!$D$32))*G$4*(1-Parameters!$D$6))-Parameters!$D$19,"NONCONVERGENT - USE FINITE HORIZON")</f>
        <v>-1.1202315541601262</v>
      </c>
      <c r="H6" s="7">
        <f>IFERROR(((Parameters!$D$14*(1-Parameters!$D$15)-Parameters!$D$16)*Parameters!$D$6-Parameters!$D$17-Parameters!$D$18*(1/(1+Parameters!$D$32))*$A6*Parameters!$D$6/(1-(1/(1+Parameters!$D$32))*$A6))/(1-(1/(1+Parameters!$D$32))*H$4*(1-Parameters!$D$6))-Parameters!$D$19,"NONCONVERGENT - USE FINITE HORIZON")</f>
        <v>-0.5687865326163193</v>
      </c>
      <c r="I6" s="7">
        <f>IFERROR(((Parameters!$D$14*(1-Parameters!$D$15)-Parameters!$D$16)*Parameters!$D$6-Parameters!$D$17-Parameters!$D$18*(1/(1+Parameters!$D$32))*$A6*Parameters!$D$6/(1-(1/(1+Parameters!$D$32))*$A6))/(1-(1/(1+Parameters!$D$32))*I$4*(1-Parameters!$D$6))-Parameters!$D$19,"NONCONVERGENT - USE FINITE HORIZON")</f>
        <v>0.2438692886061311</v>
      </c>
      <c r="J6" s="7">
        <f>IFERROR(((Parameters!$D$14*(1-Parameters!$D$15)-Parameters!$D$16)*Parameters!$D$6-Parameters!$D$17-Parameters!$D$18*(1/(1+Parameters!$D$32))*$A6*Parameters!$D$6/(1-(1/(1+Parameters!$D$32))*$A6))/(1-(1/(1+Parameters!$D$32))*J$4*(1-Parameters!$D$6))-Parameters!$D$19,"NONCONVERGENT - USE FINITE HORIZON")</f>
        <v>1.560932171277</v>
      </c>
      <c r="K6" s="7">
        <f>IFERROR(((Parameters!$D$14*(1-Parameters!$D$15)-Parameters!$D$16)*Parameters!$D$6-Parameters!$D$17-Parameters!$D$18*(1/(1+Parameters!$D$32))*$A6*Parameters!$D$6/(1-(1/(1+Parameters!$D$32))*$A6))/(1-(1/(1+Parameters!$D$32))*K$4*(1-Parameters!$D$6))-Parameters!$D$19,"NONCONVERGENT - USE FINITE HORIZON")</f>
        <v>4.0633516483516505</v>
      </c>
      <c r="L6" s="7">
        <f>IFERROR(((Parameters!$D$14*(1-Parameters!$D$15)-Parameters!$D$16)*Parameters!$D$6-Parameters!$D$17-Parameters!$D$18*(1/(1+Parameters!$D$32))*$A6*Parameters!$D$6/(1-(1/(1+Parameters!$D$32))*$A6))/(1-(1/(1+Parameters!$D$32))*L$4*(1-Parameters!$D$6))-Parameters!$D$19,"NONCONVERGENT - USE FINITE HORIZON")</f>
        <v>10.660639360639365</v>
      </c>
    </row>
    <row r="7" spans="1:12">
      <c r="A7" s="7">
        <v>0.2</v>
      </c>
      <c r="B7" s="7">
        <f>IFERROR(((Parameters!$D$14*(1-Parameters!$D$15)-Parameters!$D$16)*Parameters!$D$6-Parameters!$D$17-Parameters!$D$18*(1/(1+Parameters!$D$32))*$A7*Parameters!$D$6/(1-(1/(1+Parameters!$D$32))*$A7))/(1-(1/(1+Parameters!$D$32))*B$4*(1-Parameters!$D$6))-Parameters!$D$19,"NONCONVERGENT - USE FINITE HORIZON")</f>
        <v>-2.4074074074074074</v>
      </c>
      <c r="C7" s="7">
        <f>IFERROR(((Parameters!$D$14*(1-Parameters!$D$15)-Parameters!$D$16)*Parameters!$D$6-Parameters!$D$17-Parameters!$D$18*(1/(1+Parameters!$D$32))*$A7*Parameters!$D$6/(1-(1/(1+Parameters!$D$32))*$A7))/(1-(1/(1+Parameters!$D$32))*C$4*(1-Parameters!$D$6))-Parameters!$D$19,"NONCONVERGENT - USE FINITE HORIZON")</f>
        <v>-2.251610305958132</v>
      </c>
      <c r="D7" s="7">
        <f>IFERROR(((Parameters!$D$14*(1-Parameters!$D$15)-Parameters!$D$16)*Parameters!$D$6-Parameters!$D$17-Parameters!$D$18*(1/(1+Parameters!$D$32))*$A7*Parameters!$D$6/(1-(1/(1+Parameters!$D$32))*$A7))/(1-(1/(1+Parameters!$D$32))*D$4*(1-Parameters!$D$6))-Parameters!$D$19,"NONCONVERGENT - USE FINITE HORIZON")</f>
        <v>-2.0620258813029895</v>
      </c>
      <c r="E7" s="7">
        <f>IFERROR(((Parameters!$D$14*(1-Parameters!$D$15)-Parameters!$D$16)*Parameters!$D$6-Parameters!$D$17-Parameters!$D$18*(1/(1+Parameters!$D$32))*$A7*Parameters!$D$6/(1-(1/(1+Parameters!$D$32))*$A7))/(1-(1/(1+Parameters!$D$32))*E$4*(1-Parameters!$D$6))-Parameters!$D$19,"NONCONVERGENT - USE FINITE HORIZON")</f>
        <v>-1.8263263263263263</v>
      </c>
      <c r="F7" s="7">
        <f>IFERROR(((Parameters!$D$14*(1-Parameters!$D$15)-Parameters!$D$16)*Parameters!$D$6-Parameters!$D$17-Parameters!$D$18*(1/(1+Parameters!$D$32))*$A7*Parameters!$D$6/(1-(1/(1+Parameters!$D$32))*$A7))/(1-(1/(1+Parameters!$D$32))*F$4*(1-Parameters!$D$6))-Parameters!$D$19,"NONCONVERGENT - USE FINITE HORIZON")</f>
        <v>-1.525356125356125</v>
      </c>
      <c r="G7" s="7">
        <f>IFERROR(((Parameters!$D$14*(1-Parameters!$D$15)-Parameters!$D$16)*Parameters!$D$6-Parameters!$D$17-Parameters!$D$18*(1/(1+Parameters!$D$32))*$A7*Parameters!$D$6/(1-(1/(1+Parameters!$D$32))*$A7))/(1-(1/(1+Parameters!$D$32))*G$4*(1-Parameters!$D$6))-Parameters!$D$19,"NONCONVERGENT - USE FINITE HORIZON")</f>
        <v>-1.1276455026455032</v>
      </c>
      <c r="H7" s="7">
        <f>IFERROR(((Parameters!$D$14*(1-Parameters!$D$15)-Parameters!$D$16)*Parameters!$D$6-Parameters!$D$17-Parameters!$D$18*(1/(1+Parameters!$D$32))*$A7*Parameters!$D$6/(1-(1/(1+Parameters!$D$32))*$A7))/(1-(1/(1+Parameters!$D$32))*H$4*(1-Parameters!$D$6))-Parameters!$D$19,"NONCONVERGENT - USE FINITE HORIZON")</f>
        <v>-0.5776201733648536</v>
      </c>
      <c r="I7" s="7">
        <f>IFERROR(((Parameters!$D$14*(1-Parameters!$D$15)-Parameters!$D$16)*Parameters!$D$6-Parameters!$D$17-Parameters!$D$18*(1/(1+Parameters!$D$32))*$A7*Parameters!$D$6/(1-(1/(1+Parameters!$D$32))*$A7))/(1-(1/(1+Parameters!$D$32))*I$4*(1-Parameters!$D$6))-Parameters!$D$19,"NONCONVERGENT - USE FINITE HORIZON")</f>
        <v>0.23294346978557545</v>
      </c>
      <c r="J7" s="7">
        <f>IFERROR(((Parameters!$D$14*(1-Parameters!$D$15)-Parameters!$D$16)*Parameters!$D$6-Parameters!$D$17-Parameters!$D$18*(1/(1+Parameters!$D$32))*$A7*Parameters!$D$6/(1-(1/(1+Parameters!$D$32))*$A7))/(1-(1/(1+Parameters!$D$32))*J$4*(1-Parameters!$D$6))-Parameters!$D$19,"NONCONVERGENT - USE FINITE HORIZON")</f>
        <v>1.546615581098341</v>
      </c>
      <c r="K7" s="7">
        <f>IFERROR(((Parameters!$D$14*(1-Parameters!$D$15)-Parameters!$D$16)*Parameters!$D$6-Parameters!$D$17-Parameters!$D$18*(1/(1+Parameters!$D$32))*$A7*Parameters!$D$6/(1-(1/(1+Parameters!$D$32))*$A7))/(1-(1/(1+Parameters!$D$32))*K$4*(1-Parameters!$D$6))-Parameters!$D$19,"NONCONVERGENT - USE FINITE HORIZON")</f>
        <v>4.0425925925925945</v>
      </c>
      <c r="L7" s="7">
        <f>IFERROR(((Parameters!$D$14*(1-Parameters!$D$15)-Parameters!$D$16)*Parameters!$D$6-Parameters!$D$17-Parameters!$D$18*(1/(1+Parameters!$D$32))*$A7*Parameters!$D$6/(1-(1/(1+Parameters!$D$32))*$A7))/(1-(1/(1+Parameters!$D$32))*L$4*(1-Parameters!$D$6))-Parameters!$D$19,"NONCONVERGENT - USE FINITE HORIZON")</f>
        <v>10.622895622895623</v>
      </c>
    </row>
    <row r="8" spans="1:12">
      <c r="A8" s="7">
        <v>0.3</v>
      </c>
      <c r="B8" s="7">
        <f>IFERROR(((Parameters!$D$14*(1-Parameters!$D$15)-Parameters!$D$16)*Parameters!$D$6-Parameters!$D$17-Parameters!$D$18*(1/(1+Parameters!$D$32))*$A8*Parameters!$D$6/(1-(1/(1+Parameters!$D$32))*$A8))/(1-(1/(1+Parameters!$D$32))*B$4*(1-Parameters!$D$6))-Parameters!$D$19,"NONCONVERGENT - USE FINITE HORIZON")</f>
        <v>-2.412676056338028</v>
      </c>
      <c r="C8" s="7">
        <f>IFERROR(((Parameters!$D$14*(1-Parameters!$D$15)-Parameters!$D$16)*Parameters!$D$6-Parameters!$D$17-Parameters!$D$18*(1/(1+Parameters!$D$32))*$A8*Parameters!$D$6/(1-(1/(1+Parameters!$D$32))*$A8))/(1-(1/(1+Parameters!$D$32))*C$4*(1-Parameters!$D$6))-Parameters!$D$19,"NONCONVERGENT - USE FINITE HORIZON")</f>
        <v>-2.257394366197183</v>
      </c>
      <c r="D8" s="7">
        <f>IFERROR(((Parameters!$D$14*(1-Parameters!$D$15)-Parameters!$D$16)*Parameters!$D$6-Parameters!$D$17-Parameters!$D$18*(1/(1+Parameters!$D$32))*$A8*Parameters!$D$6/(1-(1/(1+Parameters!$D$32))*$A8))/(1-(1/(1+Parameters!$D$32))*D$4*(1-Parameters!$D$6))-Parameters!$D$19,"NONCONVERGENT - USE FINITE HORIZON")</f>
        <v>-2.0684371287968775</v>
      </c>
      <c r="E8" s="7">
        <f>IFERROR(((Parameters!$D$14*(1-Parameters!$D$15)-Parameters!$D$16)*Parameters!$D$6-Parameters!$D$17-Parameters!$D$18*(1/(1+Parameters!$D$32))*$A8*Parameters!$D$6/(1-(1/(1+Parameters!$D$32))*$A8))/(1-(1/(1+Parameters!$D$32))*E$4*(1-Parameters!$D$6))-Parameters!$D$19,"NONCONVERGENT - USE FINITE HORIZON")</f>
        <v>-1.8335173201370387</v>
      </c>
      <c r="F8" s="7">
        <f>IFERROR(((Parameters!$D$14*(1-Parameters!$D$15)-Parameters!$D$16)*Parameters!$D$6-Parameters!$D$17-Parameters!$D$18*(1/(1+Parameters!$D$32))*$A8*Parameters!$D$6/(1-(1/(1+Parameters!$D$32))*$A8))/(1-(1/(1+Parameters!$D$32))*F$4*(1-Parameters!$D$6))-Parameters!$D$19,"NONCONVERGENT - USE FINITE HORIZON")</f>
        <v>-1.5335427952329357</v>
      </c>
      <c r="G8" s="7">
        <f>IFERROR(((Parameters!$D$14*(1-Parameters!$D$15)-Parameters!$D$16)*Parameters!$D$6-Parameters!$D$17-Parameters!$D$18*(1/(1+Parameters!$D$32))*$A8*Parameters!$D$6/(1-(1/(1+Parameters!$D$32))*$A8))/(1-(1/(1+Parameters!$D$32))*G$4*(1-Parameters!$D$6))-Parameters!$D$19,"NONCONVERGENT - USE FINITE HORIZON")</f>
        <v>-1.1371478873239438</v>
      </c>
      <c r="H8" s="7">
        <f>IFERROR(((Parameters!$D$14*(1-Parameters!$D$15)-Parameters!$D$16)*Parameters!$D$6-Parameters!$D$17-Parameters!$D$18*(1/(1+Parameters!$D$32))*$A8*Parameters!$D$6/(1-(1/(1+Parameters!$D$32))*$A8))/(1-(1/(1+Parameters!$D$32))*H$4*(1-Parameters!$D$6))-Parameters!$D$19,"NONCONVERGENT - USE FINITE HORIZON")</f>
        <v>-0.5889421636200174</v>
      </c>
      <c r="I8" s="7">
        <f>IFERROR(((Parameters!$D$14*(1-Parameters!$D$15)-Parameters!$D$16)*Parameters!$D$6-Parameters!$D$17-Parameters!$D$18*(1/(1+Parameters!$D$32))*$A8*Parameters!$D$6/(1-(1/(1+Parameters!$D$32))*$A8))/(1-(1/(1+Parameters!$D$32))*I$4*(1-Parameters!$D$6))-Parameters!$D$19,"NONCONVERGENT - USE FINITE HORIZON")</f>
        <v>0.21893995552261014</v>
      </c>
      <c r="J8" s="7">
        <f>IFERROR(((Parameters!$D$14*(1-Parameters!$D$15)-Parameters!$D$16)*Parameters!$D$6-Parameters!$D$17-Parameters!$D$18*(1/(1+Parameters!$D$32))*$A8*Parameters!$D$6/(1-(1/(1+Parameters!$D$32))*$A8))/(1-(1/(1+Parameters!$D$32))*J$4*(1-Parameters!$D$6))-Parameters!$D$19,"NONCONVERGENT - USE FINITE HORIZON")</f>
        <v>1.5282661486158347</v>
      </c>
      <c r="K8" s="7">
        <f>IFERROR(((Parameters!$D$14*(1-Parameters!$D$15)-Parameters!$D$16)*Parameters!$D$6-Parameters!$D$17-Parameters!$D$18*(1/(1+Parameters!$D$32))*$A8*Parameters!$D$6/(1-(1/(1+Parameters!$D$32))*$A8))/(1-(1/(1+Parameters!$D$32))*K$4*(1-Parameters!$D$6))-Parameters!$D$19,"NONCONVERGENT - USE FINITE HORIZON")</f>
        <v>4.01598591549296</v>
      </c>
      <c r="L8" s="7">
        <f>IFERROR(((Parameters!$D$14*(1-Parameters!$D$15)-Parameters!$D$16)*Parameters!$D$6-Parameters!$D$17-Parameters!$D$18*(1/(1+Parameters!$D$32))*$A8*Parameters!$D$6/(1-(1/(1+Parameters!$D$32))*$A8))/(1-(1/(1+Parameters!$D$32))*L$4*(1-Parameters!$D$6))-Parameters!$D$19,"NONCONVERGENT - USE FINITE HORIZON")</f>
        <v>10.574519846350837</v>
      </c>
    </row>
    <row r="9" spans="1:12">
      <c r="A9" s="7">
        <v>0.4</v>
      </c>
      <c r="B9" s="7">
        <f>IFERROR(((Parameters!$D$14*(1-Parameters!$D$15)-Parameters!$D$16)*Parameters!$D$6-Parameters!$D$17-Parameters!$D$18*(1/(1+Parameters!$D$32))*$A9*Parameters!$D$6/(1-(1/(1+Parameters!$D$32))*$A9))/(1-(1/(1+Parameters!$D$32))*B$4*(1-Parameters!$D$6))-Parameters!$D$19,"NONCONVERGENT - USE FINITE HORIZON")</f>
        <v>-2.419672131147541</v>
      </c>
      <c r="C9" s="7">
        <f>IFERROR(((Parameters!$D$14*(1-Parameters!$D$15)-Parameters!$D$16)*Parameters!$D$6-Parameters!$D$17-Parameters!$D$18*(1/(1+Parameters!$D$32))*$A9*Parameters!$D$6/(1-(1/(1+Parameters!$D$32))*$A9))/(1-(1/(1+Parameters!$D$32))*C$4*(1-Parameters!$D$6))-Parameters!$D$19,"NONCONVERGENT - USE FINITE HORIZON")</f>
        <v>-2.2650748396293654</v>
      </c>
      <c r="D9" s="7">
        <f>IFERROR(((Parameters!$D$14*(1-Parameters!$D$15)-Parameters!$D$16)*Parameters!$D$6-Parameters!$D$17-Parameters!$D$18*(1/(1+Parameters!$D$32))*$A9*Parameters!$D$6/(1-(1/(1+Parameters!$D$32))*$A9))/(1-(1/(1+Parameters!$D$32))*D$4*(1-Parameters!$D$6))-Parameters!$D$19,"NONCONVERGENT - USE FINITE HORIZON")</f>
        <v>-2.076950424649417</v>
      </c>
      <c r="E9" s="7">
        <f>IFERROR(((Parameters!$D$14*(1-Parameters!$D$15)-Parameters!$D$16)*Parameters!$D$6-Parameters!$D$17-Parameters!$D$18*(1/(1+Parameters!$D$32))*$A9*Parameters!$D$6/(1-(1/(1+Parameters!$D$32))*$A9))/(1-(1/(1+Parameters!$D$32))*E$4*(1-Parameters!$D$6))-Parameters!$D$19,"NONCONVERGENT - USE FINITE HORIZON")</f>
        <v>-1.843066016836509</v>
      </c>
      <c r="F9" s="7">
        <f>IFERROR(((Parameters!$D$14*(1-Parameters!$D$15)-Parameters!$D$16)*Parameters!$D$6-Parameters!$D$17-Parameters!$D$18*(1/(1+Parameters!$D$32))*$A9*Parameters!$D$6/(1-(1/(1+Parameters!$D$32))*$A9))/(1-(1/(1+Parameters!$D$32))*F$4*(1-Parameters!$D$6))-Parameters!$D$19,"NONCONVERGENT - USE FINITE HORIZON")</f>
        <v>-1.5444136191677171</v>
      </c>
      <c r="G9" s="7">
        <f>IFERROR(((Parameters!$D$14*(1-Parameters!$D$15)-Parameters!$D$16)*Parameters!$D$6-Parameters!$D$17-Parameters!$D$18*(1/(1+Parameters!$D$32))*$A9*Parameters!$D$6/(1-(1/(1+Parameters!$D$32))*$A9))/(1-(1/(1+Parameters!$D$32))*G$4*(1-Parameters!$D$6))-Parameters!$D$19,"NONCONVERGENT - USE FINITE HORIZON")</f>
        <v>-1.1497658079625297</v>
      </c>
      <c r="H9" s="7">
        <f>IFERROR(((Parameters!$D$14*(1-Parameters!$D$15)-Parameters!$D$16)*Parameters!$D$6-Parameters!$D$17-Parameters!$D$18*(1/(1+Parameters!$D$32))*$A9*Parameters!$D$6/(1-(1/(1+Parameters!$D$32))*$A9))/(1-(1/(1+Parameters!$D$32))*H$4*(1-Parameters!$D$6))-Parameters!$D$19,"NONCONVERGENT - USE FINITE HORIZON")</f>
        <v>-0.6039762818276939</v>
      </c>
      <c r="I9" s="7">
        <f>IFERROR(((Parameters!$D$14*(1-Parameters!$D$15)-Parameters!$D$16)*Parameters!$D$6-Parameters!$D$17-Parameters!$D$18*(1/(1+Parameters!$D$32))*$A9*Parameters!$D$6/(1-(1/(1+Parameters!$D$32))*$A9))/(1-(1/(1+Parameters!$D$32))*I$4*(1-Parameters!$D$6))-Parameters!$D$19,"NONCONVERGENT - USE FINITE HORIZON")</f>
        <v>0.20034512510785252</v>
      </c>
      <c r="J9" s="7">
        <f>IFERROR(((Parameters!$D$14*(1-Parameters!$D$15)-Parameters!$D$16)*Parameters!$D$6-Parameters!$D$17-Parameters!$D$18*(1/(1+Parameters!$D$32))*$A9*Parameters!$D$6/(1-(1/(1+Parameters!$D$32))*$A9))/(1-(1/(1+Parameters!$D$32))*J$4*(1-Parameters!$D$6))-Parameters!$D$19,"NONCONVERGENT - USE FINITE HORIZON")</f>
        <v>1.5039005087620136</v>
      </c>
      <c r="K9" s="7">
        <f>IFERROR(((Parameters!$D$14*(1-Parameters!$D$15)-Parameters!$D$16)*Parameters!$D$6-Parameters!$D$17-Parameters!$D$18*(1/(1+Parameters!$D$32))*$A9*Parameters!$D$6/(1-(1/(1+Parameters!$D$32))*$A9))/(1-(1/(1+Parameters!$D$32))*K$4*(1-Parameters!$D$6))-Parameters!$D$19,"NONCONVERGENT - USE FINITE HORIZON")</f>
        <v>3.98065573770492</v>
      </c>
      <c r="L9" s="7">
        <f>IFERROR(((Parameters!$D$14*(1-Parameters!$D$15)-Parameters!$D$16)*Parameters!$D$6-Parameters!$D$17-Parameters!$D$18*(1/(1+Parameters!$D$32))*$A9*Parameters!$D$6/(1-(1/(1+Parameters!$D$32))*$A9))/(1-(1/(1+Parameters!$D$32))*L$4*(1-Parameters!$D$6))-Parameters!$D$19,"NONCONVERGENT - USE FINITE HORIZON")</f>
        <v>10.51028315946349</v>
      </c>
    </row>
    <row r="10" spans="1:12">
      <c r="A10" s="7">
        <v>0.5</v>
      </c>
      <c r="B10" s="7">
        <f>IFERROR(((Parameters!$D$14*(1-Parameters!$D$15)-Parameters!$D$16)*Parameters!$D$6-Parameters!$D$17-Parameters!$D$18*(1/(1+Parameters!$D$32))*$A10*Parameters!$D$6/(1-(1/(1+Parameters!$D$32))*$A10))/(1-(1/(1+Parameters!$D$32))*B$4*(1-Parameters!$D$6))-Parameters!$D$19,"NONCONVERGENT - USE FINITE HORIZON")</f>
        <v>-2.429411764705882</v>
      </c>
      <c r="C10" s="7">
        <f>IFERROR(((Parameters!$D$14*(1-Parameters!$D$15)-Parameters!$D$16)*Parameters!$D$6-Parameters!$D$17-Parameters!$D$18*(1/(1+Parameters!$D$32))*$A10*Parameters!$D$6/(1-(1/(1+Parameters!$D$32))*$A10))/(1-(1/(1+Parameters!$D$32))*C$4*(1-Parameters!$D$6))-Parameters!$D$19,"NONCONVERGENT - USE FINITE HORIZON")</f>
        <v>-2.27576726342711</v>
      </c>
      <c r="D10" s="7">
        <f>IFERROR(((Parameters!$D$14*(1-Parameters!$D$15)-Parameters!$D$16)*Parameters!$D$6-Parameters!$D$17-Parameters!$D$18*(1/(1+Parameters!$D$32))*$A10*Parameters!$D$6/(1-(1/(1+Parameters!$D$32))*$A10))/(1-(1/(1+Parameters!$D$32))*D$4*(1-Parameters!$D$6))-Parameters!$D$19,"NONCONVERGENT - USE FINITE HORIZON")</f>
        <v>-2.0888022678951095</v>
      </c>
      <c r="E10" s="7">
        <f>IFERROR(((Parameters!$D$14*(1-Parameters!$D$15)-Parameters!$D$16)*Parameters!$D$6-Parameters!$D$17-Parameters!$D$18*(1/(1+Parameters!$D$32))*$A10*Parameters!$D$6/(1-(1/(1+Parameters!$D$32))*$A10))/(1-(1/(1+Parameters!$D$32))*E$4*(1-Parameters!$D$6))-Parameters!$D$19,"NONCONVERGENT - USE FINITE HORIZON")</f>
        <v>-1.8563593004769476</v>
      </c>
      <c r="F10" s="7">
        <f>IFERROR(((Parameters!$D$14*(1-Parameters!$D$15)-Parameters!$D$16)*Parameters!$D$6-Parameters!$D$17-Parameters!$D$18*(1/(1+Parameters!$D$32))*$A10*Parameters!$D$6/(1-(1/(1+Parameters!$D$32))*$A10))/(1-(1/(1+Parameters!$D$32))*F$4*(1-Parameters!$D$6))-Parameters!$D$19,"NONCONVERGENT - USE FINITE HORIZON")</f>
        <v>-1.5595475113122168</v>
      </c>
      <c r="G10" s="7">
        <f>IFERROR(((Parameters!$D$14*(1-Parameters!$D$15)-Parameters!$D$16)*Parameters!$D$6-Parameters!$D$17-Parameters!$D$18*(1/(1+Parameters!$D$32))*$A10*Parameters!$D$6/(1-(1/(1+Parameters!$D$32))*$A10))/(1-(1/(1+Parameters!$D$32))*G$4*(1-Parameters!$D$6))-Parameters!$D$19,"NONCONVERGENT - USE FINITE HORIZON")</f>
        <v>-1.1673319327731098</v>
      </c>
      <c r="H10" s="7">
        <f>IFERROR(((Parameters!$D$14*(1-Parameters!$D$15)-Parameters!$D$16)*Parameters!$D$6-Parameters!$D$17-Parameters!$D$18*(1/(1+Parameters!$D$32))*$A10*Parameters!$D$6/(1-(1/(1+Parameters!$D$32))*$A10))/(1-(1/(1+Parameters!$D$32))*H$4*(1-Parameters!$D$6))-Parameters!$D$19,"NONCONVERGENT - USE FINITE HORIZON")</f>
        <v>-0.6249061326658318</v>
      </c>
      <c r="I10" s="7">
        <f>IFERROR(((Parameters!$D$14*(1-Parameters!$D$15)-Parameters!$D$16)*Parameters!$D$6-Parameters!$D$17-Parameters!$D$18*(1/(1+Parameters!$D$32))*$A10*Parameters!$D$6/(1-(1/(1+Parameters!$D$32))*$A10))/(1-(1/(1+Parameters!$D$32))*I$4*(1-Parameters!$D$6))-Parameters!$D$19,"NONCONVERGENT - USE FINITE HORIZON")</f>
        <v>0.17445820433436587</v>
      </c>
      <c r="J10" s="7">
        <f>IFERROR(((Parameters!$D$14*(1-Parameters!$D$15)-Parameters!$D$16)*Parameters!$D$6-Parameters!$D$17-Parameters!$D$18*(1/(1+Parameters!$D$32))*$A10*Parameters!$D$6/(1-(1/(1+Parameters!$D$32))*$A10))/(1-(1/(1+Parameters!$D$32))*J$4*(1-Parameters!$D$6))-Parameters!$D$19,"NONCONVERGENT - USE FINITE HORIZON")</f>
        <v>1.4699797160243415</v>
      </c>
      <c r="K10" s="7">
        <f>IFERROR(((Parameters!$D$14*(1-Parameters!$D$15)-Parameters!$D$16)*Parameters!$D$6-Parameters!$D$17-Parameters!$D$18*(1/(1+Parameters!$D$32))*$A10*Parameters!$D$6/(1-(1/(1+Parameters!$D$32))*$A10))/(1-(1/(1+Parameters!$D$32))*K$4*(1-Parameters!$D$6))-Parameters!$D$19,"NONCONVERGENT - USE FINITE HORIZON")</f>
        <v>3.931470588235298</v>
      </c>
      <c r="L10" s="7">
        <f>IFERROR(((Parameters!$D$14*(1-Parameters!$D$15)-Parameters!$D$16)*Parameters!$D$6-Parameters!$D$17-Parameters!$D$18*(1/(1+Parameters!$D$32))*$A10*Parameters!$D$6/(1-(1/(1+Parameters!$D$32))*$A10))/(1-(1/(1+Parameters!$D$32))*L$4*(1-Parameters!$D$6))-Parameters!$D$19,"NONCONVERGENT - USE FINITE HORIZON")</f>
        <v>10.420855614973267</v>
      </c>
    </row>
    <row r="11" spans="1:12">
      <c r="A11" s="7">
        <v>0.6</v>
      </c>
      <c r="B11" s="7">
        <f>IFERROR(((Parameters!$D$14*(1-Parameters!$D$15)-Parameters!$D$16)*Parameters!$D$6-Parameters!$D$17-Parameters!$D$18*(1/(1+Parameters!$D$32))*$A11*Parameters!$D$6/(1-(1/(1+Parameters!$D$32))*$A11))/(1-(1/(1+Parameters!$D$32))*B$4*(1-Parameters!$D$6))-Parameters!$D$19,"NONCONVERGENT - USE FINITE HORIZON")</f>
        <v>-2.44390243902439</v>
      </c>
      <c r="C11" s="7">
        <f>IFERROR(((Parameters!$D$14*(1-Parameters!$D$15)-Parameters!$D$16)*Parameters!$D$6-Parameters!$D$17-Parameters!$D$18*(1/(1+Parameters!$D$32))*$A11*Parameters!$D$6/(1-(1/(1+Parameters!$D$32))*$A11))/(1-(1/(1+Parameters!$D$32))*C$4*(1-Parameters!$D$6))-Parameters!$D$19,"NONCONVERGENT - USE FINITE HORIZON")</f>
        <v>-2.291675503711559</v>
      </c>
      <c r="D11" s="7">
        <f>IFERROR(((Parameters!$D$14*(1-Parameters!$D$15)-Parameters!$D$16)*Parameters!$D$6-Parameters!$D$17-Parameters!$D$18*(1/(1+Parameters!$D$32))*$A11*Parameters!$D$6/(1-(1/(1+Parameters!$D$32))*$A11))/(1-(1/(1+Parameters!$D$32))*D$4*(1-Parameters!$D$6))-Parameters!$D$19,"NONCONVERGENT - USE FINITE HORIZON")</f>
        <v>-2.1064354980899203</v>
      </c>
      <c r="E11" s="7">
        <f>IFERROR(((Parameters!$D$14*(1-Parameters!$D$15)-Parameters!$D$16)*Parameters!$D$6-Parameters!$D$17-Parameters!$D$18*(1/(1+Parameters!$D$32))*$A11*Parameters!$D$6/(1-(1/(1+Parameters!$D$32))*$A11))/(1-(1/(1+Parameters!$D$32))*E$4*(1-Parameters!$D$6))-Parameters!$D$19,"NONCONVERGENT - USE FINITE HORIZON")</f>
        <v>-1.8761371127224789</v>
      </c>
      <c r="F11" s="7">
        <f>IFERROR(((Parameters!$D$14*(1-Parameters!$D$15)-Parameters!$D$16)*Parameters!$D$6-Parameters!$D$17-Parameters!$D$18*(1/(1+Parameters!$D$32))*$A11*Parameters!$D$6/(1-(1/(1+Parameters!$D$32))*$A11))/(1-(1/(1+Parameters!$D$32))*F$4*(1-Parameters!$D$6))-Parameters!$D$19,"NONCONVERGENT - USE FINITE HORIZON")</f>
        <v>-1.5820637898686676</v>
      </c>
      <c r="G11" s="7">
        <f>IFERROR(((Parameters!$D$14*(1-Parameters!$D$15)-Parameters!$D$16)*Parameters!$D$6-Parameters!$D$17-Parameters!$D$18*(1/(1+Parameters!$D$32))*$A11*Parameters!$D$6/(1-(1/(1+Parameters!$D$32))*$A11))/(1-(1/(1+Parameters!$D$32))*G$4*(1-Parameters!$D$6))-Parameters!$D$19,"NONCONVERGENT - USE FINITE HORIZON")</f>
        <v>-1.1934668989547044</v>
      </c>
      <c r="H11" s="7">
        <f>IFERROR(((Parameters!$D$14*(1-Parameters!$D$15)-Parameters!$D$16)*Parameters!$D$6-Parameters!$D$17-Parameters!$D$18*(1/(1+Parameters!$D$32))*$A11*Parameters!$D$6/(1-(1/(1+Parameters!$D$32))*$A11))/(1-(1/(1+Parameters!$D$32))*H$4*(1-Parameters!$D$6))-Parameters!$D$19,"NONCONVERGENT - USE FINITE HORIZON")</f>
        <v>-0.6560456668396464</v>
      </c>
      <c r="I11" s="7">
        <f>IFERROR(((Parameters!$D$14*(1-Parameters!$D$15)-Parameters!$D$16)*Parameters!$D$6-Parameters!$D$17-Parameters!$D$18*(1/(1+Parameters!$D$32))*$A11*Parameters!$D$6/(1-(1/(1+Parameters!$D$32))*$A11))/(1-(1/(1+Parameters!$D$32))*I$4*(1-Parameters!$D$6))-Parameters!$D$19,"NONCONVERGENT - USE FINITE HORIZON")</f>
        <v>0.1359435173299106</v>
      </c>
      <c r="J11" s="7">
        <f>IFERROR(((Parameters!$D$14*(1-Parameters!$D$15)-Parameters!$D$16)*Parameters!$D$6-Parameters!$D$17-Parameters!$D$18*(1/(1+Parameters!$D$32))*$A11*Parameters!$D$6/(1-(1/(1+Parameters!$D$32))*$A11))/(1-(1/(1+Parameters!$D$32))*J$4*(1-Parameters!$D$6))-Parameters!$D$19,"NONCONVERGENT - USE FINITE HORIZON")</f>
        <v>1.4195121951219525</v>
      </c>
      <c r="K11" s="7">
        <f>IFERROR(((Parameters!$D$14*(1-Parameters!$D$15)-Parameters!$D$16)*Parameters!$D$6-Parameters!$D$17-Parameters!$D$18*(1/(1+Parameters!$D$32))*$A11*Parameters!$D$6/(1-(1/(1+Parameters!$D$32))*$A11))/(1-(1/(1+Parameters!$D$32))*K$4*(1-Parameters!$D$6))-Parameters!$D$19,"NONCONVERGENT - USE FINITE HORIZON")</f>
        <v>3.858292682926833</v>
      </c>
      <c r="L11" s="7">
        <f>IFERROR(((Parameters!$D$14*(1-Parameters!$D$15)-Parameters!$D$16)*Parameters!$D$6-Parameters!$D$17-Parameters!$D$18*(1/(1+Parameters!$D$32))*$A11*Parameters!$D$6/(1-(1/(1+Parameters!$D$32))*$A11))/(1-(1/(1+Parameters!$D$32))*L$4*(1-Parameters!$D$6))-Parameters!$D$19,"NONCONVERGENT - USE FINITE HORIZON")</f>
        <v>10.287804878048785</v>
      </c>
    </row>
    <row r="12" spans="1:12">
      <c r="A12" s="7">
        <v>0.7</v>
      </c>
      <c r="B12" s="7">
        <f>IFERROR(((Parameters!$D$14*(1-Parameters!$D$15)-Parameters!$D$16)*Parameters!$D$6-Parameters!$D$17-Parameters!$D$18*(1/(1+Parameters!$D$32))*$A12*Parameters!$D$6/(1-(1/(1+Parameters!$D$32))*$A12))/(1-(1/(1+Parameters!$D$32))*B$4*(1-Parameters!$D$6))-Parameters!$D$19,"NONCONVERGENT - USE FINITE HORIZON")</f>
        <v>-2.467741935483871</v>
      </c>
      <c r="C12" s="7">
        <f>IFERROR(((Parameters!$D$14*(1-Parameters!$D$15)-Parameters!$D$16)*Parameters!$D$6-Parameters!$D$17-Parameters!$D$18*(1/(1+Parameters!$D$32))*$A12*Parameters!$D$6/(1-(1/(1+Parameters!$D$32))*$A12))/(1-(1/(1+Parameters!$D$32))*C$4*(1-Parameters!$D$6))-Parameters!$D$19,"NONCONVERGENT - USE FINITE HORIZON")</f>
        <v>-2.3178471248246844</v>
      </c>
      <c r="D12" s="7">
        <f>IFERROR(((Parameters!$D$14*(1-Parameters!$D$15)-Parameters!$D$16)*Parameters!$D$6-Parameters!$D$17-Parameters!$D$18*(1/(1+Parameters!$D$32))*$A12*Parameters!$D$6/(1-(1/(1+Parameters!$D$32))*$A12))/(1-(1/(1+Parameters!$D$32))*D$4*(1-Parameters!$D$6))-Parameters!$D$19,"NONCONVERGENT - USE FINITE HORIZON")</f>
        <v>-2.1354450058297703</v>
      </c>
      <c r="E12" s="7">
        <f>IFERROR(((Parameters!$D$14*(1-Parameters!$D$15)-Parameters!$D$16)*Parameters!$D$6-Parameters!$D$17-Parameters!$D$18*(1/(1+Parameters!$D$32))*$A12*Parameters!$D$6/(1-(1/(1+Parameters!$D$32))*$A12))/(1-(1/(1+Parameters!$D$32))*E$4*(1-Parameters!$D$6))-Parameters!$D$19,"NONCONVERGENT - USE FINITE HORIZON")</f>
        <v>-1.9086748038360941</v>
      </c>
      <c r="F12" s="7">
        <f>IFERROR(((Parameters!$D$14*(1-Parameters!$D$15)-Parameters!$D$16)*Parameters!$D$6-Parameters!$D$17-Parameters!$D$18*(1/(1+Parameters!$D$32))*$A12*Parameters!$D$6/(1-(1/(1+Parameters!$D$32))*$A12))/(1-(1/(1+Parameters!$D$32))*F$4*(1-Parameters!$D$6))-Parameters!$D$19,"NONCONVERGENT - USE FINITE HORIZON")</f>
        <v>-1.6191066997518608</v>
      </c>
      <c r="G12" s="7">
        <f>IFERROR(((Parameters!$D$14*(1-Parameters!$D$15)-Parameters!$D$16)*Parameters!$D$6-Parameters!$D$17-Parameters!$D$18*(1/(1+Parameters!$D$32))*$A12*Parameters!$D$6/(1-(1/(1+Parameters!$D$32))*$A12))/(1-(1/(1+Parameters!$D$32))*G$4*(1-Parameters!$D$6))-Parameters!$D$19,"NONCONVERGENT - USE FINITE HORIZON")</f>
        <v>-1.2364631336405534</v>
      </c>
      <c r="H12" s="7">
        <f>IFERROR(((Parameters!$D$14*(1-Parameters!$D$15)-Parameters!$D$16)*Parameters!$D$6-Parameters!$D$17-Parameters!$D$18*(1/(1+Parameters!$D$32))*$A12*Parameters!$D$6/(1-(1/(1+Parameters!$D$32))*$A12))/(1-(1/(1+Parameters!$D$32))*H$4*(1-Parameters!$D$6))-Parameters!$D$19,"NONCONVERGENT - USE FINITE HORIZON")</f>
        <v>-0.7072752230610839</v>
      </c>
      <c r="I12" s="7">
        <f>IFERROR(((Parameters!$D$14*(1-Parameters!$D$15)-Parameters!$D$16)*Parameters!$D$6-Parameters!$D$17-Parameters!$D$18*(1/(1+Parameters!$D$32))*$A12*Parameters!$D$6/(1-(1/(1+Parameters!$D$32))*$A12))/(1-(1/(1+Parameters!$D$32))*I$4*(1-Parameters!$D$6))-Parameters!$D$19,"NONCONVERGENT - USE FINITE HORIZON")</f>
        <v>0.07258064516129092</v>
      </c>
      <c r="J12" s="7">
        <f>IFERROR(((Parameters!$D$14*(1-Parameters!$D$15)-Parameters!$D$16)*Parameters!$D$6-Parameters!$D$17-Parameters!$D$18*(1/(1+Parameters!$D$32))*$A12*Parameters!$D$6/(1-(1/(1+Parameters!$D$32))*$A12))/(1-(1/(1+Parameters!$D$32))*J$4*(1-Parameters!$D$6))-Parameters!$D$19,"NONCONVERGENT - USE FINITE HORIZON")</f>
        <v>1.3364849833147954</v>
      </c>
      <c r="K12" s="7">
        <f>IFERROR(((Parameters!$D$14*(1-Parameters!$D$15)-Parameters!$D$16)*Parameters!$D$6-Parameters!$D$17-Parameters!$D$18*(1/(1+Parameters!$D$32))*$A12*Parameters!$D$6/(1-(1/(1+Parameters!$D$32))*$A12))/(1-(1/(1+Parameters!$D$32))*K$4*(1-Parameters!$D$6))-Parameters!$D$19,"NONCONVERGENT - USE FINITE HORIZON")</f>
        <v>3.7379032258064555</v>
      </c>
      <c r="L12" s="7">
        <f>IFERROR(((Parameters!$D$14*(1-Parameters!$D$15)-Parameters!$D$16)*Parameters!$D$6-Parameters!$D$17-Parameters!$D$18*(1/(1+Parameters!$D$32))*$A12*Parameters!$D$6/(1-(1/(1+Parameters!$D$32))*$A12))/(1-(1/(1+Parameters!$D$32))*L$4*(1-Parameters!$D$6))-Parameters!$D$19,"NONCONVERGENT - USE FINITE HORIZON")</f>
        <v>10.068914956011731</v>
      </c>
    </row>
    <row r="13" spans="1:12">
      <c r="A13" s="7">
        <v>0.8</v>
      </c>
      <c r="B13" s="7">
        <f>IFERROR(((Parameters!$D$14*(1-Parameters!$D$15)-Parameters!$D$16)*Parameters!$D$6-Parameters!$D$17-Parameters!$D$18*(1/(1+Parameters!$D$32))*$A13*Parameters!$D$6/(1-(1/(1+Parameters!$D$32))*$A13))/(1-(1/(1+Parameters!$D$32))*B$4*(1-Parameters!$D$6))-Parameters!$D$19,"NONCONVERGENT - USE FINITE HORIZON")</f>
        <v>-2.5142857142857142</v>
      </c>
      <c r="C13" s="7">
        <f>IFERROR(((Parameters!$D$14*(1-Parameters!$D$15)-Parameters!$D$16)*Parameters!$D$6-Parameters!$D$17-Parameters!$D$18*(1/(1+Parameters!$D$32))*$A13*Parameters!$D$6/(1-(1/(1+Parameters!$D$32))*$A13))/(1-(1/(1+Parameters!$D$32))*C$4*(1-Parameters!$D$6))-Parameters!$D$19,"NONCONVERGENT - USE FINITE HORIZON")</f>
        <v>-2.368944099378882</v>
      </c>
      <c r="D13" s="7">
        <f>IFERROR(((Parameters!$D$14*(1-Parameters!$D$15)-Parameters!$D$16)*Parameters!$D$6-Parameters!$D$17-Parameters!$D$18*(1/(1+Parameters!$D$32))*$A13*Parameters!$D$6/(1-(1/(1+Parameters!$D$32))*$A13))/(1-(1/(1+Parameters!$D$32))*D$4*(1-Parameters!$D$6))-Parameters!$D$19,"NONCONVERGENT - USE FINITE HORIZON")</f>
        <v>-2.1920826161790012</v>
      </c>
      <c r="E13" s="7">
        <f>IFERROR(((Parameters!$D$14*(1-Parameters!$D$15)-Parameters!$D$16)*Parameters!$D$6-Parameters!$D$17-Parameters!$D$18*(1/(1+Parameters!$D$32))*$A13*Parameters!$D$6/(1-(1/(1+Parameters!$D$32))*$A13))/(1-(1/(1+Parameters!$D$32))*E$4*(1-Parameters!$D$6))-Parameters!$D$19,"NONCONVERGENT - USE FINITE HORIZON")</f>
        <v>-1.9722007722007726</v>
      </c>
      <c r="F13" s="7">
        <f>IFERROR(((Parameters!$D$14*(1-Parameters!$D$15)-Parameters!$D$16)*Parameters!$D$6-Parameters!$D$17-Parameters!$D$18*(1/(1+Parameters!$D$32))*$A13*Parameters!$D$6/(1-(1/(1+Parameters!$D$32))*$A13))/(1-(1/(1+Parameters!$D$32))*F$4*(1-Parameters!$D$6))-Parameters!$D$19,"NONCONVERGENT - USE FINITE HORIZON")</f>
        <v>-1.6914285714285713</v>
      </c>
      <c r="G13" s="7">
        <f>IFERROR(((Parameters!$D$14*(1-Parameters!$D$15)-Parameters!$D$16)*Parameters!$D$6-Parameters!$D$17-Parameters!$D$18*(1/(1+Parameters!$D$32))*$A13*Parameters!$D$6/(1-(1/(1+Parameters!$D$32))*$A13))/(1-(1/(1+Parameters!$D$32))*G$4*(1-Parameters!$D$6))-Parameters!$D$19,"NONCONVERGENT - USE FINITE HORIZON")</f>
        <v>-1.3204081632653066</v>
      </c>
      <c r="H13" s="7">
        <f>IFERROR(((Parameters!$D$14*(1-Parameters!$D$15)-Parameters!$D$16)*Parameters!$D$6-Parameters!$D$17-Parameters!$D$18*(1/(1+Parameters!$D$32))*$A13*Parameters!$D$6/(1-(1/(1+Parameters!$D$32))*$A13))/(1-(1/(1+Parameters!$D$32))*H$4*(1-Parameters!$D$6))-Parameters!$D$19,"NONCONVERGENT - USE FINITE HORIZON")</f>
        <v>-0.8072948328267473</v>
      </c>
      <c r="I13" s="7">
        <f>IFERROR(((Parameters!$D$14*(1-Parameters!$D$15)-Parameters!$D$16)*Parameters!$D$6-Parameters!$D$17-Parameters!$D$18*(1/(1+Parameters!$D$32))*$A13*Parameters!$D$6/(1-(1/(1+Parameters!$D$32))*$A13))/(1-(1/(1+Parameters!$D$32))*I$4*(1-Parameters!$D$6))-Parameters!$D$19,"NONCONVERGENT - USE FINITE HORIZON")</f>
        <v>-0.05112781954887158</v>
      </c>
      <c r="J13" s="7">
        <f>IFERROR(((Parameters!$D$14*(1-Parameters!$D$15)-Parameters!$D$16)*Parameters!$D$6-Parameters!$D$17-Parameters!$D$18*(1/(1+Parameters!$D$32))*$A13*Parameters!$D$6/(1-(1/(1+Parameters!$D$32))*$A13))/(1-(1/(1+Parameters!$D$32))*J$4*(1-Parameters!$D$6))-Parameters!$D$19,"NONCONVERGENT - USE FINITE HORIZON")</f>
        <v>1.1743842364532036</v>
      </c>
      <c r="K13" s="7">
        <f>IFERROR(((Parameters!$D$14*(1-Parameters!$D$15)-Parameters!$D$16)*Parameters!$D$6-Parameters!$D$17-Parameters!$D$18*(1/(1+Parameters!$D$32))*$A13*Parameters!$D$6/(1-(1/(1+Parameters!$D$32))*$A13))/(1-(1/(1+Parameters!$D$32))*K$4*(1-Parameters!$D$6))-Parameters!$D$19,"NONCONVERGENT - USE FINITE HORIZON")</f>
        <v>3.5028571428571444</v>
      </c>
      <c r="L13" s="7">
        <f>IFERROR(((Parameters!$D$14*(1-Parameters!$D$15)-Parameters!$D$16)*Parameters!$D$6-Parameters!$D$17-Parameters!$D$18*(1/(1+Parameters!$D$32))*$A13*Parameters!$D$6/(1-(1/(1+Parameters!$D$32))*$A13))/(1-(1/(1+Parameters!$D$32))*L$4*(1-Parameters!$D$6))-Parameters!$D$19,"NONCONVERGENT - USE FINITE HORIZON")</f>
        <v>9.641558441558445</v>
      </c>
    </row>
    <row r="14" spans="1:12">
      <c r="A14" s="7">
        <v>0.9</v>
      </c>
      <c r="B14" s="7">
        <f>IFERROR(((Parameters!$D$14*(1-Parameters!$D$15)-Parameters!$D$16)*Parameters!$D$6-Parameters!$D$17-Parameters!$D$18*(1/(1+Parameters!$D$32))*$A14*Parameters!$D$6/(1-(1/(1+Parameters!$D$32))*$A14))/(1-(1/(1+Parameters!$D$32))*B$4*(1-Parameters!$D$6))-Parameters!$D$19,"NONCONVERGENT - USE FINITE HORIZON")</f>
        <v>-2.6454545454545455</v>
      </c>
      <c r="C14" s="7">
        <f>IFERROR(((Parameters!$D$14*(1-Parameters!$D$15)-Parameters!$D$16)*Parameters!$D$6-Parameters!$D$17-Parameters!$D$18*(1/(1+Parameters!$D$32))*$A14*Parameters!$D$6/(1-(1/(1+Parameters!$D$32))*$A14))/(1-(1/(1+Parameters!$D$32))*C$4*(1-Parameters!$D$6))-Parameters!$D$19,"NONCONVERGENT - USE FINITE HORIZON")</f>
        <v>-2.5129446640316204</v>
      </c>
      <c r="D14" s="7">
        <f>IFERROR(((Parameters!$D$14*(1-Parameters!$D$15)-Parameters!$D$16)*Parameters!$D$6-Parameters!$D$17-Parameters!$D$18*(1/(1+Parameters!$D$32))*$A14*Parameters!$D$6/(1-(1/(1+Parameters!$D$32))*$A14))/(1-(1/(1+Parameters!$D$32))*D$4*(1-Parameters!$D$6))-Parameters!$D$19,"NONCONVERGENT - USE FINITE HORIZON")</f>
        <v>-2.351697699890471</v>
      </c>
      <c r="E14" s="7">
        <f>IFERROR(((Parameters!$D$14*(1-Parameters!$D$15)-Parameters!$D$16)*Parameters!$D$6-Parameters!$D$17-Parameters!$D$18*(1/(1+Parameters!$D$32))*$A14*Parameters!$D$6/(1-(1/(1+Parameters!$D$32))*$A14))/(1-(1/(1+Parameters!$D$32))*E$4*(1-Parameters!$D$6))-Parameters!$D$19,"NONCONVERGENT - USE FINITE HORIZON")</f>
        <v>-2.1512285012285015</v>
      </c>
      <c r="F14" s="7">
        <f>IFERROR(((Parameters!$D$14*(1-Parameters!$D$15)-Parameters!$D$16)*Parameters!$D$6-Parameters!$D$17-Parameters!$D$18*(1/(1+Parameters!$D$32))*$A14*Parameters!$D$6/(1-(1/(1+Parameters!$D$32))*$A14))/(1-(1/(1+Parameters!$D$32))*F$4*(1-Parameters!$D$6))-Parameters!$D$19,"NONCONVERGENT - USE FINITE HORIZON")</f>
        <v>-1.895244755244755</v>
      </c>
      <c r="G14" s="7">
        <f>IFERROR(((Parameters!$D$14*(1-Parameters!$D$15)-Parameters!$D$16)*Parameters!$D$6-Parameters!$D$17-Parameters!$D$18*(1/(1+Parameters!$D$32))*$A14*Parameters!$D$6/(1-(1/(1+Parameters!$D$32))*$A14))/(1-(1/(1+Parameters!$D$32))*G$4*(1-Parameters!$D$6))-Parameters!$D$19,"NONCONVERGENT - USE FINITE HORIZON")</f>
        <v>-1.5569805194805202</v>
      </c>
      <c r="H14" s="7">
        <f>IFERROR(((Parameters!$D$14*(1-Parameters!$D$15)-Parameters!$D$16)*Parameters!$D$6-Parameters!$D$17-Parameters!$D$18*(1/(1+Parameters!$D$32))*$A14*Parameters!$D$6/(1-(1/(1+Parameters!$D$32))*$A14))/(1-(1/(1+Parameters!$D$32))*H$4*(1-Parameters!$D$6))-Parameters!$D$19,"NONCONVERGENT - USE FINITE HORIZON")</f>
        <v>-1.0891682785299803</v>
      </c>
      <c r="I14" s="7">
        <f>IFERROR(((Parameters!$D$14*(1-Parameters!$D$15)-Parameters!$D$16)*Parameters!$D$6-Parameters!$D$17-Parameters!$D$18*(1/(1+Parameters!$D$32))*$A14*Parameters!$D$6/(1-(1/(1+Parameters!$D$32))*$A14))/(1-(1/(1+Parameters!$D$32))*I$4*(1-Parameters!$D$6))-Parameters!$D$19,"NONCONVERGENT - USE FINITE HORIZON")</f>
        <v>-0.39976076555023843</v>
      </c>
      <c r="J14" s="7">
        <f>IFERROR(((Parameters!$D$14*(1-Parameters!$D$15)-Parameters!$D$16)*Parameters!$D$6-Parameters!$D$17-Parameters!$D$18*(1/(1+Parameters!$D$32))*$A14*Parameters!$D$6/(1-(1/(1+Parameters!$D$32))*$A14))/(1-(1/(1+Parameters!$D$32))*J$4*(1-Parameters!$D$6))-Parameters!$D$19,"NONCONVERGENT - USE FINITE HORIZON")</f>
        <v>0.7175548589341707</v>
      </c>
      <c r="K14" s="7">
        <f>IFERROR(((Parameters!$D$14*(1-Parameters!$D$15)-Parameters!$D$16)*Parameters!$D$6-Parameters!$D$17-Parameters!$D$18*(1/(1+Parameters!$D$32))*$A14*Parameters!$D$6/(1-(1/(1+Parameters!$D$32))*$A14))/(1-(1/(1+Parameters!$D$32))*K$4*(1-Parameters!$D$6))-Parameters!$D$19,"NONCONVERGENT - USE FINITE HORIZON")</f>
        <v>2.8404545454545467</v>
      </c>
      <c r="L14" s="7">
        <f>IFERROR(((Parameters!$D$14*(1-Parameters!$D$15)-Parameters!$D$16)*Parameters!$D$6-Parameters!$D$17-Parameters!$D$18*(1/(1+Parameters!$D$32))*$A14*Parameters!$D$6/(1-(1/(1+Parameters!$D$32))*$A14))/(1-(1/(1+Parameters!$D$32))*L$4*(1-Parameters!$D$6))-Parameters!$D$19,"NONCONVERGENT - USE FINITE HORIZON")</f>
        <v>8.437190082644632</v>
      </c>
    </row>
    <row r="15" spans="1:12">
      <c r="A15" s="7">
        <v>1</v>
      </c>
      <c r="B15" s="7">
        <f>IFERROR(((Parameters!$D$14*(1-Parameters!$D$15)-Parameters!$D$16)*Parameters!$D$6-Parameters!$D$17-Parameters!$D$18*(1/(1+Parameters!$D$32))*$A15*Parameters!$D$6/(1-(1/(1+Parameters!$D$32))*$A15))/(1-(1/(1+Parameters!$D$32))*B$4*(1-Parameters!$D$6))-Parameters!$D$19,"NONCONVERGENT - USE FINITE HORIZON")</f>
        <v>-5.399999999999997</v>
      </c>
      <c r="C15" s="7">
        <f>IFERROR(((Parameters!$D$14*(1-Parameters!$D$15)-Parameters!$D$16)*Parameters!$D$6-Parameters!$D$17-Parameters!$D$18*(1/(1+Parameters!$D$32))*$A15*Parameters!$D$6/(1-(1/(1+Parameters!$D$32))*$A15))/(1-(1/(1+Parameters!$D$32))*C$4*(1-Parameters!$D$6))-Parameters!$D$19,"NONCONVERGENT - USE FINITE HORIZON")</f>
        <v>-5.5369565217391274</v>
      </c>
      <c r="D15" s="7">
        <f>IFERROR(((Parameters!$D$14*(1-Parameters!$D$15)-Parameters!$D$16)*Parameters!$D$6-Parameters!$D$17-Parameters!$D$18*(1/(1+Parameters!$D$32))*$A15*Parameters!$D$6/(1-(1/(1+Parameters!$D$32))*$A15))/(1-(1/(1+Parameters!$D$32))*D$4*(1-Parameters!$D$6))-Parameters!$D$19,"NONCONVERGENT - USE FINITE HORIZON")</f>
        <v>-5.703614457831322</v>
      </c>
      <c r="E15" s="7">
        <f>IFERROR(((Parameters!$D$14*(1-Parameters!$D$15)-Parameters!$D$16)*Parameters!$D$6-Parameters!$D$17-Parameters!$D$18*(1/(1+Parameters!$D$32))*$A15*Parameters!$D$6/(1-(1/(1+Parameters!$D$32))*$A15))/(1-(1/(1+Parameters!$D$32))*E$4*(1-Parameters!$D$6))-Parameters!$D$19,"NONCONVERGENT - USE FINITE HORIZON")</f>
        <v>-5.9108108108108075</v>
      </c>
      <c r="F15" s="7">
        <f>IFERROR(((Parameters!$D$14*(1-Parameters!$D$15)-Parameters!$D$16)*Parameters!$D$6-Parameters!$D$17-Parameters!$D$18*(1/(1+Parameters!$D$32))*$A15*Parameters!$D$6/(1-(1/(1+Parameters!$D$32))*$A15))/(1-(1/(1+Parameters!$D$32))*F$4*(1-Parameters!$D$6))-Parameters!$D$19,"NONCONVERGENT - USE FINITE HORIZON")</f>
        <v>-6.175384615384612</v>
      </c>
      <c r="G15" s="7">
        <f>IFERROR(((Parameters!$D$14*(1-Parameters!$D$15)-Parameters!$D$16)*Parameters!$D$6-Parameters!$D$17-Parameters!$D$18*(1/(1+Parameters!$D$32))*$A15*Parameters!$D$6/(1-(1/(1+Parameters!$D$32))*$A15))/(1-(1/(1+Parameters!$D$32))*G$4*(1-Parameters!$D$6))-Parameters!$D$19,"NONCONVERGENT - USE FINITE HORIZON")</f>
        <v>-6.524999999999995</v>
      </c>
      <c r="H15" s="7">
        <f>IFERROR(((Parameters!$D$14*(1-Parameters!$D$15)-Parameters!$D$16)*Parameters!$D$6-Parameters!$D$17-Parameters!$D$18*(1/(1+Parameters!$D$32))*$A15*Parameters!$D$6/(1-(1/(1+Parameters!$D$32))*$A15))/(1-(1/(1+Parameters!$D$32))*H$4*(1-Parameters!$D$6))-Parameters!$D$19,"NONCONVERGENT - USE FINITE HORIZON")</f>
        <v>-7.008510638297866</v>
      </c>
      <c r="I15" s="7">
        <f>IFERROR(((Parameters!$D$14*(1-Parameters!$D$15)-Parameters!$D$16)*Parameters!$D$6-Parameters!$D$17-Parameters!$D$18*(1/(1+Parameters!$D$32))*$A15*Parameters!$D$6/(1-(1/(1+Parameters!$D$32))*$A15))/(1-(1/(1+Parameters!$D$32))*I$4*(1-Parameters!$D$6))-Parameters!$D$19,"NONCONVERGENT - USE FINITE HORIZON")</f>
        <v>-7.72105263157894</v>
      </c>
      <c r="J15" s="7">
        <f>IFERROR(((Parameters!$D$14*(1-Parameters!$D$15)-Parameters!$D$16)*Parameters!$D$6-Parameters!$D$17-Parameters!$D$18*(1/(1+Parameters!$D$32))*$A15*Parameters!$D$6/(1-(1/(1+Parameters!$D$32))*$A15))/(1-(1/(1+Parameters!$D$32))*J$4*(1-Parameters!$D$6))-Parameters!$D$19,"NONCONVERGENT - USE FINITE HORIZON")</f>
        <v>-8.87586206896551</v>
      </c>
      <c r="K15" s="7">
        <f>IFERROR(((Parameters!$D$14*(1-Parameters!$D$15)-Parameters!$D$16)*Parameters!$D$6-Parameters!$D$17-Parameters!$D$18*(1/(1+Parameters!$D$32))*$A15*Parameters!$D$6/(1-(1/(1+Parameters!$D$32))*$A15))/(1-(1/(1+Parameters!$D$32))*K$4*(1-Parameters!$D$6))-Parameters!$D$19,"NONCONVERGENT - USE FINITE HORIZON")</f>
        <v>-11.06999999999999</v>
      </c>
      <c r="L15" s="7">
        <f>IFERROR(((Parameters!$D$14*(1-Parameters!$D$15)-Parameters!$D$16)*Parameters!$D$6-Parameters!$D$17-Parameters!$D$18*(1/(1+Parameters!$D$32))*$A15*Parameters!$D$6/(1-(1/(1+Parameters!$D$32))*$A15))/(1-(1/(1+Parameters!$D$32))*L$4*(1-Parameters!$D$6))-Parameters!$D$19,"NONCONVERGENT - USE FINITE HORIZON")</f>
        <v>-16.85454545454543</v>
      </c>
    </row>
  </sheetData>
  <mergeCells count="2">
    <mergeCell ref="A1:L1"/>
    <mergeCell ref="A2:L2"/>
  </mergeCells>
  <conditionalFormatting sqref="B5:L15">
    <cfRule type="colorScale" priority="1">
      <colorScale>
        <cfvo type="min" val="0"/>
        <cfvo type="num" val="0"/>
        <cfvo type="max" val="0"/>
        <color rgb="FFC9655D"/>
        <color rgb="FFFFFFFF"/>
        <color rgb="FF2F9C8B"/>
      </colorScale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G18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/>
  <cols>
    <col min="1" max="1" width="27.7109375" customWidth="1"/>
    <col min="2" max="2" width="28.7109375" customWidth="1"/>
    <col min="3" max="3" width="42.7109375" customWidth="1"/>
    <col min="4" max="4" width="60.7109375" customWidth="1"/>
    <col min="5" max="5" width="58.7109375" customWidth="1"/>
    <col min="6" max="6" width="66.7109375" customWidth="1"/>
    <col min="7" max="7" width="60.7109375" customWidth="1"/>
  </cols>
  <sheetData>
    <row r="1" spans="1:7">
      <c r="A1" s="1" t="s">
        <v>219</v>
      </c>
      <c r="B1" s="1"/>
      <c r="C1" s="1"/>
      <c r="D1" s="1"/>
      <c r="E1" s="1"/>
      <c r="F1" s="1"/>
      <c r="G1" s="1"/>
    </row>
    <row r="4" spans="1:7" ht="45" customHeight="1">
      <c r="A4" s="4" t="s">
        <v>212</v>
      </c>
      <c r="B4" s="4" t="s">
        <v>213</v>
      </c>
      <c r="C4" s="4" t="s">
        <v>214</v>
      </c>
      <c r="D4" s="4" t="s">
        <v>215</v>
      </c>
      <c r="E4" s="4" t="s">
        <v>216</v>
      </c>
      <c r="F4" s="4" t="s">
        <v>217</v>
      </c>
      <c r="G4" s="4" t="s">
        <v>218</v>
      </c>
    </row>
    <row r="5" spans="1:7" ht="75" customHeight="1">
      <c r="A5" s="2" t="s">
        <v>220</v>
      </c>
      <c r="B5" s="2" t="s">
        <v>221</v>
      </c>
      <c r="C5" s="2" t="s">
        <v>222</v>
      </c>
      <c r="D5" s="2" t="s">
        <v>223</v>
      </c>
      <c r="E5" s="2" t="s">
        <v>224</v>
      </c>
      <c r="F5" s="2" t="s">
        <v>225</v>
      </c>
      <c r="G5" s="2" t="s">
        <v>226</v>
      </c>
    </row>
    <row r="6" spans="1:7" ht="75" customHeight="1">
      <c r="A6" s="2" t="s">
        <v>227</v>
      </c>
      <c r="B6" s="2" t="s">
        <v>221</v>
      </c>
      <c r="C6" s="2" t="s">
        <v>228</v>
      </c>
      <c r="D6" s="2" t="s">
        <v>229</v>
      </c>
      <c r="E6" s="2" t="s">
        <v>230</v>
      </c>
      <c r="F6" s="2" t="s">
        <v>231</v>
      </c>
      <c r="G6" s="2" t="s">
        <v>232</v>
      </c>
    </row>
    <row r="7" spans="1:7" ht="75" customHeight="1">
      <c r="A7" s="2" t="s">
        <v>233</v>
      </c>
      <c r="B7" s="2" t="s">
        <v>221</v>
      </c>
      <c r="C7" s="2" t="s">
        <v>234</v>
      </c>
      <c r="D7" s="2" t="s">
        <v>235</v>
      </c>
      <c r="E7" s="2" t="s">
        <v>236</v>
      </c>
      <c r="F7" s="2" t="s">
        <v>237</v>
      </c>
      <c r="G7" s="2" t="s">
        <v>238</v>
      </c>
    </row>
    <row r="8" spans="1:7" ht="75" customHeight="1">
      <c r="A8" s="2" t="s">
        <v>239</v>
      </c>
      <c r="B8" s="2" t="s">
        <v>221</v>
      </c>
      <c r="C8" s="2" t="s">
        <v>240</v>
      </c>
      <c r="D8" s="2" t="s">
        <v>241</v>
      </c>
      <c r="E8" s="2" t="s">
        <v>242</v>
      </c>
      <c r="F8" s="2" t="s">
        <v>243</v>
      </c>
      <c r="G8" s="2" t="s">
        <v>244</v>
      </c>
    </row>
    <row r="9" spans="1:7" ht="75" customHeight="1">
      <c r="A9" s="2" t="s">
        <v>245</v>
      </c>
      <c r="B9" s="2" t="s">
        <v>246</v>
      </c>
      <c r="C9" s="2" t="s">
        <v>247</v>
      </c>
      <c r="D9" s="2" t="s">
        <v>248</v>
      </c>
      <c r="E9" s="2" t="s">
        <v>249</v>
      </c>
      <c r="F9" s="2" t="s">
        <v>250</v>
      </c>
      <c r="G9" s="2" t="s">
        <v>251</v>
      </c>
    </row>
    <row r="10" spans="1:7" ht="75" customHeight="1">
      <c r="A10" s="2" t="s">
        <v>252</v>
      </c>
      <c r="B10" s="2" t="s">
        <v>221</v>
      </c>
      <c r="C10" s="2" t="s">
        <v>253</v>
      </c>
      <c r="D10" s="2" t="s">
        <v>254</v>
      </c>
      <c r="E10" s="2" t="s">
        <v>255</v>
      </c>
      <c r="F10" s="2" t="s">
        <v>256</v>
      </c>
      <c r="G10" s="2" t="s">
        <v>257</v>
      </c>
    </row>
    <row r="11" spans="1:7" ht="75" customHeight="1">
      <c r="A11" s="2" t="s">
        <v>258</v>
      </c>
      <c r="B11" s="2" t="s">
        <v>221</v>
      </c>
      <c r="C11" s="2" t="s">
        <v>259</v>
      </c>
      <c r="D11" s="2" t="s">
        <v>260</v>
      </c>
      <c r="E11" s="2" t="s">
        <v>261</v>
      </c>
      <c r="F11" s="2" t="s">
        <v>262</v>
      </c>
      <c r="G11" s="2" t="s">
        <v>263</v>
      </c>
    </row>
    <row r="12" spans="1:7" ht="75" customHeight="1">
      <c r="A12" s="2" t="s">
        <v>264</v>
      </c>
      <c r="B12" s="2" t="s">
        <v>265</v>
      </c>
      <c r="C12" s="2" t="s">
        <v>266</v>
      </c>
      <c r="D12" s="2" t="s">
        <v>267</v>
      </c>
      <c r="E12" s="2" t="s">
        <v>268</v>
      </c>
      <c r="F12" s="2" t="s">
        <v>269</v>
      </c>
      <c r="G12" s="2" t="s">
        <v>270</v>
      </c>
    </row>
    <row r="13" spans="1:7" ht="75" customHeight="1">
      <c r="A13" s="2" t="s">
        <v>271</v>
      </c>
      <c r="B13" s="2" t="s">
        <v>221</v>
      </c>
      <c r="C13" s="2" t="s">
        <v>272</v>
      </c>
      <c r="D13" s="2" t="s">
        <v>273</v>
      </c>
      <c r="E13" s="2" t="s">
        <v>274</v>
      </c>
      <c r="F13" s="2" t="s">
        <v>275</v>
      </c>
      <c r="G13" s="2" t="s">
        <v>276</v>
      </c>
    </row>
    <row r="14" spans="1:7" ht="75" customHeight="1">
      <c r="A14" s="2" t="s">
        <v>277</v>
      </c>
      <c r="B14" s="2" t="s">
        <v>221</v>
      </c>
      <c r="C14" s="2" t="s">
        <v>278</v>
      </c>
      <c r="D14" s="2" t="s">
        <v>279</v>
      </c>
      <c r="E14" s="2" t="s">
        <v>280</v>
      </c>
      <c r="F14" s="2" t="s">
        <v>281</v>
      </c>
      <c r="G14" s="2" t="s">
        <v>282</v>
      </c>
    </row>
    <row r="15" spans="1:7" ht="75" customHeight="1">
      <c r="A15" s="2" t="s">
        <v>283</v>
      </c>
      <c r="B15" s="2" t="s">
        <v>284</v>
      </c>
      <c r="C15" s="2" t="s">
        <v>285</v>
      </c>
      <c r="D15" s="2" t="s">
        <v>286</v>
      </c>
      <c r="E15" s="2" t="s">
        <v>287</v>
      </c>
      <c r="F15" s="2" t="s">
        <v>288</v>
      </c>
      <c r="G15" s="2" t="s">
        <v>289</v>
      </c>
    </row>
    <row r="16" spans="1:7" ht="75" customHeight="1">
      <c r="A16" s="2" t="s">
        <v>290</v>
      </c>
      <c r="B16" s="2" t="s">
        <v>291</v>
      </c>
      <c r="C16" s="2" t="s">
        <v>292</v>
      </c>
      <c r="D16" s="2" t="s">
        <v>293</v>
      </c>
      <c r="E16" s="2" t="s">
        <v>294</v>
      </c>
      <c r="F16" s="2" t="s">
        <v>295</v>
      </c>
      <c r="G16" s="2" t="s">
        <v>296</v>
      </c>
    </row>
    <row r="17" spans="1:7" ht="75" customHeight="1">
      <c r="A17" s="2" t="s">
        <v>297</v>
      </c>
      <c r="B17" s="2" t="s">
        <v>298</v>
      </c>
      <c r="C17" s="2" t="s">
        <v>299</v>
      </c>
      <c r="D17" s="2" t="s">
        <v>300</v>
      </c>
      <c r="E17" s="2" t="s">
        <v>301</v>
      </c>
      <c r="F17" s="2" t="s">
        <v>302</v>
      </c>
      <c r="G17" s="2" t="s">
        <v>303</v>
      </c>
    </row>
    <row r="18" spans="1:7" ht="75" customHeight="1">
      <c r="A18" s="2" t="s">
        <v>304</v>
      </c>
      <c r="B18" s="2" t="s">
        <v>305</v>
      </c>
      <c r="C18" s="2" t="s">
        <v>306</v>
      </c>
      <c r="D18" s="2" t="s">
        <v>307</v>
      </c>
      <c r="E18" s="2" t="s">
        <v>308</v>
      </c>
      <c r="F18" s="2" t="s">
        <v>309</v>
      </c>
      <c r="G18" s="2" t="s">
        <v>310</v>
      </c>
    </row>
  </sheetData>
  <mergeCells count="1">
    <mergeCell ref="A1:G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T60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/>
  <cols>
    <col min="1" max="1" width="27.7109375" customWidth="1"/>
    <col min="2" max="3" width="21.7109375" customWidth="1"/>
    <col min="4" max="4" width="16.7109375" customWidth="1"/>
    <col min="5" max="6" width="22.7109375" customWidth="1"/>
    <col min="7" max="7" width="24.7109375" customWidth="1"/>
    <col min="8" max="15" width="20.7109375" customWidth="1"/>
    <col min="16" max="16" width="23.7109375" customWidth="1"/>
    <col min="17" max="17" width="24.7109375" customWidth="1"/>
    <col min="18" max="18" width="20.7109375" customWidth="1"/>
    <col min="19" max="19" width="26.7109375" customWidth="1"/>
    <col min="20" max="20" width="55.7109375" customWidth="1"/>
  </cols>
  <sheetData>
    <row r="1" spans="1:20">
      <c r="A1" s="1" t="s">
        <v>330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>
      <c r="A2" s="3" t="s">
        <v>331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4" spans="1:20" ht="45" customHeight="1">
      <c r="A4" s="4" t="s">
        <v>212</v>
      </c>
      <c r="B4" s="4" t="s">
        <v>311</v>
      </c>
      <c r="C4" s="4" t="s">
        <v>312</v>
      </c>
      <c r="D4" s="4" t="s">
        <v>313</v>
      </c>
      <c r="E4" s="4" t="s">
        <v>314</v>
      </c>
      <c r="F4" s="4" t="s">
        <v>315</v>
      </c>
      <c r="G4" s="4" t="s">
        <v>316</v>
      </c>
      <c r="H4" s="4" t="s">
        <v>317</v>
      </c>
      <c r="I4" s="4" t="s">
        <v>318</v>
      </c>
      <c r="J4" s="4" t="s">
        <v>319</v>
      </c>
      <c r="K4" s="4" t="s">
        <v>320</v>
      </c>
      <c r="L4" s="4" t="s">
        <v>321</v>
      </c>
      <c r="M4" s="4" t="s">
        <v>322</v>
      </c>
      <c r="N4" s="4" t="s">
        <v>323</v>
      </c>
      <c r="O4" s="4" t="s">
        <v>324</v>
      </c>
      <c r="P4" s="4" t="s">
        <v>325</v>
      </c>
      <c r="Q4" s="4" t="s">
        <v>326</v>
      </c>
      <c r="R4" s="4" t="s">
        <v>327</v>
      </c>
      <c r="S4" s="4" t="s">
        <v>328</v>
      </c>
      <c r="T4" s="4" t="s">
        <v>329</v>
      </c>
    </row>
    <row r="5" spans="1:20" ht="42" customHeight="1">
      <c r="A5" s="2" t="s">
        <v>220</v>
      </c>
      <c r="B5" s="2" t="s">
        <v>332</v>
      </c>
      <c r="C5" s="2" t="s">
        <v>332</v>
      </c>
      <c r="D5" s="2" t="s">
        <v>333</v>
      </c>
      <c r="E5" s="5"/>
      <c r="F5" s="5"/>
      <c r="G5" s="5"/>
      <c r="H5" s="5"/>
      <c r="I5" s="5"/>
      <c r="J5" s="5"/>
      <c r="K5" s="5"/>
      <c r="L5" s="5"/>
      <c r="M5" s="5"/>
      <c r="N5" s="5"/>
      <c r="O5" s="7" t="str">
        <f>IF(AND(H5&lt;&gt;"",I5&lt;&gt;""),H5*I5,"NEED DATA")</f>
        <v>NEED DATA</v>
      </c>
      <c r="P5" s="7" t="str">
        <f>IF(AND(H5&lt;&gt;"",I5&lt;&gt;"",J5&lt;&gt;"",K5&lt;&gt;"",L5&lt;&gt;"",M5&lt;&gt;"",N5&lt;&gt;""),H5*I5*(J5*(1-K5)-L5)-M5,"NEED DATA")</f>
        <v>NEED DATA</v>
      </c>
      <c r="Q5" s="7" t="str">
        <f>IF(AND(H5&lt;&gt;"",I5&lt;&gt;"",J5&lt;&gt;"",K5&lt;&gt;"",L5&lt;&gt;"",M5&lt;&gt;"",N5&lt;&gt;""),P5-N5,"NEED DATA")</f>
        <v>NEED DATA</v>
      </c>
      <c r="R5" s="5"/>
      <c r="S5" s="7" t="str">
        <f>IF(AND(AND(H5&lt;&gt;"",I5&lt;&gt;"",J5&lt;&gt;"",K5&lt;&gt;"",L5&lt;&gt;"",M5&lt;&gt;"",N5&lt;&gt;""),R5&lt;&gt;""),IF(Q5&gt;0,R5/Q5,"NO POSITIVE CONTRIBUTION"),"NEED DATA")</f>
        <v>NEED DATA</v>
      </c>
      <c r="T5" s="2" t="s">
        <v>334</v>
      </c>
    </row>
    <row r="6" spans="1:20" ht="42" customHeight="1">
      <c r="A6" s="2" t="s">
        <v>220</v>
      </c>
      <c r="B6" s="2" t="s">
        <v>335</v>
      </c>
      <c r="C6" s="2" t="s">
        <v>335</v>
      </c>
      <c r="D6" s="2" t="s">
        <v>336</v>
      </c>
      <c r="E6" s="5"/>
      <c r="F6" s="5"/>
      <c r="G6" s="5"/>
      <c r="H6" s="5"/>
      <c r="I6" s="5"/>
      <c r="J6" s="5"/>
      <c r="K6" s="5"/>
      <c r="L6" s="5"/>
      <c r="M6" s="5"/>
      <c r="N6" s="5"/>
      <c r="O6" s="7" t="str">
        <f>IF(AND(H6&lt;&gt;"",I6&lt;&gt;""),H6*I6,"NEED DATA")</f>
        <v>NEED DATA</v>
      </c>
      <c r="P6" s="7" t="str">
        <f>IF(AND(H6&lt;&gt;"",I6&lt;&gt;"",J6&lt;&gt;"",K6&lt;&gt;"",L6&lt;&gt;"",M6&lt;&gt;"",N6&lt;&gt;""),H6*I6*(J6*(1-K6)-L6)-M6,"NEED DATA")</f>
        <v>NEED DATA</v>
      </c>
      <c r="Q6" s="7" t="str">
        <f>IF(AND(H6&lt;&gt;"",I6&lt;&gt;"",J6&lt;&gt;"",K6&lt;&gt;"",L6&lt;&gt;"",M6&lt;&gt;"",N6&lt;&gt;""),P6-N6,"NEED DATA")</f>
        <v>NEED DATA</v>
      </c>
      <c r="R6" s="5"/>
      <c r="S6" s="7" t="str">
        <f>IF(AND(AND(H6&lt;&gt;"",I6&lt;&gt;"",J6&lt;&gt;"",K6&lt;&gt;"",L6&lt;&gt;"",M6&lt;&gt;"",N6&lt;&gt;""),R6&lt;&gt;""),IF(Q6&gt;0,R6/Q6,"NO POSITIVE CONTRIBUTION"),"NEED DATA")</f>
        <v>NEED DATA</v>
      </c>
      <c r="T6" s="2" t="s">
        <v>334</v>
      </c>
    </row>
    <row r="7" spans="1:20" ht="42" customHeight="1">
      <c r="A7" s="2" t="s">
        <v>220</v>
      </c>
      <c r="B7" s="2" t="s">
        <v>337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7" t="str">
        <f>IF(AND(H7&lt;&gt;"",I7&lt;&gt;""),H7*I7,"NEED DATA")</f>
        <v>NEED DATA</v>
      </c>
      <c r="P7" s="7" t="str">
        <f>IF(AND(H7&lt;&gt;"",I7&lt;&gt;"",J7&lt;&gt;"",K7&lt;&gt;"",L7&lt;&gt;"",M7&lt;&gt;"",N7&lt;&gt;""),H7*I7*(J7*(1-K7)-L7)-M7,"NEED DATA")</f>
        <v>NEED DATA</v>
      </c>
      <c r="Q7" s="7" t="str">
        <f>IF(AND(H7&lt;&gt;"",I7&lt;&gt;"",J7&lt;&gt;"",K7&lt;&gt;"",L7&lt;&gt;"",M7&lt;&gt;"",N7&lt;&gt;""),P7-N7,"NEED DATA")</f>
        <v>NEED DATA</v>
      </c>
      <c r="R7" s="5"/>
      <c r="S7" s="7" t="str">
        <f>IF(AND(AND(H7&lt;&gt;"",I7&lt;&gt;"",J7&lt;&gt;"",K7&lt;&gt;"",L7&lt;&gt;"",M7&lt;&gt;"",N7&lt;&gt;""),R7&lt;&gt;""),IF(Q7&gt;0,R7/Q7,"NO POSITIVE CONTRIBUTION"),"NEED DATA")</f>
        <v>NEED DATA</v>
      </c>
      <c r="T7" s="2" t="s">
        <v>334</v>
      </c>
    </row>
    <row r="8" spans="1:20" ht="42" customHeight="1">
      <c r="A8" s="2" t="s">
        <v>220</v>
      </c>
      <c r="B8" s="2" t="s">
        <v>338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7" t="str">
        <f>IF(AND(H8&lt;&gt;"",I8&lt;&gt;""),H8*I8,"NEED DATA")</f>
        <v>NEED DATA</v>
      </c>
      <c r="P8" s="7" t="str">
        <f>IF(AND(H8&lt;&gt;"",I8&lt;&gt;"",J8&lt;&gt;"",K8&lt;&gt;"",L8&lt;&gt;"",M8&lt;&gt;"",N8&lt;&gt;""),H8*I8*(J8*(1-K8)-L8)-M8,"NEED DATA")</f>
        <v>NEED DATA</v>
      </c>
      <c r="Q8" s="7" t="str">
        <f>IF(AND(H8&lt;&gt;"",I8&lt;&gt;"",J8&lt;&gt;"",K8&lt;&gt;"",L8&lt;&gt;"",M8&lt;&gt;"",N8&lt;&gt;""),P8-N8,"NEED DATA")</f>
        <v>NEED DATA</v>
      </c>
      <c r="R8" s="5"/>
      <c r="S8" s="7" t="str">
        <f>IF(AND(AND(H8&lt;&gt;"",I8&lt;&gt;"",J8&lt;&gt;"",K8&lt;&gt;"",L8&lt;&gt;"",M8&lt;&gt;"",N8&lt;&gt;""),R8&lt;&gt;""),IF(Q8&gt;0,R8/Q8,"NO POSITIVE CONTRIBUTION"),"NEED DATA")</f>
        <v>NEED DATA</v>
      </c>
      <c r="T8" s="2" t="s">
        <v>334</v>
      </c>
    </row>
    <row r="9" spans="1:20" ht="42" customHeight="1">
      <c r="A9" s="2" t="s">
        <v>227</v>
      </c>
      <c r="B9" s="2" t="s">
        <v>332</v>
      </c>
      <c r="C9" s="2" t="s">
        <v>332</v>
      </c>
      <c r="D9" s="2" t="s">
        <v>333</v>
      </c>
      <c r="E9" s="5"/>
      <c r="F9" s="5"/>
      <c r="G9" s="5"/>
      <c r="H9" s="5"/>
      <c r="I9" s="5"/>
      <c r="J9" s="5"/>
      <c r="K9" s="5"/>
      <c r="L9" s="5"/>
      <c r="M9" s="5"/>
      <c r="N9" s="5"/>
      <c r="O9" s="7" t="str">
        <f>IF(AND(H9&lt;&gt;"",I9&lt;&gt;""),H9*I9,"NEED DATA")</f>
        <v>NEED DATA</v>
      </c>
      <c r="P9" s="7" t="str">
        <f>IF(AND(H9&lt;&gt;"",I9&lt;&gt;"",J9&lt;&gt;"",K9&lt;&gt;"",L9&lt;&gt;"",M9&lt;&gt;"",N9&lt;&gt;""),H9*I9*(J9*(1-K9)-L9)-M9,"NEED DATA")</f>
        <v>NEED DATA</v>
      </c>
      <c r="Q9" s="7" t="str">
        <f>IF(AND(H9&lt;&gt;"",I9&lt;&gt;"",J9&lt;&gt;"",K9&lt;&gt;"",L9&lt;&gt;"",M9&lt;&gt;"",N9&lt;&gt;""),P9-N9,"NEED DATA")</f>
        <v>NEED DATA</v>
      </c>
      <c r="R9" s="5"/>
      <c r="S9" s="7" t="str">
        <f>IF(AND(AND(H9&lt;&gt;"",I9&lt;&gt;"",J9&lt;&gt;"",K9&lt;&gt;"",L9&lt;&gt;"",M9&lt;&gt;"",N9&lt;&gt;""),R9&lt;&gt;""),IF(Q9&gt;0,R9/Q9,"NO POSITIVE CONTRIBUTION"),"NEED DATA")</f>
        <v>NEED DATA</v>
      </c>
      <c r="T9" s="2" t="s">
        <v>334</v>
      </c>
    </row>
    <row r="10" spans="1:20" ht="42" customHeight="1">
      <c r="A10" s="2" t="s">
        <v>227</v>
      </c>
      <c r="B10" s="2" t="s">
        <v>335</v>
      </c>
      <c r="C10" s="2" t="s">
        <v>335</v>
      </c>
      <c r="D10" s="2" t="s">
        <v>336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7" t="str">
        <f>IF(AND(H10&lt;&gt;"",I10&lt;&gt;""),H10*I10,"NEED DATA")</f>
        <v>NEED DATA</v>
      </c>
      <c r="P10" s="7" t="str">
        <f>IF(AND(H10&lt;&gt;"",I10&lt;&gt;"",J10&lt;&gt;"",K10&lt;&gt;"",L10&lt;&gt;"",M10&lt;&gt;"",N10&lt;&gt;""),H10*I10*(J10*(1-K10)-L10)-M10,"NEED DATA")</f>
        <v>NEED DATA</v>
      </c>
      <c r="Q10" s="7" t="str">
        <f>IF(AND(H10&lt;&gt;"",I10&lt;&gt;"",J10&lt;&gt;"",K10&lt;&gt;"",L10&lt;&gt;"",M10&lt;&gt;"",N10&lt;&gt;""),P10-N10,"NEED DATA")</f>
        <v>NEED DATA</v>
      </c>
      <c r="R10" s="5"/>
      <c r="S10" s="7" t="str">
        <f>IF(AND(AND(H10&lt;&gt;"",I10&lt;&gt;"",J10&lt;&gt;"",K10&lt;&gt;"",L10&lt;&gt;"",M10&lt;&gt;"",N10&lt;&gt;""),R10&lt;&gt;""),IF(Q10&gt;0,R10/Q10,"NO POSITIVE CONTRIBUTION"),"NEED DATA")</f>
        <v>NEED DATA</v>
      </c>
      <c r="T10" s="2" t="s">
        <v>334</v>
      </c>
    </row>
    <row r="11" spans="1:20" ht="42" customHeight="1">
      <c r="A11" s="2" t="s">
        <v>227</v>
      </c>
      <c r="B11" s="2" t="s">
        <v>337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7" t="str">
        <f>IF(AND(H11&lt;&gt;"",I11&lt;&gt;""),H11*I11,"NEED DATA")</f>
        <v>NEED DATA</v>
      </c>
      <c r="P11" s="7" t="str">
        <f>IF(AND(H11&lt;&gt;"",I11&lt;&gt;"",J11&lt;&gt;"",K11&lt;&gt;"",L11&lt;&gt;"",M11&lt;&gt;"",N11&lt;&gt;""),H11*I11*(J11*(1-K11)-L11)-M11,"NEED DATA")</f>
        <v>NEED DATA</v>
      </c>
      <c r="Q11" s="7" t="str">
        <f>IF(AND(H11&lt;&gt;"",I11&lt;&gt;"",J11&lt;&gt;"",K11&lt;&gt;"",L11&lt;&gt;"",M11&lt;&gt;"",N11&lt;&gt;""),P11-N11,"NEED DATA")</f>
        <v>NEED DATA</v>
      </c>
      <c r="R11" s="5"/>
      <c r="S11" s="7" t="str">
        <f>IF(AND(AND(H11&lt;&gt;"",I11&lt;&gt;"",J11&lt;&gt;"",K11&lt;&gt;"",L11&lt;&gt;"",M11&lt;&gt;"",N11&lt;&gt;""),R11&lt;&gt;""),IF(Q11&gt;0,R11/Q11,"NO POSITIVE CONTRIBUTION"),"NEED DATA")</f>
        <v>NEED DATA</v>
      </c>
      <c r="T11" s="2" t="s">
        <v>334</v>
      </c>
    </row>
    <row r="12" spans="1:20" ht="42" customHeight="1">
      <c r="A12" s="2" t="s">
        <v>227</v>
      </c>
      <c r="B12" s="2" t="s">
        <v>338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7" t="str">
        <f>IF(AND(H12&lt;&gt;"",I12&lt;&gt;""),H12*I12,"NEED DATA")</f>
        <v>NEED DATA</v>
      </c>
      <c r="P12" s="7" t="str">
        <f>IF(AND(H12&lt;&gt;"",I12&lt;&gt;"",J12&lt;&gt;"",K12&lt;&gt;"",L12&lt;&gt;"",M12&lt;&gt;"",N12&lt;&gt;""),H12*I12*(J12*(1-K12)-L12)-M12,"NEED DATA")</f>
        <v>NEED DATA</v>
      </c>
      <c r="Q12" s="7" t="str">
        <f>IF(AND(H12&lt;&gt;"",I12&lt;&gt;"",J12&lt;&gt;"",K12&lt;&gt;"",L12&lt;&gt;"",M12&lt;&gt;"",N12&lt;&gt;""),P12-N12,"NEED DATA")</f>
        <v>NEED DATA</v>
      </c>
      <c r="R12" s="5"/>
      <c r="S12" s="7" t="str">
        <f>IF(AND(AND(H12&lt;&gt;"",I12&lt;&gt;"",J12&lt;&gt;"",K12&lt;&gt;"",L12&lt;&gt;"",M12&lt;&gt;"",N12&lt;&gt;""),R12&lt;&gt;""),IF(Q12&gt;0,R12/Q12,"NO POSITIVE CONTRIBUTION"),"NEED DATA")</f>
        <v>NEED DATA</v>
      </c>
      <c r="T12" s="2" t="s">
        <v>334</v>
      </c>
    </row>
    <row r="13" spans="1:20" ht="42" customHeight="1">
      <c r="A13" s="2" t="s">
        <v>233</v>
      </c>
      <c r="B13" s="2" t="s">
        <v>332</v>
      </c>
      <c r="C13" s="2" t="s">
        <v>332</v>
      </c>
      <c r="D13" s="2" t="s">
        <v>333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7" t="str">
        <f>IF(AND(H13&lt;&gt;"",I13&lt;&gt;""),H13*I13,"NEED DATA")</f>
        <v>NEED DATA</v>
      </c>
      <c r="P13" s="7" t="str">
        <f>IF(AND(H13&lt;&gt;"",I13&lt;&gt;"",J13&lt;&gt;"",K13&lt;&gt;"",L13&lt;&gt;"",M13&lt;&gt;"",N13&lt;&gt;""),H13*I13*(J13*(1-K13)-L13)-M13,"NEED DATA")</f>
        <v>NEED DATA</v>
      </c>
      <c r="Q13" s="7" t="str">
        <f>IF(AND(H13&lt;&gt;"",I13&lt;&gt;"",J13&lt;&gt;"",K13&lt;&gt;"",L13&lt;&gt;"",M13&lt;&gt;"",N13&lt;&gt;""),P13-N13,"NEED DATA")</f>
        <v>NEED DATA</v>
      </c>
      <c r="R13" s="5"/>
      <c r="S13" s="7" t="str">
        <f>IF(AND(AND(H13&lt;&gt;"",I13&lt;&gt;"",J13&lt;&gt;"",K13&lt;&gt;"",L13&lt;&gt;"",M13&lt;&gt;"",N13&lt;&gt;""),R13&lt;&gt;""),IF(Q13&gt;0,R13/Q13,"NO POSITIVE CONTRIBUTION"),"NEED DATA")</f>
        <v>NEED DATA</v>
      </c>
      <c r="T13" s="2" t="s">
        <v>334</v>
      </c>
    </row>
    <row r="14" spans="1:20" ht="42" customHeight="1">
      <c r="A14" s="2" t="s">
        <v>233</v>
      </c>
      <c r="B14" s="2" t="s">
        <v>335</v>
      </c>
      <c r="C14" s="2" t="s">
        <v>335</v>
      </c>
      <c r="D14" s="2" t="s">
        <v>336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7" t="str">
        <f>IF(AND(H14&lt;&gt;"",I14&lt;&gt;""),H14*I14,"NEED DATA")</f>
        <v>NEED DATA</v>
      </c>
      <c r="P14" s="7" t="str">
        <f>IF(AND(H14&lt;&gt;"",I14&lt;&gt;"",J14&lt;&gt;"",K14&lt;&gt;"",L14&lt;&gt;"",M14&lt;&gt;"",N14&lt;&gt;""),H14*I14*(J14*(1-K14)-L14)-M14,"NEED DATA")</f>
        <v>NEED DATA</v>
      </c>
      <c r="Q14" s="7" t="str">
        <f>IF(AND(H14&lt;&gt;"",I14&lt;&gt;"",J14&lt;&gt;"",K14&lt;&gt;"",L14&lt;&gt;"",M14&lt;&gt;"",N14&lt;&gt;""),P14-N14,"NEED DATA")</f>
        <v>NEED DATA</v>
      </c>
      <c r="R14" s="5"/>
      <c r="S14" s="7" t="str">
        <f>IF(AND(AND(H14&lt;&gt;"",I14&lt;&gt;"",J14&lt;&gt;"",K14&lt;&gt;"",L14&lt;&gt;"",M14&lt;&gt;"",N14&lt;&gt;""),R14&lt;&gt;""),IF(Q14&gt;0,R14/Q14,"NO POSITIVE CONTRIBUTION"),"NEED DATA")</f>
        <v>NEED DATA</v>
      </c>
      <c r="T14" s="2" t="s">
        <v>334</v>
      </c>
    </row>
    <row r="15" spans="1:20" ht="42" customHeight="1">
      <c r="A15" s="2" t="s">
        <v>233</v>
      </c>
      <c r="B15" s="2" t="s">
        <v>337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7" t="str">
        <f>IF(AND(H15&lt;&gt;"",I15&lt;&gt;""),H15*I15,"NEED DATA")</f>
        <v>NEED DATA</v>
      </c>
      <c r="P15" s="7" t="str">
        <f>IF(AND(H15&lt;&gt;"",I15&lt;&gt;"",J15&lt;&gt;"",K15&lt;&gt;"",L15&lt;&gt;"",M15&lt;&gt;"",N15&lt;&gt;""),H15*I15*(J15*(1-K15)-L15)-M15,"NEED DATA")</f>
        <v>NEED DATA</v>
      </c>
      <c r="Q15" s="7" t="str">
        <f>IF(AND(H15&lt;&gt;"",I15&lt;&gt;"",J15&lt;&gt;"",K15&lt;&gt;"",L15&lt;&gt;"",M15&lt;&gt;"",N15&lt;&gt;""),P15-N15,"NEED DATA")</f>
        <v>NEED DATA</v>
      </c>
      <c r="R15" s="5"/>
      <c r="S15" s="7" t="str">
        <f>IF(AND(AND(H15&lt;&gt;"",I15&lt;&gt;"",J15&lt;&gt;"",K15&lt;&gt;"",L15&lt;&gt;"",M15&lt;&gt;"",N15&lt;&gt;""),R15&lt;&gt;""),IF(Q15&gt;0,R15/Q15,"NO POSITIVE CONTRIBUTION"),"NEED DATA")</f>
        <v>NEED DATA</v>
      </c>
      <c r="T15" s="2" t="s">
        <v>334</v>
      </c>
    </row>
    <row r="16" spans="1:20" ht="42" customHeight="1">
      <c r="A16" s="2" t="s">
        <v>233</v>
      </c>
      <c r="B16" s="2" t="s">
        <v>338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7" t="str">
        <f>IF(AND(H16&lt;&gt;"",I16&lt;&gt;""),H16*I16,"NEED DATA")</f>
        <v>NEED DATA</v>
      </c>
      <c r="P16" s="7" t="str">
        <f>IF(AND(H16&lt;&gt;"",I16&lt;&gt;"",J16&lt;&gt;"",K16&lt;&gt;"",L16&lt;&gt;"",M16&lt;&gt;"",N16&lt;&gt;""),H16*I16*(J16*(1-K16)-L16)-M16,"NEED DATA")</f>
        <v>NEED DATA</v>
      </c>
      <c r="Q16" s="7" t="str">
        <f>IF(AND(H16&lt;&gt;"",I16&lt;&gt;"",J16&lt;&gt;"",K16&lt;&gt;"",L16&lt;&gt;"",M16&lt;&gt;"",N16&lt;&gt;""),P16-N16,"NEED DATA")</f>
        <v>NEED DATA</v>
      </c>
      <c r="R16" s="5"/>
      <c r="S16" s="7" t="str">
        <f>IF(AND(AND(H16&lt;&gt;"",I16&lt;&gt;"",J16&lt;&gt;"",K16&lt;&gt;"",L16&lt;&gt;"",M16&lt;&gt;"",N16&lt;&gt;""),R16&lt;&gt;""),IF(Q16&gt;0,R16/Q16,"NO POSITIVE CONTRIBUTION"),"NEED DATA")</f>
        <v>NEED DATA</v>
      </c>
      <c r="T16" s="2" t="s">
        <v>334</v>
      </c>
    </row>
    <row r="17" spans="1:20" ht="42" customHeight="1">
      <c r="A17" s="2" t="s">
        <v>239</v>
      </c>
      <c r="B17" s="2" t="s">
        <v>332</v>
      </c>
      <c r="C17" s="2" t="s">
        <v>332</v>
      </c>
      <c r="D17" s="2" t="s">
        <v>333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7" t="str">
        <f>IF(AND(H17&lt;&gt;"",I17&lt;&gt;""),H17*I17,"NEED DATA")</f>
        <v>NEED DATA</v>
      </c>
      <c r="P17" s="7" t="str">
        <f>IF(AND(H17&lt;&gt;"",I17&lt;&gt;"",J17&lt;&gt;"",K17&lt;&gt;"",L17&lt;&gt;"",M17&lt;&gt;"",N17&lt;&gt;""),H17*I17*(J17*(1-K17)-L17)-M17,"NEED DATA")</f>
        <v>NEED DATA</v>
      </c>
      <c r="Q17" s="7" t="str">
        <f>IF(AND(H17&lt;&gt;"",I17&lt;&gt;"",J17&lt;&gt;"",K17&lt;&gt;"",L17&lt;&gt;"",M17&lt;&gt;"",N17&lt;&gt;""),P17-N17,"NEED DATA")</f>
        <v>NEED DATA</v>
      </c>
      <c r="R17" s="5"/>
      <c r="S17" s="7" t="str">
        <f>IF(AND(AND(H17&lt;&gt;"",I17&lt;&gt;"",J17&lt;&gt;"",K17&lt;&gt;"",L17&lt;&gt;"",M17&lt;&gt;"",N17&lt;&gt;""),R17&lt;&gt;""),IF(Q17&gt;0,R17/Q17,"NO POSITIVE CONTRIBUTION"),"NEED DATA")</f>
        <v>NEED DATA</v>
      </c>
      <c r="T17" s="2" t="s">
        <v>334</v>
      </c>
    </row>
    <row r="18" spans="1:20" ht="42" customHeight="1">
      <c r="A18" s="2" t="s">
        <v>239</v>
      </c>
      <c r="B18" s="2" t="s">
        <v>335</v>
      </c>
      <c r="C18" s="2" t="s">
        <v>335</v>
      </c>
      <c r="D18" s="2" t="s">
        <v>336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7" t="str">
        <f>IF(AND(H18&lt;&gt;"",I18&lt;&gt;""),H18*I18,"NEED DATA")</f>
        <v>NEED DATA</v>
      </c>
      <c r="P18" s="7" t="str">
        <f>IF(AND(H18&lt;&gt;"",I18&lt;&gt;"",J18&lt;&gt;"",K18&lt;&gt;"",L18&lt;&gt;"",M18&lt;&gt;"",N18&lt;&gt;""),H18*I18*(J18*(1-K18)-L18)-M18,"NEED DATA")</f>
        <v>NEED DATA</v>
      </c>
      <c r="Q18" s="7" t="str">
        <f>IF(AND(H18&lt;&gt;"",I18&lt;&gt;"",J18&lt;&gt;"",K18&lt;&gt;"",L18&lt;&gt;"",M18&lt;&gt;"",N18&lt;&gt;""),P18-N18,"NEED DATA")</f>
        <v>NEED DATA</v>
      </c>
      <c r="R18" s="5"/>
      <c r="S18" s="7" t="str">
        <f>IF(AND(AND(H18&lt;&gt;"",I18&lt;&gt;"",J18&lt;&gt;"",K18&lt;&gt;"",L18&lt;&gt;"",M18&lt;&gt;"",N18&lt;&gt;""),R18&lt;&gt;""),IF(Q18&gt;0,R18/Q18,"NO POSITIVE CONTRIBUTION"),"NEED DATA")</f>
        <v>NEED DATA</v>
      </c>
      <c r="T18" s="2" t="s">
        <v>334</v>
      </c>
    </row>
    <row r="19" spans="1:20" ht="42" customHeight="1">
      <c r="A19" s="2" t="s">
        <v>239</v>
      </c>
      <c r="B19" s="2" t="s">
        <v>337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7" t="str">
        <f>IF(AND(H19&lt;&gt;"",I19&lt;&gt;""),H19*I19,"NEED DATA")</f>
        <v>NEED DATA</v>
      </c>
      <c r="P19" s="7" t="str">
        <f>IF(AND(H19&lt;&gt;"",I19&lt;&gt;"",J19&lt;&gt;"",K19&lt;&gt;"",L19&lt;&gt;"",M19&lt;&gt;"",N19&lt;&gt;""),H19*I19*(J19*(1-K19)-L19)-M19,"NEED DATA")</f>
        <v>NEED DATA</v>
      </c>
      <c r="Q19" s="7" t="str">
        <f>IF(AND(H19&lt;&gt;"",I19&lt;&gt;"",J19&lt;&gt;"",K19&lt;&gt;"",L19&lt;&gt;"",M19&lt;&gt;"",N19&lt;&gt;""),P19-N19,"NEED DATA")</f>
        <v>NEED DATA</v>
      </c>
      <c r="R19" s="5"/>
      <c r="S19" s="7" t="str">
        <f>IF(AND(AND(H19&lt;&gt;"",I19&lt;&gt;"",J19&lt;&gt;"",K19&lt;&gt;"",L19&lt;&gt;"",M19&lt;&gt;"",N19&lt;&gt;""),R19&lt;&gt;""),IF(Q19&gt;0,R19/Q19,"NO POSITIVE CONTRIBUTION"),"NEED DATA")</f>
        <v>NEED DATA</v>
      </c>
      <c r="T19" s="2" t="s">
        <v>334</v>
      </c>
    </row>
    <row r="20" spans="1:20" ht="42" customHeight="1">
      <c r="A20" s="2" t="s">
        <v>239</v>
      </c>
      <c r="B20" s="2" t="s">
        <v>338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7" t="str">
        <f>IF(AND(H20&lt;&gt;"",I20&lt;&gt;""),H20*I20,"NEED DATA")</f>
        <v>NEED DATA</v>
      </c>
      <c r="P20" s="7" t="str">
        <f>IF(AND(H20&lt;&gt;"",I20&lt;&gt;"",J20&lt;&gt;"",K20&lt;&gt;"",L20&lt;&gt;"",M20&lt;&gt;"",N20&lt;&gt;""),H20*I20*(J20*(1-K20)-L20)-M20,"NEED DATA")</f>
        <v>NEED DATA</v>
      </c>
      <c r="Q20" s="7" t="str">
        <f>IF(AND(H20&lt;&gt;"",I20&lt;&gt;"",J20&lt;&gt;"",K20&lt;&gt;"",L20&lt;&gt;"",M20&lt;&gt;"",N20&lt;&gt;""),P20-N20,"NEED DATA")</f>
        <v>NEED DATA</v>
      </c>
      <c r="R20" s="5"/>
      <c r="S20" s="7" t="str">
        <f>IF(AND(AND(H20&lt;&gt;"",I20&lt;&gt;"",J20&lt;&gt;"",K20&lt;&gt;"",L20&lt;&gt;"",M20&lt;&gt;"",N20&lt;&gt;""),R20&lt;&gt;""),IF(Q20&gt;0,R20/Q20,"NO POSITIVE CONTRIBUTION"),"NEED DATA")</f>
        <v>NEED DATA</v>
      </c>
      <c r="T20" s="2" t="s">
        <v>334</v>
      </c>
    </row>
    <row r="21" spans="1:20" ht="42" customHeight="1">
      <c r="A21" s="2" t="s">
        <v>245</v>
      </c>
      <c r="B21" s="2" t="s">
        <v>332</v>
      </c>
      <c r="C21" s="2" t="s">
        <v>332</v>
      </c>
      <c r="D21" s="2" t="s">
        <v>333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7" t="str">
        <f>IF(AND(H21&lt;&gt;"",I21&lt;&gt;""),H21*I21,"NEED DATA")</f>
        <v>NEED DATA</v>
      </c>
      <c r="P21" s="7" t="str">
        <f>IF(AND(H21&lt;&gt;"",I21&lt;&gt;"",J21&lt;&gt;"",K21&lt;&gt;"",L21&lt;&gt;"",M21&lt;&gt;"",N21&lt;&gt;""),H21*I21*(J21*(1-K21)-L21)-M21,"NEED DATA")</f>
        <v>NEED DATA</v>
      </c>
      <c r="Q21" s="7" t="str">
        <f>IF(AND(H21&lt;&gt;"",I21&lt;&gt;"",J21&lt;&gt;"",K21&lt;&gt;"",L21&lt;&gt;"",M21&lt;&gt;"",N21&lt;&gt;""),P21-N21,"NEED DATA")</f>
        <v>NEED DATA</v>
      </c>
      <c r="R21" s="5"/>
      <c r="S21" s="7" t="str">
        <f>IF(AND(AND(H21&lt;&gt;"",I21&lt;&gt;"",J21&lt;&gt;"",K21&lt;&gt;"",L21&lt;&gt;"",M21&lt;&gt;"",N21&lt;&gt;""),R21&lt;&gt;""),IF(Q21&gt;0,R21/Q21,"NO POSITIVE CONTRIBUTION"),"NEED DATA")</f>
        <v>NEED DATA</v>
      </c>
      <c r="T21" s="2" t="s">
        <v>334</v>
      </c>
    </row>
    <row r="22" spans="1:20" ht="42" customHeight="1">
      <c r="A22" s="2" t="s">
        <v>245</v>
      </c>
      <c r="B22" s="2" t="s">
        <v>335</v>
      </c>
      <c r="C22" s="2" t="s">
        <v>335</v>
      </c>
      <c r="D22" s="2" t="s">
        <v>336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7" t="str">
        <f>IF(AND(H22&lt;&gt;"",I22&lt;&gt;""),H22*I22,"NEED DATA")</f>
        <v>NEED DATA</v>
      </c>
      <c r="P22" s="7" t="str">
        <f>IF(AND(H22&lt;&gt;"",I22&lt;&gt;"",J22&lt;&gt;"",K22&lt;&gt;"",L22&lt;&gt;"",M22&lt;&gt;"",N22&lt;&gt;""),H22*I22*(J22*(1-K22)-L22)-M22,"NEED DATA")</f>
        <v>NEED DATA</v>
      </c>
      <c r="Q22" s="7" t="str">
        <f>IF(AND(H22&lt;&gt;"",I22&lt;&gt;"",J22&lt;&gt;"",K22&lt;&gt;"",L22&lt;&gt;"",M22&lt;&gt;"",N22&lt;&gt;""),P22-N22,"NEED DATA")</f>
        <v>NEED DATA</v>
      </c>
      <c r="R22" s="5"/>
      <c r="S22" s="7" t="str">
        <f>IF(AND(AND(H22&lt;&gt;"",I22&lt;&gt;"",J22&lt;&gt;"",K22&lt;&gt;"",L22&lt;&gt;"",M22&lt;&gt;"",N22&lt;&gt;""),R22&lt;&gt;""),IF(Q22&gt;0,R22/Q22,"NO POSITIVE CONTRIBUTION"),"NEED DATA")</f>
        <v>NEED DATA</v>
      </c>
      <c r="T22" s="2" t="s">
        <v>334</v>
      </c>
    </row>
    <row r="23" spans="1:20" ht="42" customHeight="1">
      <c r="A23" s="2" t="s">
        <v>245</v>
      </c>
      <c r="B23" s="2" t="s">
        <v>337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7" t="str">
        <f>IF(AND(H23&lt;&gt;"",I23&lt;&gt;""),H23*I23,"NEED DATA")</f>
        <v>NEED DATA</v>
      </c>
      <c r="P23" s="7" t="str">
        <f>IF(AND(H23&lt;&gt;"",I23&lt;&gt;"",J23&lt;&gt;"",K23&lt;&gt;"",L23&lt;&gt;"",M23&lt;&gt;"",N23&lt;&gt;""),H23*I23*(J23*(1-K23)-L23)-M23,"NEED DATA")</f>
        <v>NEED DATA</v>
      </c>
      <c r="Q23" s="7" t="str">
        <f>IF(AND(H23&lt;&gt;"",I23&lt;&gt;"",J23&lt;&gt;"",K23&lt;&gt;"",L23&lt;&gt;"",M23&lt;&gt;"",N23&lt;&gt;""),P23-N23,"NEED DATA")</f>
        <v>NEED DATA</v>
      </c>
      <c r="R23" s="5"/>
      <c r="S23" s="7" t="str">
        <f>IF(AND(AND(H23&lt;&gt;"",I23&lt;&gt;"",J23&lt;&gt;"",K23&lt;&gt;"",L23&lt;&gt;"",M23&lt;&gt;"",N23&lt;&gt;""),R23&lt;&gt;""),IF(Q23&gt;0,R23/Q23,"NO POSITIVE CONTRIBUTION"),"NEED DATA")</f>
        <v>NEED DATA</v>
      </c>
      <c r="T23" s="2" t="s">
        <v>334</v>
      </c>
    </row>
    <row r="24" spans="1:20" ht="42" customHeight="1">
      <c r="A24" s="2" t="s">
        <v>245</v>
      </c>
      <c r="B24" s="2" t="s">
        <v>338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7" t="str">
        <f>IF(AND(H24&lt;&gt;"",I24&lt;&gt;""),H24*I24,"NEED DATA")</f>
        <v>NEED DATA</v>
      </c>
      <c r="P24" s="7" t="str">
        <f>IF(AND(H24&lt;&gt;"",I24&lt;&gt;"",J24&lt;&gt;"",K24&lt;&gt;"",L24&lt;&gt;"",M24&lt;&gt;"",N24&lt;&gt;""),H24*I24*(J24*(1-K24)-L24)-M24,"NEED DATA")</f>
        <v>NEED DATA</v>
      </c>
      <c r="Q24" s="7" t="str">
        <f>IF(AND(H24&lt;&gt;"",I24&lt;&gt;"",J24&lt;&gt;"",K24&lt;&gt;"",L24&lt;&gt;"",M24&lt;&gt;"",N24&lt;&gt;""),P24-N24,"NEED DATA")</f>
        <v>NEED DATA</v>
      </c>
      <c r="R24" s="5"/>
      <c r="S24" s="7" t="str">
        <f>IF(AND(AND(H24&lt;&gt;"",I24&lt;&gt;"",J24&lt;&gt;"",K24&lt;&gt;"",L24&lt;&gt;"",M24&lt;&gt;"",N24&lt;&gt;""),R24&lt;&gt;""),IF(Q24&gt;0,R24/Q24,"NO POSITIVE CONTRIBUTION"),"NEED DATA")</f>
        <v>NEED DATA</v>
      </c>
      <c r="T24" s="2" t="s">
        <v>334</v>
      </c>
    </row>
    <row r="25" spans="1:20" ht="42" customHeight="1">
      <c r="A25" s="2" t="s">
        <v>252</v>
      </c>
      <c r="B25" s="2" t="s">
        <v>332</v>
      </c>
      <c r="C25" s="2" t="s">
        <v>332</v>
      </c>
      <c r="D25" s="2" t="s">
        <v>333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7" t="str">
        <f>IF(AND(H25&lt;&gt;"",I25&lt;&gt;""),H25*I25,"NEED DATA")</f>
        <v>NEED DATA</v>
      </c>
      <c r="P25" s="7" t="str">
        <f>IF(AND(H25&lt;&gt;"",I25&lt;&gt;"",J25&lt;&gt;"",K25&lt;&gt;"",L25&lt;&gt;"",M25&lt;&gt;"",N25&lt;&gt;""),H25*I25*(J25*(1-K25)-L25)-M25,"NEED DATA")</f>
        <v>NEED DATA</v>
      </c>
      <c r="Q25" s="7" t="str">
        <f>IF(AND(H25&lt;&gt;"",I25&lt;&gt;"",J25&lt;&gt;"",K25&lt;&gt;"",L25&lt;&gt;"",M25&lt;&gt;"",N25&lt;&gt;""),P25-N25,"NEED DATA")</f>
        <v>NEED DATA</v>
      </c>
      <c r="R25" s="5"/>
      <c r="S25" s="7" t="str">
        <f>IF(AND(AND(H25&lt;&gt;"",I25&lt;&gt;"",J25&lt;&gt;"",K25&lt;&gt;"",L25&lt;&gt;"",M25&lt;&gt;"",N25&lt;&gt;""),R25&lt;&gt;""),IF(Q25&gt;0,R25/Q25,"NO POSITIVE CONTRIBUTION"),"NEED DATA")</f>
        <v>NEED DATA</v>
      </c>
      <c r="T25" s="2" t="s">
        <v>334</v>
      </c>
    </row>
    <row r="26" spans="1:20" ht="42" customHeight="1">
      <c r="A26" s="2" t="s">
        <v>252</v>
      </c>
      <c r="B26" s="2" t="s">
        <v>335</v>
      </c>
      <c r="C26" s="2" t="s">
        <v>335</v>
      </c>
      <c r="D26" s="2" t="s">
        <v>336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7" t="str">
        <f>IF(AND(H26&lt;&gt;"",I26&lt;&gt;""),H26*I26,"NEED DATA")</f>
        <v>NEED DATA</v>
      </c>
      <c r="P26" s="7" t="str">
        <f>IF(AND(H26&lt;&gt;"",I26&lt;&gt;"",J26&lt;&gt;"",K26&lt;&gt;"",L26&lt;&gt;"",M26&lt;&gt;"",N26&lt;&gt;""),H26*I26*(J26*(1-K26)-L26)-M26,"NEED DATA")</f>
        <v>NEED DATA</v>
      </c>
      <c r="Q26" s="7" t="str">
        <f>IF(AND(H26&lt;&gt;"",I26&lt;&gt;"",J26&lt;&gt;"",K26&lt;&gt;"",L26&lt;&gt;"",M26&lt;&gt;"",N26&lt;&gt;""),P26-N26,"NEED DATA")</f>
        <v>NEED DATA</v>
      </c>
      <c r="R26" s="5"/>
      <c r="S26" s="7" t="str">
        <f>IF(AND(AND(H26&lt;&gt;"",I26&lt;&gt;"",J26&lt;&gt;"",K26&lt;&gt;"",L26&lt;&gt;"",M26&lt;&gt;"",N26&lt;&gt;""),R26&lt;&gt;""),IF(Q26&gt;0,R26/Q26,"NO POSITIVE CONTRIBUTION"),"NEED DATA")</f>
        <v>NEED DATA</v>
      </c>
      <c r="T26" s="2" t="s">
        <v>334</v>
      </c>
    </row>
    <row r="27" spans="1:20" ht="42" customHeight="1">
      <c r="A27" s="2" t="s">
        <v>252</v>
      </c>
      <c r="B27" s="2" t="s">
        <v>337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7" t="str">
        <f>IF(AND(H27&lt;&gt;"",I27&lt;&gt;""),H27*I27,"NEED DATA")</f>
        <v>NEED DATA</v>
      </c>
      <c r="P27" s="7" t="str">
        <f>IF(AND(H27&lt;&gt;"",I27&lt;&gt;"",J27&lt;&gt;"",K27&lt;&gt;"",L27&lt;&gt;"",M27&lt;&gt;"",N27&lt;&gt;""),H27*I27*(J27*(1-K27)-L27)-M27,"NEED DATA")</f>
        <v>NEED DATA</v>
      </c>
      <c r="Q27" s="7" t="str">
        <f>IF(AND(H27&lt;&gt;"",I27&lt;&gt;"",J27&lt;&gt;"",K27&lt;&gt;"",L27&lt;&gt;"",M27&lt;&gt;"",N27&lt;&gt;""),P27-N27,"NEED DATA")</f>
        <v>NEED DATA</v>
      </c>
      <c r="R27" s="5"/>
      <c r="S27" s="7" t="str">
        <f>IF(AND(AND(H27&lt;&gt;"",I27&lt;&gt;"",J27&lt;&gt;"",K27&lt;&gt;"",L27&lt;&gt;"",M27&lt;&gt;"",N27&lt;&gt;""),R27&lt;&gt;""),IF(Q27&gt;0,R27/Q27,"NO POSITIVE CONTRIBUTION"),"NEED DATA")</f>
        <v>NEED DATA</v>
      </c>
      <c r="T27" s="2" t="s">
        <v>334</v>
      </c>
    </row>
    <row r="28" spans="1:20" ht="42" customHeight="1">
      <c r="A28" s="2" t="s">
        <v>252</v>
      </c>
      <c r="B28" s="2" t="s">
        <v>338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7" t="str">
        <f>IF(AND(H28&lt;&gt;"",I28&lt;&gt;""),H28*I28,"NEED DATA")</f>
        <v>NEED DATA</v>
      </c>
      <c r="P28" s="7" t="str">
        <f>IF(AND(H28&lt;&gt;"",I28&lt;&gt;"",J28&lt;&gt;"",K28&lt;&gt;"",L28&lt;&gt;"",M28&lt;&gt;"",N28&lt;&gt;""),H28*I28*(J28*(1-K28)-L28)-M28,"NEED DATA")</f>
        <v>NEED DATA</v>
      </c>
      <c r="Q28" s="7" t="str">
        <f>IF(AND(H28&lt;&gt;"",I28&lt;&gt;"",J28&lt;&gt;"",K28&lt;&gt;"",L28&lt;&gt;"",M28&lt;&gt;"",N28&lt;&gt;""),P28-N28,"NEED DATA")</f>
        <v>NEED DATA</v>
      </c>
      <c r="R28" s="5"/>
      <c r="S28" s="7" t="str">
        <f>IF(AND(AND(H28&lt;&gt;"",I28&lt;&gt;"",J28&lt;&gt;"",K28&lt;&gt;"",L28&lt;&gt;"",M28&lt;&gt;"",N28&lt;&gt;""),R28&lt;&gt;""),IF(Q28&gt;0,R28/Q28,"NO POSITIVE CONTRIBUTION"),"NEED DATA")</f>
        <v>NEED DATA</v>
      </c>
      <c r="T28" s="2" t="s">
        <v>334</v>
      </c>
    </row>
    <row r="29" spans="1:20" ht="42" customHeight="1">
      <c r="A29" s="2" t="s">
        <v>258</v>
      </c>
      <c r="B29" s="2" t="s">
        <v>332</v>
      </c>
      <c r="C29" s="2" t="s">
        <v>332</v>
      </c>
      <c r="D29" s="2" t="s">
        <v>333</v>
      </c>
      <c r="E29" s="5"/>
      <c r="F29" s="5"/>
      <c r="G29" s="5"/>
      <c r="H29" s="5"/>
      <c r="I29" s="5"/>
      <c r="J29" s="5"/>
      <c r="K29" s="5"/>
      <c r="L29" s="5"/>
      <c r="M29" s="5"/>
      <c r="N29" s="5"/>
      <c r="O29" s="7" t="str">
        <f>IF(AND(H29&lt;&gt;"",I29&lt;&gt;""),H29*I29,"NEED DATA")</f>
        <v>NEED DATA</v>
      </c>
      <c r="P29" s="7" t="str">
        <f>IF(AND(H29&lt;&gt;"",I29&lt;&gt;"",J29&lt;&gt;"",K29&lt;&gt;"",L29&lt;&gt;"",M29&lt;&gt;"",N29&lt;&gt;""),H29*I29*(J29*(1-K29)-L29)-M29,"NEED DATA")</f>
        <v>NEED DATA</v>
      </c>
      <c r="Q29" s="7" t="str">
        <f>IF(AND(H29&lt;&gt;"",I29&lt;&gt;"",J29&lt;&gt;"",K29&lt;&gt;"",L29&lt;&gt;"",M29&lt;&gt;"",N29&lt;&gt;""),P29-N29,"NEED DATA")</f>
        <v>NEED DATA</v>
      </c>
      <c r="R29" s="5"/>
      <c r="S29" s="7" t="str">
        <f>IF(AND(AND(H29&lt;&gt;"",I29&lt;&gt;"",J29&lt;&gt;"",K29&lt;&gt;"",L29&lt;&gt;"",M29&lt;&gt;"",N29&lt;&gt;""),R29&lt;&gt;""),IF(Q29&gt;0,R29/Q29,"NO POSITIVE CONTRIBUTION"),"NEED DATA")</f>
        <v>NEED DATA</v>
      </c>
      <c r="T29" s="2" t="s">
        <v>334</v>
      </c>
    </row>
    <row r="30" spans="1:20" ht="42" customHeight="1">
      <c r="A30" s="2" t="s">
        <v>258</v>
      </c>
      <c r="B30" s="2" t="s">
        <v>335</v>
      </c>
      <c r="C30" s="2" t="s">
        <v>335</v>
      </c>
      <c r="D30" s="2" t="s">
        <v>336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7" t="str">
        <f>IF(AND(H30&lt;&gt;"",I30&lt;&gt;""),H30*I30,"NEED DATA")</f>
        <v>NEED DATA</v>
      </c>
      <c r="P30" s="7" t="str">
        <f>IF(AND(H30&lt;&gt;"",I30&lt;&gt;"",J30&lt;&gt;"",K30&lt;&gt;"",L30&lt;&gt;"",M30&lt;&gt;"",N30&lt;&gt;""),H30*I30*(J30*(1-K30)-L30)-M30,"NEED DATA")</f>
        <v>NEED DATA</v>
      </c>
      <c r="Q30" s="7" t="str">
        <f>IF(AND(H30&lt;&gt;"",I30&lt;&gt;"",J30&lt;&gt;"",K30&lt;&gt;"",L30&lt;&gt;"",M30&lt;&gt;"",N30&lt;&gt;""),P30-N30,"NEED DATA")</f>
        <v>NEED DATA</v>
      </c>
      <c r="R30" s="5"/>
      <c r="S30" s="7" t="str">
        <f>IF(AND(AND(H30&lt;&gt;"",I30&lt;&gt;"",J30&lt;&gt;"",K30&lt;&gt;"",L30&lt;&gt;"",M30&lt;&gt;"",N30&lt;&gt;""),R30&lt;&gt;""),IF(Q30&gt;0,R30/Q30,"NO POSITIVE CONTRIBUTION"),"NEED DATA")</f>
        <v>NEED DATA</v>
      </c>
      <c r="T30" s="2" t="s">
        <v>334</v>
      </c>
    </row>
    <row r="31" spans="1:20" ht="42" customHeight="1">
      <c r="A31" s="2" t="s">
        <v>258</v>
      </c>
      <c r="B31" s="2" t="s">
        <v>337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7" t="str">
        <f>IF(AND(H31&lt;&gt;"",I31&lt;&gt;""),H31*I31,"NEED DATA")</f>
        <v>NEED DATA</v>
      </c>
      <c r="P31" s="7" t="str">
        <f>IF(AND(H31&lt;&gt;"",I31&lt;&gt;"",J31&lt;&gt;"",K31&lt;&gt;"",L31&lt;&gt;"",M31&lt;&gt;"",N31&lt;&gt;""),H31*I31*(J31*(1-K31)-L31)-M31,"NEED DATA")</f>
        <v>NEED DATA</v>
      </c>
      <c r="Q31" s="7" t="str">
        <f>IF(AND(H31&lt;&gt;"",I31&lt;&gt;"",J31&lt;&gt;"",K31&lt;&gt;"",L31&lt;&gt;"",M31&lt;&gt;"",N31&lt;&gt;""),P31-N31,"NEED DATA")</f>
        <v>NEED DATA</v>
      </c>
      <c r="R31" s="5"/>
      <c r="S31" s="7" t="str">
        <f>IF(AND(AND(H31&lt;&gt;"",I31&lt;&gt;"",J31&lt;&gt;"",K31&lt;&gt;"",L31&lt;&gt;"",M31&lt;&gt;"",N31&lt;&gt;""),R31&lt;&gt;""),IF(Q31&gt;0,R31/Q31,"NO POSITIVE CONTRIBUTION"),"NEED DATA")</f>
        <v>NEED DATA</v>
      </c>
      <c r="T31" s="2" t="s">
        <v>334</v>
      </c>
    </row>
    <row r="32" spans="1:20" ht="42" customHeight="1">
      <c r="A32" s="2" t="s">
        <v>258</v>
      </c>
      <c r="B32" s="2" t="s">
        <v>338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7" t="str">
        <f>IF(AND(H32&lt;&gt;"",I32&lt;&gt;""),H32*I32,"NEED DATA")</f>
        <v>NEED DATA</v>
      </c>
      <c r="P32" s="7" t="str">
        <f>IF(AND(H32&lt;&gt;"",I32&lt;&gt;"",J32&lt;&gt;"",K32&lt;&gt;"",L32&lt;&gt;"",M32&lt;&gt;"",N32&lt;&gt;""),H32*I32*(J32*(1-K32)-L32)-M32,"NEED DATA")</f>
        <v>NEED DATA</v>
      </c>
      <c r="Q32" s="7" t="str">
        <f>IF(AND(H32&lt;&gt;"",I32&lt;&gt;"",J32&lt;&gt;"",K32&lt;&gt;"",L32&lt;&gt;"",M32&lt;&gt;"",N32&lt;&gt;""),P32-N32,"NEED DATA")</f>
        <v>NEED DATA</v>
      </c>
      <c r="R32" s="5"/>
      <c r="S32" s="7" t="str">
        <f>IF(AND(AND(H32&lt;&gt;"",I32&lt;&gt;"",J32&lt;&gt;"",K32&lt;&gt;"",L32&lt;&gt;"",M32&lt;&gt;"",N32&lt;&gt;""),R32&lt;&gt;""),IF(Q32&gt;0,R32/Q32,"NO POSITIVE CONTRIBUTION"),"NEED DATA")</f>
        <v>NEED DATA</v>
      </c>
      <c r="T32" s="2" t="s">
        <v>334</v>
      </c>
    </row>
    <row r="33" spans="1:20" ht="42" customHeight="1">
      <c r="A33" s="2" t="s">
        <v>264</v>
      </c>
      <c r="B33" s="2" t="s">
        <v>332</v>
      </c>
      <c r="C33" s="2" t="s">
        <v>332</v>
      </c>
      <c r="D33" s="2" t="s">
        <v>333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7" t="str">
        <f>IF(AND(H33&lt;&gt;"",I33&lt;&gt;""),H33*I33,"NEED DATA")</f>
        <v>NEED DATA</v>
      </c>
      <c r="P33" s="7" t="str">
        <f>IF(AND(H33&lt;&gt;"",I33&lt;&gt;"",J33&lt;&gt;"",K33&lt;&gt;"",L33&lt;&gt;"",M33&lt;&gt;"",N33&lt;&gt;""),H33*I33*(J33*(1-K33)-L33)-M33,"NEED DATA")</f>
        <v>NEED DATA</v>
      </c>
      <c r="Q33" s="7" t="str">
        <f>IF(AND(H33&lt;&gt;"",I33&lt;&gt;"",J33&lt;&gt;"",K33&lt;&gt;"",L33&lt;&gt;"",M33&lt;&gt;"",N33&lt;&gt;""),P33-N33,"NEED DATA")</f>
        <v>NEED DATA</v>
      </c>
      <c r="R33" s="5"/>
      <c r="S33" s="7" t="str">
        <f>IF(AND(AND(H33&lt;&gt;"",I33&lt;&gt;"",J33&lt;&gt;"",K33&lt;&gt;"",L33&lt;&gt;"",M33&lt;&gt;"",N33&lt;&gt;""),R33&lt;&gt;""),IF(Q33&gt;0,R33/Q33,"NO POSITIVE CONTRIBUTION"),"NEED DATA")</f>
        <v>NEED DATA</v>
      </c>
      <c r="T33" s="2" t="s">
        <v>334</v>
      </c>
    </row>
    <row r="34" spans="1:20" ht="42" customHeight="1">
      <c r="A34" s="2" t="s">
        <v>264</v>
      </c>
      <c r="B34" s="2" t="s">
        <v>335</v>
      </c>
      <c r="C34" s="2" t="s">
        <v>335</v>
      </c>
      <c r="D34" s="2" t="s">
        <v>336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7" t="str">
        <f>IF(AND(H34&lt;&gt;"",I34&lt;&gt;""),H34*I34,"NEED DATA")</f>
        <v>NEED DATA</v>
      </c>
      <c r="P34" s="7" t="str">
        <f>IF(AND(H34&lt;&gt;"",I34&lt;&gt;"",J34&lt;&gt;"",K34&lt;&gt;"",L34&lt;&gt;"",M34&lt;&gt;"",N34&lt;&gt;""),H34*I34*(J34*(1-K34)-L34)-M34,"NEED DATA")</f>
        <v>NEED DATA</v>
      </c>
      <c r="Q34" s="7" t="str">
        <f>IF(AND(H34&lt;&gt;"",I34&lt;&gt;"",J34&lt;&gt;"",K34&lt;&gt;"",L34&lt;&gt;"",M34&lt;&gt;"",N34&lt;&gt;""),P34-N34,"NEED DATA")</f>
        <v>NEED DATA</v>
      </c>
      <c r="R34" s="5"/>
      <c r="S34" s="7" t="str">
        <f>IF(AND(AND(H34&lt;&gt;"",I34&lt;&gt;"",J34&lt;&gt;"",K34&lt;&gt;"",L34&lt;&gt;"",M34&lt;&gt;"",N34&lt;&gt;""),R34&lt;&gt;""),IF(Q34&gt;0,R34/Q34,"NO POSITIVE CONTRIBUTION"),"NEED DATA")</f>
        <v>NEED DATA</v>
      </c>
      <c r="T34" s="2" t="s">
        <v>334</v>
      </c>
    </row>
    <row r="35" spans="1:20" ht="42" customHeight="1">
      <c r="A35" s="2" t="s">
        <v>264</v>
      </c>
      <c r="B35" s="2" t="s">
        <v>337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7" t="str">
        <f>IF(AND(H35&lt;&gt;"",I35&lt;&gt;""),H35*I35,"NEED DATA")</f>
        <v>NEED DATA</v>
      </c>
      <c r="P35" s="7" t="str">
        <f>IF(AND(H35&lt;&gt;"",I35&lt;&gt;"",J35&lt;&gt;"",K35&lt;&gt;"",L35&lt;&gt;"",M35&lt;&gt;"",N35&lt;&gt;""),H35*I35*(J35*(1-K35)-L35)-M35,"NEED DATA")</f>
        <v>NEED DATA</v>
      </c>
      <c r="Q35" s="7" t="str">
        <f>IF(AND(H35&lt;&gt;"",I35&lt;&gt;"",J35&lt;&gt;"",K35&lt;&gt;"",L35&lt;&gt;"",M35&lt;&gt;"",N35&lt;&gt;""),P35-N35,"NEED DATA")</f>
        <v>NEED DATA</v>
      </c>
      <c r="R35" s="5"/>
      <c r="S35" s="7" t="str">
        <f>IF(AND(AND(H35&lt;&gt;"",I35&lt;&gt;"",J35&lt;&gt;"",K35&lt;&gt;"",L35&lt;&gt;"",M35&lt;&gt;"",N35&lt;&gt;""),R35&lt;&gt;""),IF(Q35&gt;0,R35/Q35,"NO POSITIVE CONTRIBUTION"),"NEED DATA")</f>
        <v>NEED DATA</v>
      </c>
      <c r="T35" s="2" t="s">
        <v>334</v>
      </c>
    </row>
    <row r="36" spans="1:20" ht="42" customHeight="1">
      <c r="A36" s="2" t="s">
        <v>264</v>
      </c>
      <c r="B36" s="2" t="s">
        <v>338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7" t="str">
        <f>IF(AND(H36&lt;&gt;"",I36&lt;&gt;""),H36*I36,"NEED DATA")</f>
        <v>NEED DATA</v>
      </c>
      <c r="P36" s="7" t="str">
        <f>IF(AND(H36&lt;&gt;"",I36&lt;&gt;"",J36&lt;&gt;"",K36&lt;&gt;"",L36&lt;&gt;"",M36&lt;&gt;"",N36&lt;&gt;""),H36*I36*(J36*(1-K36)-L36)-M36,"NEED DATA")</f>
        <v>NEED DATA</v>
      </c>
      <c r="Q36" s="7" t="str">
        <f>IF(AND(H36&lt;&gt;"",I36&lt;&gt;"",J36&lt;&gt;"",K36&lt;&gt;"",L36&lt;&gt;"",M36&lt;&gt;"",N36&lt;&gt;""),P36-N36,"NEED DATA")</f>
        <v>NEED DATA</v>
      </c>
      <c r="R36" s="5"/>
      <c r="S36" s="7" t="str">
        <f>IF(AND(AND(H36&lt;&gt;"",I36&lt;&gt;"",J36&lt;&gt;"",K36&lt;&gt;"",L36&lt;&gt;"",M36&lt;&gt;"",N36&lt;&gt;""),R36&lt;&gt;""),IF(Q36&gt;0,R36/Q36,"NO POSITIVE CONTRIBUTION"),"NEED DATA")</f>
        <v>NEED DATA</v>
      </c>
      <c r="T36" s="2" t="s">
        <v>334</v>
      </c>
    </row>
    <row r="37" spans="1:20" ht="42" customHeight="1">
      <c r="A37" s="2" t="s">
        <v>271</v>
      </c>
      <c r="B37" s="2" t="s">
        <v>332</v>
      </c>
      <c r="C37" s="2" t="s">
        <v>332</v>
      </c>
      <c r="D37" s="2" t="s">
        <v>333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7" t="str">
        <f>IF(AND(H37&lt;&gt;"",I37&lt;&gt;""),H37*I37,"NEED DATA")</f>
        <v>NEED DATA</v>
      </c>
      <c r="P37" s="7" t="str">
        <f>IF(AND(H37&lt;&gt;"",I37&lt;&gt;"",J37&lt;&gt;"",K37&lt;&gt;"",L37&lt;&gt;"",M37&lt;&gt;"",N37&lt;&gt;""),H37*I37*(J37*(1-K37)-L37)-M37,"NEED DATA")</f>
        <v>NEED DATA</v>
      </c>
      <c r="Q37" s="7" t="str">
        <f>IF(AND(H37&lt;&gt;"",I37&lt;&gt;"",J37&lt;&gt;"",K37&lt;&gt;"",L37&lt;&gt;"",M37&lt;&gt;"",N37&lt;&gt;""),P37-N37,"NEED DATA")</f>
        <v>NEED DATA</v>
      </c>
      <c r="R37" s="5"/>
      <c r="S37" s="7" t="str">
        <f>IF(AND(AND(H37&lt;&gt;"",I37&lt;&gt;"",J37&lt;&gt;"",K37&lt;&gt;"",L37&lt;&gt;"",M37&lt;&gt;"",N37&lt;&gt;""),R37&lt;&gt;""),IF(Q37&gt;0,R37/Q37,"NO POSITIVE CONTRIBUTION"),"NEED DATA")</f>
        <v>NEED DATA</v>
      </c>
      <c r="T37" s="2" t="s">
        <v>334</v>
      </c>
    </row>
    <row r="38" spans="1:20" ht="42" customHeight="1">
      <c r="A38" s="2" t="s">
        <v>271</v>
      </c>
      <c r="B38" s="2" t="s">
        <v>335</v>
      </c>
      <c r="C38" s="2" t="s">
        <v>335</v>
      </c>
      <c r="D38" s="2" t="s">
        <v>336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7" t="str">
        <f>IF(AND(H38&lt;&gt;"",I38&lt;&gt;""),H38*I38,"NEED DATA")</f>
        <v>NEED DATA</v>
      </c>
      <c r="P38" s="7" t="str">
        <f>IF(AND(H38&lt;&gt;"",I38&lt;&gt;"",J38&lt;&gt;"",K38&lt;&gt;"",L38&lt;&gt;"",M38&lt;&gt;"",N38&lt;&gt;""),H38*I38*(J38*(1-K38)-L38)-M38,"NEED DATA")</f>
        <v>NEED DATA</v>
      </c>
      <c r="Q38" s="7" t="str">
        <f>IF(AND(H38&lt;&gt;"",I38&lt;&gt;"",J38&lt;&gt;"",K38&lt;&gt;"",L38&lt;&gt;"",M38&lt;&gt;"",N38&lt;&gt;""),P38-N38,"NEED DATA")</f>
        <v>NEED DATA</v>
      </c>
      <c r="R38" s="5"/>
      <c r="S38" s="7" t="str">
        <f>IF(AND(AND(H38&lt;&gt;"",I38&lt;&gt;"",J38&lt;&gt;"",K38&lt;&gt;"",L38&lt;&gt;"",M38&lt;&gt;"",N38&lt;&gt;""),R38&lt;&gt;""),IF(Q38&gt;0,R38/Q38,"NO POSITIVE CONTRIBUTION"),"NEED DATA")</f>
        <v>NEED DATA</v>
      </c>
      <c r="T38" s="2" t="s">
        <v>334</v>
      </c>
    </row>
    <row r="39" spans="1:20" ht="42" customHeight="1">
      <c r="A39" s="2" t="s">
        <v>271</v>
      </c>
      <c r="B39" s="2" t="s">
        <v>337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7" t="str">
        <f>IF(AND(H39&lt;&gt;"",I39&lt;&gt;""),H39*I39,"NEED DATA")</f>
        <v>NEED DATA</v>
      </c>
      <c r="P39" s="7" t="str">
        <f>IF(AND(H39&lt;&gt;"",I39&lt;&gt;"",J39&lt;&gt;"",K39&lt;&gt;"",L39&lt;&gt;"",M39&lt;&gt;"",N39&lt;&gt;""),H39*I39*(J39*(1-K39)-L39)-M39,"NEED DATA")</f>
        <v>NEED DATA</v>
      </c>
      <c r="Q39" s="7" t="str">
        <f>IF(AND(H39&lt;&gt;"",I39&lt;&gt;"",J39&lt;&gt;"",K39&lt;&gt;"",L39&lt;&gt;"",M39&lt;&gt;"",N39&lt;&gt;""),P39-N39,"NEED DATA")</f>
        <v>NEED DATA</v>
      </c>
      <c r="R39" s="5"/>
      <c r="S39" s="7" t="str">
        <f>IF(AND(AND(H39&lt;&gt;"",I39&lt;&gt;"",J39&lt;&gt;"",K39&lt;&gt;"",L39&lt;&gt;"",M39&lt;&gt;"",N39&lt;&gt;""),R39&lt;&gt;""),IF(Q39&gt;0,R39/Q39,"NO POSITIVE CONTRIBUTION"),"NEED DATA")</f>
        <v>NEED DATA</v>
      </c>
      <c r="T39" s="2" t="s">
        <v>334</v>
      </c>
    </row>
    <row r="40" spans="1:20" ht="42" customHeight="1">
      <c r="A40" s="2" t="s">
        <v>271</v>
      </c>
      <c r="B40" s="2" t="s">
        <v>338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7" t="str">
        <f>IF(AND(H40&lt;&gt;"",I40&lt;&gt;""),H40*I40,"NEED DATA")</f>
        <v>NEED DATA</v>
      </c>
      <c r="P40" s="7" t="str">
        <f>IF(AND(H40&lt;&gt;"",I40&lt;&gt;"",J40&lt;&gt;"",K40&lt;&gt;"",L40&lt;&gt;"",M40&lt;&gt;"",N40&lt;&gt;""),H40*I40*(J40*(1-K40)-L40)-M40,"NEED DATA")</f>
        <v>NEED DATA</v>
      </c>
      <c r="Q40" s="7" t="str">
        <f>IF(AND(H40&lt;&gt;"",I40&lt;&gt;"",J40&lt;&gt;"",K40&lt;&gt;"",L40&lt;&gt;"",M40&lt;&gt;"",N40&lt;&gt;""),P40-N40,"NEED DATA")</f>
        <v>NEED DATA</v>
      </c>
      <c r="R40" s="5"/>
      <c r="S40" s="7" t="str">
        <f>IF(AND(AND(H40&lt;&gt;"",I40&lt;&gt;"",J40&lt;&gt;"",K40&lt;&gt;"",L40&lt;&gt;"",M40&lt;&gt;"",N40&lt;&gt;""),R40&lt;&gt;""),IF(Q40&gt;0,R40/Q40,"NO POSITIVE CONTRIBUTION"),"NEED DATA")</f>
        <v>NEED DATA</v>
      </c>
      <c r="T40" s="2" t="s">
        <v>334</v>
      </c>
    </row>
    <row r="41" spans="1:20" ht="42" customHeight="1">
      <c r="A41" s="2" t="s">
        <v>277</v>
      </c>
      <c r="B41" s="2" t="s">
        <v>332</v>
      </c>
      <c r="C41" s="2" t="s">
        <v>332</v>
      </c>
      <c r="D41" s="2" t="s">
        <v>333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7" t="str">
        <f>IF(AND(H41&lt;&gt;"",I41&lt;&gt;""),H41*I41,"NEED DATA")</f>
        <v>NEED DATA</v>
      </c>
      <c r="P41" s="7" t="str">
        <f>IF(AND(H41&lt;&gt;"",I41&lt;&gt;"",J41&lt;&gt;"",K41&lt;&gt;"",L41&lt;&gt;"",M41&lt;&gt;"",N41&lt;&gt;""),H41*I41*(J41*(1-K41)-L41)-M41,"NEED DATA")</f>
        <v>NEED DATA</v>
      </c>
      <c r="Q41" s="7" t="str">
        <f>IF(AND(H41&lt;&gt;"",I41&lt;&gt;"",J41&lt;&gt;"",K41&lt;&gt;"",L41&lt;&gt;"",M41&lt;&gt;"",N41&lt;&gt;""),P41-N41,"NEED DATA")</f>
        <v>NEED DATA</v>
      </c>
      <c r="R41" s="5"/>
      <c r="S41" s="7" t="str">
        <f>IF(AND(AND(H41&lt;&gt;"",I41&lt;&gt;"",J41&lt;&gt;"",K41&lt;&gt;"",L41&lt;&gt;"",M41&lt;&gt;"",N41&lt;&gt;""),R41&lt;&gt;""),IF(Q41&gt;0,R41/Q41,"NO POSITIVE CONTRIBUTION"),"NEED DATA")</f>
        <v>NEED DATA</v>
      </c>
      <c r="T41" s="2" t="s">
        <v>334</v>
      </c>
    </row>
    <row r="42" spans="1:20" ht="42" customHeight="1">
      <c r="A42" s="2" t="s">
        <v>277</v>
      </c>
      <c r="B42" s="2" t="s">
        <v>335</v>
      </c>
      <c r="C42" s="2" t="s">
        <v>335</v>
      </c>
      <c r="D42" s="2" t="s">
        <v>336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7" t="str">
        <f>IF(AND(H42&lt;&gt;"",I42&lt;&gt;""),H42*I42,"NEED DATA")</f>
        <v>NEED DATA</v>
      </c>
      <c r="P42" s="7" t="str">
        <f>IF(AND(H42&lt;&gt;"",I42&lt;&gt;"",J42&lt;&gt;"",K42&lt;&gt;"",L42&lt;&gt;"",M42&lt;&gt;"",N42&lt;&gt;""),H42*I42*(J42*(1-K42)-L42)-M42,"NEED DATA")</f>
        <v>NEED DATA</v>
      </c>
      <c r="Q42" s="7" t="str">
        <f>IF(AND(H42&lt;&gt;"",I42&lt;&gt;"",J42&lt;&gt;"",K42&lt;&gt;"",L42&lt;&gt;"",M42&lt;&gt;"",N42&lt;&gt;""),P42-N42,"NEED DATA")</f>
        <v>NEED DATA</v>
      </c>
      <c r="R42" s="5"/>
      <c r="S42" s="7" t="str">
        <f>IF(AND(AND(H42&lt;&gt;"",I42&lt;&gt;"",J42&lt;&gt;"",K42&lt;&gt;"",L42&lt;&gt;"",M42&lt;&gt;"",N42&lt;&gt;""),R42&lt;&gt;""),IF(Q42&gt;0,R42/Q42,"NO POSITIVE CONTRIBUTION"),"NEED DATA")</f>
        <v>NEED DATA</v>
      </c>
      <c r="T42" s="2" t="s">
        <v>334</v>
      </c>
    </row>
    <row r="43" spans="1:20" ht="42" customHeight="1">
      <c r="A43" s="2" t="s">
        <v>277</v>
      </c>
      <c r="B43" s="2" t="s">
        <v>337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7" t="str">
        <f>IF(AND(H43&lt;&gt;"",I43&lt;&gt;""),H43*I43,"NEED DATA")</f>
        <v>NEED DATA</v>
      </c>
      <c r="P43" s="7" t="str">
        <f>IF(AND(H43&lt;&gt;"",I43&lt;&gt;"",J43&lt;&gt;"",K43&lt;&gt;"",L43&lt;&gt;"",M43&lt;&gt;"",N43&lt;&gt;""),H43*I43*(J43*(1-K43)-L43)-M43,"NEED DATA")</f>
        <v>NEED DATA</v>
      </c>
      <c r="Q43" s="7" t="str">
        <f>IF(AND(H43&lt;&gt;"",I43&lt;&gt;"",J43&lt;&gt;"",K43&lt;&gt;"",L43&lt;&gt;"",M43&lt;&gt;"",N43&lt;&gt;""),P43-N43,"NEED DATA")</f>
        <v>NEED DATA</v>
      </c>
      <c r="R43" s="5"/>
      <c r="S43" s="7" t="str">
        <f>IF(AND(AND(H43&lt;&gt;"",I43&lt;&gt;"",J43&lt;&gt;"",K43&lt;&gt;"",L43&lt;&gt;"",M43&lt;&gt;"",N43&lt;&gt;""),R43&lt;&gt;""),IF(Q43&gt;0,R43/Q43,"NO POSITIVE CONTRIBUTION"),"NEED DATA")</f>
        <v>NEED DATA</v>
      </c>
      <c r="T43" s="2" t="s">
        <v>334</v>
      </c>
    </row>
    <row r="44" spans="1:20" ht="42" customHeight="1">
      <c r="A44" s="2" t="s">
        <v>277</v>
      </c>
      <c r="B44" s="2" t="s">
        <v>338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7" t="str">
        <f>IF(AND(H44&lt;&gt;"",I44&lt;&gt;""),H44*I44,"NEED DATA")</f>
        <v>NEED DATA</v>
      </c>
      <c r="P44" s="7" t="str">
        <f>IF(AND(H44&lt;&gt;"",I44&lt;&gt;"",J44&lt;&gt;"",K44&lt;&gt;"",L44&lt;&gt;"",M44&lt;&gt;"",N44&lt;&gt;""),H44*I44*(J44*(1-K44)-L44)-M44,"NEED DATA")</f>
        <v>NEED DATA</v>
      </c>
      <c r="Q44" s="7" t="str">
        <f>IF(AND(H44&lt;&gt;"",I44&lt;&gt;"",J44&lt;&gt;"",K44&lt;&gt;"",L44&lt;&gt;"",M44&lt;&gt;"",N44&lt;&gt;""),P44-N44,"NEED DATA")</f>
        <v>NEED DATA</v>
      </c>
      <c r="R44" s="5"/>
      <c r="S44" s="7" t="str">
        <f>IF(AND(AND(H44&lt;&gt;"",I44&lt;&gt;"",J44&lt;&gt;"",K44&lt;&gt;"",L44&lt;&gt;"",M44&lt;&gt;"",N44&lt;&gt;""),R44&lt;&gt;""),IF(Q44&gt;0,R44/Q44,"NO POSITIVE CONTRIBUTION"),"NEED DATA")</f>
        <v>NEED DATA</v>
      </c>
      <c r="T44" s="2" t="s">
        <v>334</v>
      </c>
    </row>
    <row r="45" spans="1:20" ht="42" customHeight="1">
      <c r="A45" s="2" t="s">
        <v>283</v>
      </c>
      <c r="B45" s="2" t="s">
        <v>332</v>
      </c>
      <c r="C45" s="2" t="s">
        <v>332</v>
      </c>
      <c r="D45" s="2" t="s">
        <v>333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7" t="str">
        <f>IF(AND(H45&lt;&gt;"",I45&lt;&gt;""),H45*I45,"NEED DATA")</f>
        <v>NEED DATA</v>
      </c>
      <c r="P45" s="7" t="str">
        <f>IF(AND(H45&lt;&gt;"",I45&lt;&gt;"",J45&lt;&gt;"",K45&lt;&gt;"",L45&lt;&gt;"",M45&lt;&gt;"",N45&lt;&gt;""),H45*I45*(J45*(1-K45)-L45)-M45,"NEED DATA")</f>
        <v>NEED DATA</v>
      </c>
      <c r="Q45" s="7" t="str">
        <f>IF(AND(H45&lt;&gt;"",I45&lt;&gt;"",J45&lt;&gt;"",K45&lt;&gt;"",L45&lt;&gt;"",M45&lt;&gt;"",N45&lt;&gt;""),P45-N45,"NEED DATA")</f>
        <v>NEED DATA</v>
      </c>
      <c r="R45" s="5"/>
      <c r="S45" s="7" t="str">
        <f>IF(AND(AND(H45&lt;&gt;"",I45&lt;&gt;"",J45&lt;&gt;"",K45&lt;&gt;"",L45&lt;&gt;"",M45&lt;&gt;"",N45&lt;&gt;""),R45&lt;&gt;""),IF(Q45&gt;0,R45/Q45,"NO POSITIVE CONTRIBUTION"),"NEED DATA")</f>
        <v>NEED DATA</v>
      </c>
      <c r="T45" s="2" t="s">
        <v>334</v>
      </c>
    </row>
    <row r="46" spans="1:20" ht="42" customHeight="1">
      <c r="A46" s="2" t="s">
        <v>283</v>
      </c>
      <c r="B46" s="2" t="s">
        <v>335</v>
      </c>
      <c r="C46" s="2" t="s">
        <v>335</v>
      </c>
      <c r="D46" s="2" t="s">
        <v>336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7" t="str">
        <f>IF(AND(H46&lt;&gt;"",I46&lt;&gt;""),H46*I46,"NEED DATA")</f>
        <v>NEED DATA</v>
      </c>
      <c r="P46" s="7" t="str">
        <f>IF(AND(H46&lt;&gt;"",I46&lt;&gt;"",J46&lt;&gt;"",K46&lt;&gt;"",L46&lt;&gt;"",M46&lt;&gt;"",N46&lt;&gt;""),H46*I46*(J46*(1-K46)-L46)-M46,"NEED DATA")</f>
        <v>NEED DATA</v>
      </c>
      <c r="Q46" s="7" t="str">
        <f>IF(AND(H46&lt;&gt;"",I46&lt;&gt;"",J46&lt;&gt;"",K46&lt;&gt;"",L46&lt;&gt;"",M46&lt;&gt;"",N46&lt;&gt;""),P46-N46,"NEED DATA")</f>
        <v>NEED DATA</v>
      </c>
      <c r="R46" s="5"/>
      <c r="S46" s="7" t="str">
        <f>IF(AND(AND(H46&lt;&gt;"",I46&lt;&gt;"",J46&lt;&gt;"",K46&lt;&gt;"",L46&lt;&gt;"",M46&lt;&gt;"",N46&lt;&gt;""),R46&lt;&gt;""),IF(Q46&gt;0,R46/Q46,"NO POSITIVE CONTRIBUTION"),"NEED DATA")</f>
        <v>NEED DATA</v>
      </c>
      <c r="T46" s="2" t="s">
        <v>334</v>
      </c>
    </row>
    <row r="47" spans="1:20" ht="42" customHeight="1">
      <c r="A47" s="2" t="s">
        <v>283</v>
      </c>
      <c r="B47" s="2" t="s">
        <v>337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7" t="str">
        <f>IF(AND(H47&lt;&gt;"",I47&lt;&gt;""),H47*I47,"NEED DATA")</f>
        <v>NEED DATA</v>
      </c>
      <c r="P47" s="7" t="str">
        <f>IF(AND(H47&lt;&gt;"",I47&lt;&gt;"",J47&lt;&gt;"",K47&lt;&gt;"",L47&lt;&gt;"",M47&lt;&gt;"",N47&lt;&gt;""),H47*I47*(J47*(1-K47)-L47)-M47,"NEED DATA")</f>
        <v>NEED DATA</v>
      </c>
      <c r="Q47" s="7" t="str">
        <f>IF(AND(H47&lt;&gt;"",I47&lt;&gt;"",J47&lt;&gt;"",K47&lt;&gt;"",L47&lt;&gt;"",M47&lt;&gt;"",N47&lt;&gt;""),P47-N47,"NEED DATA")</f>
        <v>NEED DATA</v>
      </c>
      <c r="R47" s="5"/>
      <c r="S47" s="7" t="str">
        <f>IF(AND(AND(H47&lt;&gt;"",I47&lt;&gt;"",J47&lt;&gt;"",K47&lt;&gt;"",L47&lt;&gt;"",M47&lt;&gt;"",N47&lt;&gt;""),R47&lt;&gt;""),IF(Q47&gt;0,R47/Q47,"NO POSITIVE CONTRIBUTION"),"NEED DATA")</f>
        <v>NEED DATA</v>
      </c>
      <c r="T47" s="2" t="s">
        <v>334</v>
      </c>
    </row>
    <row r="48" spans="1:20" ht="42" customHeight="1">
      <c r="A48" s="2" t="s">
        <v>283</v>
      </c>
      <c r="B48" s="2" t="s">
        <v>338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7" t="str">
        <f>IF(AND(H48&lt;&gt;"",I48&lt;&gt;""),H48*I48,"NEED DATA")</f>
        <v>NEED DATA</v>
      </c>
      <c r="P48" s="7" t="str">
        <f>IF(AND(H48&lt;&gt;"",I48&lt;&gt;"",J48&lt;&gt;"",K48&lt;&gt;"",L48&lt;&gt;"",M48&lt;&gt;"",N48&lt;&gt;""),H48*I48*(J48*(1-K48)-L48)-M48,"NEED DATA")</f>
        <v>NEED DATA</v>
      </c>
      <c r="Q48" s="7" t="str">
        <f>IF(AND(H48&lt;&gt;"",I48&lt;&gt;"",J48&lt;&gt;"",K48&lt;&gt;"",L48&lt;&gt;"",M48&lt;&gt;"",N48&lt;&gt;""),P48-N48,"NEED DATA")</f>
        <v>NEED DATA</v>
      </c>
      <c r="R48" s="5"/>
      <c r="S48" s="7" t="str">
        <f>IF(AND(AND(H48&lt;&gt;"",I48&lt;&gt;"",J48&lt;&gt;"",K48&lt;&gt;"",L48&lt;&gt;"",M48&lt;&gt;"",N48&lt;&gt;""),R48&lt;&gt;""),IF(Q48&gt;0,R48/Q48,"NO POSITIVE CONTRIBUTION"),"NEED DATA")</f>
        <v>NEED DATA</v>
      </c>
      <c r="T48" s="2" t="s">
        <v>334</v>
      </c>
    </row>
    <row r="49" spans="1:20" ht="42" customHeight="1">
      <c r="A49" s="2" t="s">
        <v>290</v>
      </c>
      <c r="B49" s="2" t="s">
        <v>332</v>
      </c>
      <c r="C49" s="2" t="s">
        <v>332</v>
      </c>
      <c r="D49" s="2" t="s">
        <v>333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7" t="str">
        <f>IF(AND(H49&lt;&gt;"",I49&lt;&gt;""),H49*I49,"NEED DATA")</f>
        <v>NEED DATA</v>
      </c>
      <c r="P49" s="7" t="str">
        <f>IF(AND(H49&lt;&gt;"",I49&lt;&gt;"",J49&lt;&gt;"",K49&lt;&gt;"",L49&lt;&gt;"",M49&lt;&gt;"",N49&lt;&gt;""),H49*I49*(J49*(1-K49)-L49)-M49,"NEED DATA")</f>
        <v>NEED DATA</v>
      </c>
      <c r="Q49" s="7" t="str">
        <f>IF(AND(H49&lt;&gt;"",I49&lt;&gt;"",J49&lt;&gt;"",K49&lt;&gt;"",L49&lt;&gt;"",M49&lt;&gt;"",N49&lt;&gt;""),P49-N49,"NEED DATA")</f>
        <v>NEED DATA</v>
      </c>
      <c r="R49" s="5"/>
      <c r="S49" s="7" t="str">
        <f>IF(AND(AND(H49&lt;&gt;"",I49&lt;&gt;"",J49&lt;&gt;"",K49&lt;&gt;"",L49&lt;&gt;"",M49&lt;&gt;"",N49&lt;&gt;""),R49&lt;&gt;""),IF(Q49&gt;0,R49/Q49,"NO POSITIVE CONTRIBUTION"),"NEED DATA")</f>
        <v>NEED DATA</v>
      </c>
      <c r="T49" s="2" t="s">
        <v>334</v>
      </c>
    </row>
    <row r="50" spans="1:20" ht="42" customHeight="1">
      <c r="A50" s="2" t="s">
        <v>290</v>
      </c>
      <c r="B50" s="2" t="s">
        <v>335</v>
      </c>
      <c r="C50" s="2" t="s">
        <v>335</v>
      </c>
      <c r="D50" s="2" t="s">
        <v>336</v>
      </c>
      <c r="E50" s="5"/>
      <c r="F50" s="5"/>
      <c r="G50" s="5"/>
      <c r="H50" s="5"/>
      <c r="I50" s="5"/>
      <c r="J50" s="5"/>
      <c r="K50" s="5"/>
      <c r="L50" s="5"/>
      <c r="M50" s="5"/>
      <c r="N50" s="5"/>
      <c r="O50" s="7" t="str">
        <f>IF(AND(H50&lt;&gt;"",I50&lt;&gt;""),H50*I50,"NEED DATA")</f>
        <v>NEED DATA</v>
      </c>
      <c r="P50" s="7" t="str">
        <f>IF(AND(H50&lt;&gt;"",I50&lt;&gt;"",J50&lt;&gt;"",K50&lt;&gt;"",L50&lt;&gt;"",M50&lt;&gt;"",N50&lt;&gt;""),H50*I50*(J50*(1-K50)-L50)-M50,"NEED DATA")</f>
        <v>NEED DATA</v>
      </c>
      <c r="Q50" s="7" t="str">
        <f>IF(AND(H50&lt;&gt;"",I50&lt;&gt;"",J50&lt;&gt;"",K50&lt;&gt;"",L50&lt;&gt;"",M50&lt;&gt;"",N50&lt;&gt;""),P50-N50,"NEED DATA")</f>
        <v>NEED DATA</v>
      </c>
      <c r="R50" s="5"/>
      <c r="S50" s="7" t="str">
        <f>IF(AND(AND(H50&lt;&gt;"",I50&lt;&gt;"",J50&lt;&gt;"",K50&lt;&gt;"",L50&lt;&gt;"",M50&lt;&gt;"",N50&lt;&gt;""),R50&lt;&gt;""),IF(Q50&gt;0,R50/Q50,"NO POSITIVE CONTRIBUTION"),"NEED DATA")</f>
        <v>NEED DATA</v>
      </c>
      <c r="T50" s="2" t="s">
        <v>334</v>
      </c>
    </row>
    <row r="51" spans="1:20" ht="42" customHeight="1">
      <c r="A51" s="2" t="s">
        <v>290</v>
      </c>
      <c r="B51" s="2" t="s">
        <v>337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7" t="str">
        <f>IF(AND(H51&lt;&gt;"",I51&lt;&gt;""),H51*I51,"NEED DATA")</f>
        <v>NEED DATA</v>
      </c>
      <c r="P51" s="7" t="str">
        <f>IF(AND(H51&lt;&gt;"",I51&lt;&gt;"",J51&lt;&gt;"",K51&lt;&gt;"",L51&lt;&gt;"",M51&lt;&gt;"",N51&lt;&gt;""),H51*I51*(J51*(1-K51)-L51)-M51,"NEED DATA")</f>
        <v>NEED DATA</v>
      </c>
      <c r="Q51" s="7" t="str">
        <f>IF(AND(H51&lt;&gt;"",I51&lt;&gt;"",J51&lt;&gt;"",K51&lt;&gt;"",L51&lt;&gt;"",M51&lt;&gt;"",N51&lt;&gt;""),P51-N51,"NEED DATA")</f>
        <v>NEED DATA</v>
      </c>
      <c r="R51" s="5"/>
      <c r="S51" s="7" t="str">
        <f>IF(AND(AND(H51&lt;&gt;"",I51&lt;&gt;"",J51&lt;&gt;"",K51&lt;&gt;"",L51&lt;&gt;"",M51&lt;&gt;"",N51&lt;&gt;""),R51&lt;&gt;""),IF(Q51&gt;0,R51/Q51,"NO POSITIVE CONTRIBUTION"),"NEED DATA")</f>
        <v>NEED DATA</v>
      </c>
      <c r="T51" s="2" t="s">
        <v>334</v>
      </c>
    </row>
    <row r="52" spans="1:20" ht="42" customHeight="1">
      <c r="A52" s="2" t="s">
        <v>290</v>
      </c>
      <c r="B52" s="2" t="s">
        <v>338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7" t="str">
        <f>IF(AND(H52&lt;&gt;"",I52&lt;&gt;""),H52*I52,"NEED DATA")</f>
        <v>NEED DATA</v>
      </c>
      <c r="P52" s="7" t="str">
        <f>IF(AND(H52&lt;&gt;"",I52&lt;&gt;"",J52&lt;&gt;"",K52&lt;&gt;"",L52&lt;&gt;"",M52&lt;&gt;"",N52&lt;&gt;""),H52*I52*(J52*(1-K52)-L52)-M52,"NEED DATA")</f>
        <v>NEED DATA</v>
      </c>
      <c r="Q52" s="7" t="str">
        <f>IF(AND(H52&lt;&gt;"",I52&lt;&gt;"",J52&lt;&gt;"",K52&lt;&gt;"",L52&lt;&gt;"",M52&lt;&gt;"",N52&lt;&gt;""),P52-N52,"NEED DATA")</f>
        <v>NEED DATA</v>
      </c>
      <c r="R52" s="5"/>
      <c r="S52" s="7" t="str">
        <f>IF(AND(AND(H52&lt;&gt;"",I52&lt;&gt;"",J52&lt;&gt;"",K52&lt;&gt;"",L52&lt;&gt;"",M52&lt;&gt;"",N52&lt;&gt;""),R52&lt;&gt;""),IF(Q52&gt;0,R52/Q52,"NO POSITIVE CONTRIBUTION"),"NEED DATA")</f>
        <v>NEED DATA</v>
      </c>
      <c r="T52" s="2" t="s">
        <v>334</v>
      </c>
    </row>
    <row r="53" spans="1:20" ht="42" customHeight="1">
      <c r="A53" s="2" t="s">
        <v>297</v>
      </c>
      <c r="B53" s="2" t="s">
        <v>332</v>
      </c>
      <c r="C53" s="2" t="s">
        <v>332</v>
      </c>
      <c r="D53" s="2" t="s">
        <v>333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7" t="str">
        <f>IF(AND(H53&lt;&gt;"",I53&lt;&gt;""),H53*I53,"NEED DATA")</f>
        <v>NEED DATA</v>
      </c>
      <c r="P53" s="7" t="str">
        <f>IF(AND(H53&lt;&gt;"",I53&lt;&gt;"",J53&lt;&gt;"",K53&lt;&gt;"",L53&lt;&gt;"",M53&lt;&gt;"",N53&lt;&gt;""),H53*I53*(J53*(1-K53)-L53)-M53,"NEED DATA")</f>
        <v>NEED DATA</v>
      </c>
      <c r="Q53" s="7" t="str">
        <f>IF(AND(H53&lt;&gt;"",I53&lt;&gt;"",J53&lt;&gt;"",K53&lt;&gt;"",L53&lt;&gt;"",M53&lt;&gt;"",N53&lt;&gt;""),P53-N53,"NEED DATA")</f>
        <v>NEED DATA</v>
      </c>
      <c r="R53" s="5"/>
      <c r="S53" s="7" t="str">
        <f>IF(AND(AND(H53&lt;&gt;"",I53&lt;&gt;"",J53&lt;&gt;"",K53&lt;&gt;"",L53&lt;&gt;"",M53&lt;&gt;"",N53&lt;&gt;""),R53&lt;&gt;""),IF(Q53&gt;0,R53/Q53,"NO POSITIVE CONTRIBUTION"),"NEED DATA")</f>
        <v>NEED DATA</v>
      </c>
      <c r="T53" s="2" t="s">
        <v>334</v>
      </c>
    </row>
    <row r="54" spans="1:20" ht="42" customHeight="1">
      <c r="A54" s="2" t="s">
        <v>297</v>
      </c>
      <c r="B54" s="2" t="s">
        <v>335</v>
      </c>
      <c r="C54" s="2" t="s">
        <v>335</v>
      </c>
      <c r="D54" s="2" t="s">
        <v>336</v>
      </c>
      <c r="E54" s="5"/>
      <c r="F54" s="5"/>
      <c r="G54" s="5"/>
      <c r="H54" s="5"/>
      <c r="I54" s="5"/>
      <c r="J54" s="5"/>
      <c r="K54" s="5"/>
      <c r="L54" s="5"/>
      <c r="M54" s="5"/>
      <c r="N54" s="5"/>
      <c r="O54" s="7" t="str">
        <f>IF(AND(H54&lt;&gt;"",I54&lt;&gt;""),H54*I54,"NEED DATA")</f>
        <v>NEED DATA</v>
      </c>
      <c r="P54" s="7" t="str">
        <f>IF(AND(H54&lt;&gt;"",I54&lt;&gt;"",J54&lt;&gt;"",K54&lt;&gt;"",L54&lt;&gt;"",M54&lt;&gt;"",N54&lt;&gt;""),H54*I54*(J54*(1-K54)-L54)-M54,"NEED DATA")</f>
        <v>NEED DATA</v>
      </c>
      <c r="Q54" s="7" t="str">
        <f>IF(AND(H54&lt;&gt;"",I54&lt;&gt;"",J54&lt;&gt;"",K54&lt;&gt;"",L54&lt;&gt;"",M54&lt;&gt;"",N54&lt;&gt;""),P54-N54,"NEED DATA")</f>
        <v>NEED DATA</v>
      </c>
      <c r="R54" s="5"/>
      <c r="S54" s="7" t="str">
        <f>IF(AND(AND(H54&lt;&gt;"",I54&lt;&gt;"",J54&lt;&gt;"",K54&lt;&gt;"",L54&lt;&gt;"",M54&lt;&gt;"",N54&lt;&gt;""),R54&lt;&gt;""),IF(Q54&gt;0,R54/Q54,"NO POSITIVE CONTRIBUTION"),"NEED DATA")</f>
        <v>NEED DATA</v>
      </c>
      <c r="T54" s="2" t="s">
        <v>334</v>
      </c>
    </row>
    <row r="55" spans="1:20" ht="42" customHeight="1">
      <c r="A55" s="2" t="s">
        <v>297</v>
      </c>
      <c r="B55" s="2" t="s">
        <v>337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7" t="str">
        <f>IF(AND(H55&lt;&gt;"",I55&lt;&gt;""),H55*I55,"NEED DATA")</f>
        <v>NEED DATA</v>
      </c>
      <c r="P55" s="7" t="str">
        <f>IF(AND(H55&lt;&gt;"",I55&lt;&gt;"",J55&lt;&gt;"",K55&lt;&gt;"",L55&lt;&gt;"",M55&lt;&gt;"",N55&lt;&gt;""),H55*I55*(J55*(1-K55)-L55)-M55,"NEED DATA")</f>
        <v>NEED DATA</v>
      </c>
      <c r="Q55" s="7" t="str">
        <f>IF(AND(H55&lt;&gt;"",I55&lt;&gt;"",J55&lt;&gt;"",K55&lt;&gt;"",L55&lt;&gt;"",M55&lt;&gt;"",N55&lt;&gt;""),P55-N55,"NEED DATA")</f>
        <v>NEED DATA</v>
      </c>
      <c r="R55" s="5"/>
      <c r="S55" s="7" t="str">
        <f>IF(AND(AND(H55&lt;&gt;"",I55&lt;&gt;"",J55&lt;&gt;"",K55&lt;&gt;"",L55&lt;&gt;"",M55&lt;&gt;"",N55&lt;&gt;""),R55&lt;&gt;""),IF(Q55&gt;0,R55/Q55,"NO POSITIVE CONTRIBUTION"),"NEED DATA")</f>
        <v>NEED DATA</v>
      </c>
      <c r="T55" s="2" t="s">
        <v>334</v>
      </c>
    </row>
    <row r="56" spans="1:20" ht="42" customHeight="1">
      <c r="A56" s="2" t="s">
        <v>297</v>
      </c>
      <c r="B56" s="2" t="s">
        <v>338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7" t="str">
        <f>IF(AND(H56&lt;&gt;"",I56&lt;&gt;""),H56*I56,"NEED DATA")</f>
        <v>NEED DATA</v>
      </c>
      <c r="P56" s="7" t="str">
        <f>IF(AND(H56&lt;&gt;"",I56&lt;&gt;"",J56&lt;&gt;"",K56&lt;&gt;"",L56&lt;&gt;"",M56&lt;&gt;"",N56&lt;&gt;""),H56*I56*(J56*(1-K56)-L56)-M56,"NEED DATA")</f>
        <v>NEED DATA</v>
      </c>
      <c r="Q56" s="7" t="str">
        <f>IF(AND(H56&lt;&gt;"",I56&lt;&gt;"",J56&lt;&gt;"",K56&lt;&gt;"",L56&lt;&gt;"",M56&lt;&gt;"",N56&lt;&gt;""),P56-N56,"NEED DATA")</f>
        <v>NEED DATA</v>
      </c>
      <c r="R56" s="5"/>
      <c r="S56" s="7" t="str">
        <f>IF(AND(AND(H56&lt;&gt;"",I56&lt;&gt;"",J56&lt;&gt;"",K56&lt;&gt;"",L56&lt;&gt;"",M56&lt;&gt;"",N56&lt;&gt;""),R56&lt;&gt;""),IF(Q56&gt;0,R56/Q56,"NO POSITIVE CONTRIBUTION"),"NEED DATA")</f>
        <v>NEED DATA</v>
      </c>
      <c r="T56" s="2" t="s">
        <v>334</v>
      </c>
    </row>
    <row r="57" spans="1:20" ht="42" customHeight="1">
      <c r="A57" s="2" t="s">
        <v>304</v>
      </c>
      <c r="B57" s="2" t="s">
        <v>332</v>
      </c>
      <c r="C57" s="2" t="s">
        <v>332</v>
      </c>
      <c r="D57" s="2" t="s">
        <v>333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7" t="str">
        <f>IF(AND(H57&lt;&gt;"",I57&lt;&gt;""),H57*I57,"NEED DATA")</f>
        <v>NEED DATA</v>
      </c>
      <c r="P57" s="7" t="str">
        <f>IF(AND(H57&lt;&gt;"",I57&lt;&gt;"",J57&lt;&gt;"",K57&lt;&gt;"",L57&lt;&gt;"",M57&lt;&gt;"",N57&lt;&gt;""),H57*I57*(J57*(1-K57)-L57)-M57,"NEED DATA")</f>
        <v>NEED DATA</v>
      </c>
      <c r="Q57" s="7" t="str">
        <f>IF(AND(H57&lt;&gt;"",I57&lt;&gt;"",J57&lt;&gt;"",K57&lt;&gt;"",L57&lt;&gt;"",M57&lt;&gt;"",N57&lt;&gt;""),P57-N57,"NEED DATA")</f>
        <v>NEED DATA</v>
      </c>
      <c r="R57" s="5"/>
      <c r="S57" s="7" t="str">
        <f>IF(AND(AND(H57&lt;&gt;"",I57&lt;&gt;"",J57&lt;&gt;"",K57&lt;&gt;"",L57&lt;&gt;"",M57&lt;&gt;"",N57&lt;&gt;""),R57&lt;&gt;""),IF(Q57&gt;0,R57/Q57,"NO POSITIVE CONTRIBUTION"),"NEED DATA")</f>
        <v>NEED DATA</v>
      </c>
      <c r="T57" s="2" t="s">
        <v>334</v>
      </c>
    </row>
    <row r="58" spans="1:20" ht="42" customHeight="1">
      <c r="A58" s="2" t="s">
        <v>304</v>
      </c>
      <c r="B58" s="2" t="s">
        <v>335</v>
      </c>
      <c r="C58" s="2" t="s">
        <v>335</v>
      </c>
      <c r="D58" s="2" t="s">
        <v>336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7" t="str">
        <f>IF(AND(H58&lt;&gt;"",I58&lt;&gt;""),H58*I58,"NEED DATA")</f>
        <v>NEED DATA</v>
      </c>
      <c r="P58" s="7" t="str">
        <f>IF(AND(H58&lt;&gt;"",I58&lt;&gt;"",J58&lt;&gt;"",K58&lt;&gt;"",L58&lt;&gt;"",M58&lt;&gt;"",N58&lt;&gt;""),H58*I58*(J58*(1-K58)-L58)-M58,"NEED DATA")</f>
        <v>NEED DATA</v>
      </c>
      <c r="Q58" s="7" t="str">
        <f>IF(AND(H58&lt;&gt;"",I58&lt;&gt;"",J58&lt;&gt;"",K58&lt;&gt;"",L58&lt;&gt;"",M58&lt;&gt;"",N58&lt;&gt;""),P58-N58,"NEED DATA")</f>
        <v>NEED DATA</v>
      </c>
      <c r="R58" s="5"/>
      <c r="S58" s="7" t="str">
        <f>IF(AND(AND(H58&lt;&gt;"",I58&lt;&gt;"",J58&lt;&gt;"",K58&lt;&gt;"",L58&lt;&gt;"",M58&lt;&gt;"",N58&lt;&gt;""),R58&lt;&gt;""),IF(Q58&gt;0,R58/Q58,"NO POSITIVE CONTRIBUTION"),"NEED DATA")</f>
        <v>NEED DATA</v>
      </c>
      <c r="T58" s="2" t="s">
        <v>334</v>
      </c>
    </row>
    <row r="59" spans="1:20" ht="42" customHeight="1">
      <c r="A59" s="2" t="s">
        <v>304</v>
      </c>
      <c r="B59" s="2" t="s">
        <v>337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7" t="str">
        <f>IF(AND(H59&lt;&gt;"",I59&lt;&gt;""),H59*I59,"NEED DATA")</f>
        <v>NEED DATA</v>
      </c>
      <c r="P59" s="7" t="str">
        <f>IF(AND(H59&lt;&gt;"",I59&lt;&gt;"",J59&lt;&gt;"",K59&lt;&gt;"",L59&lt;&gt;"",M59&lt;&gt;"",N59&lt;&gt;""),H59*I59*(J59*(1-K59)-L59)-M59,"NEED DATA")</f>
        <v>NEED DATA</v>
      </c>
      <c r="Q59" s="7" t="str">
        <f>IF(AND(H59&lt;&gt;"",I59&lt;&gt;"",J59&lt;&gt;"",K59&lt;&gt;"",L59&lt;&gt;"",M59&lt;&gt;"",N59&lt;&gt;""),P59-N59,"NEED DATA")</f>
        <v>NEED DATA</v>
      </c>
      <c r="R59" s="5"/>
      <c r="S59" s="7" t="str">
        <f>IF(AND(AND(H59&lt;&gt;"",I59&lt;&gt;"",J59&lt;&gt;"",K59&lt;&gt;"",L59&lt;&gt;"",M59&lt;&gt;"",N59&lt;&gt;""),R59&lt;&gt;""),IF(Q59&gt;0,R59/Q59,"NO POSITIVE CONTRIBUTION"),"NEED DATA")</f>
        <v>NEED DATA</v>
      </c>
      <c r="T59" s="2" t="s">
        <v>334</v>
      </c>
    </row>
    <row r="60" spans="1:20" ht="42" customHeight="1">
      <c r="A60" s="2" t="s">
        <v>304</v>
      </c>
      <c r="B60" s="2" t="s">
        <v>338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7" t="str">
        <f>IF(AND(H60&lt;&gt;"",I60&lt;&gt;""),H60*I60,"NEED DATA")</f>
        <v>NEED DATA</v>
      </c>
      <c r="P60" s="7" t="str">
        <f>IF(AND(H60&lt;&gt;"",I60&lt;&gt;"",J60&lt;&gt;"",K60&lt;&gt;"",L60&lt;&gt;"",M60&lt;&gt;"",N60&lt;&gt;""),H60*I60*(J60*(1-K60)-L60)-M60,"NEED DATA")</f>
        <v>NEED DATA</v>
      </c>
      <c r="Q60" s="7" t="str">
        <f>IF(AND(H60&lt;&gt;"",I60&lt;&gt;"",J60&lt;&gt;"",K60&lt;&gt;"",L60&lt;&gt;"",M60&lt;&gt;"",N60&lt;&gt;""),P60-N60,"NEED DATA")</f>
        <v>NEED DATA</v>
      </c>
      <c r="R60" s="5"/>
      <c r="S60" s="7" t="str">
        <f>IF(AND(AND(H60&lt;&gt;"",I60&lt;&gt;"",J60&lt;&gt;"",K60&lt;&gt;"",L60&lt;&gt;"",M60&lt;&gt;"",N60&lt;&gt;""),R60&lt;&gt;""),IF(Q60&gt;0,R60/Q60,"NO POSITIVE CONTRIBUTION"),"NEED DATA")</f>
        <v>NEED DATA</v>
      </c>
      <c r="T60" s="2" t="s">
        <v>334</v>
      </c>
    </row>
  </sheetData>
  <autoFilter ref="A4:T60"/>
  <mergeCells count="2">
    <mergeCell ref="A1:T1"/>
    <mergeCell ref="A2:T2"/>
  </mergeCells>
  <dataValidations count="504">
    <dataValidation type="decimal" allowBlank="1" showInputMessage="1" showErrorMessage="1" sqref="H5">
      <formula1>0</formula1>
      <formula2>1</formula2>
    </dataValidation>
    <dataValidation type="decimal" allowBlank="1" showInputMessage="1" showErrorMessage="1" sqref="I5">
      <formula1>0</formula1>
      <formula2>1</formula2>
    </dataValidation>
    <dataValidation type="decimal" allowBlank="1" showInputMessage="1" showErrorMessage="1" sqref="K5">
      <formula1>0</formula1>
      <formula2>1</formula2>
    </dataValidation>
    <dataValidation type="decimal" operator="greaterThanOrEqual" allowBlank="1" showInputMessage="1" showErrorMessage="1" sqref="J5">
      <formula1>0</formula1>
    </dataValidation>
    <dataValidation type="decimal" operator="greaterThanOrEqual" allowBlank="1" showInputMessage="1" showErrorMessage="1" sqref="L5">
      <formula1>0</formula1>
    </dataValidation>
    <dataValidation type="decimal" operator="greaterThanOrEqual" allowBlank="1" showInputMessage="1" showErrorMessage="1" sqref="M5">
      <formula1>0</formula1>
    </dataValidation>
    <dataValidation type="decimal" operator="greaterThanOrEqual" allowBlank="1" showInputMessage="1" showErrorMessage="1" sqref="N5">
      <formula1>0</formula1>
    </dataValidation>
    <dataValidation type="decimal" operator="greaterThanOrEqual" allowBlank="1" showInputMessage="1" showErrorMessage="1" sqref="R5">
      <formula1>0</formula1>
    </dataValidation>
    <dataValidation type="whole" allowBlank="1" showInputMessage="1" showErrorMessage="1" sqref="F5">
      <formula1>0</formula1>
      <formula2>1</formula2>
    </dataValidation>
    <dataValidation type="decimal" allowBlank="1" showInputMessage="1" showErrorMessage="1" sqref="H6">
      <formula1>0</formula1>
      <formula2>1</formula2>
    </dataValidation>
    <dataValidation type="decimal" allowBlank="1" showInputMessage="1" showErrorMessage="1" sqref="I6">
      <formula1>0</formula1>
      <formula2>1</formula2>
    </dataValidation>
    <dataValidation type="decimal" allowBlank="1" showInputMessage="1" showErrorMessage="1" sqref="K6">
      <formula1>0</formula1>
      <formula2>1</formula2>
    </dataValidation>
    <dataValidation type="decimal" operator="greaterThanOrEqual" allowBlank="1" showInputMessage="1" showErrorMessage="1" sqref="J6">
      <formula1>0</formula1>
    </dataValidation>
    <dataValidation type="decimal" operator="greaterThanOrEqual" allowBlank="1" showInputMessage="1" showErrorMessage="1" sqref="L6">
      <formula1>0</formula1>
    </dataValidation>
    <dataValidation type="decimal" operator="greaterThanOrEqual" allowBlank="1" showInputMessage="1" showErrorMessage="1" sqref="M6">
      <formula1>0</formula1>
    </dataValidation>
    <dataValidation type="decimal" operator="greaterThanOrEqual" allowBlank="1" showInputMessage="1" showErrorMessage="1" sqref="N6">
      <formula1>0</formula1>
    </dataValidation>
    <dataValidation type="decimal" operator="greaterThanOrEqual" allowBlank="1" showInputMessage="1" showErrorMessage="1" sqref="R6">
      <formula1>0</formula1>
    </dataValidation>
    <dataValidation type="whole" allowBlank="1" showInputMessage="1" showErrorMessage="1" sqref="F6">
      <formula1>0</formula1>
      <formula2>1</formula2>
    </dataValidation>
    <dataValidation type="decimal" allowBlank="1" showInputMessage="1" showErrorMessage="1" sqref="H7">
      <formula1>0</formula1>
      <formula2>1</formula2>
    </dataValidation>
    <dataValidation type="decimal" allowBlank="1" showInputMessage="1" showErrorMessage="1" sqref="I7">
      <formula1>0</formula1>
      <formula2>1</formula2>
    </dataValidation>
    <dataValidation type="decimal" allowBlank="1" showInputMessage="1" showErrorMessage="1" sqref="K7">
      <formula1>0</formula1>
      <formula2>1</formula2>
    </dataValidation>
    <dataValidation type="decimal" operator="greaterThanOrEqual" allowBlank="1" showInputMessage="1" showErrorMessage="1" sqref="J7">
      <formula1>0</formula1>
    </dataValidation>
    <dataValidation type="decimal" operator="greaterThanOrEqual" allowBlank="1" showInputMessage="1" showErrorMessage="1" sqref="L7">
      <formula1>0</formula1>
    </dataValidation>
    <dataValidation type="decimal" operator="greaterThanOrEqual" allowBlank="1" showInputMessage="1" showErrorMessage="1" sqref="M7">
      <formula1>0</formula1>
    </dataValidation>
    <dataValidation type="decimal" operator="greaterThanOrEqual" allowBlank="1" showInputMessage="1" showErrorMessage="1" sqref="N7">
      <formula1>0</formula1>
    </dataValidation>
    <dataValidation type="decimal" operator="greaterThanOrEqual" allowBlank="1" showInputMessage="1" showErrorMessage="1" sqref="R7">
      <formula1>0</formula1>
    </dataValidation>
    <dataValidation type="whole" allowBlank="1" showInputMessage="1" showErrorMessage="1" sqref="F7">
      <formula1>0</formula1>
      <formula2>1</formula2>
    </dataValidation>
    <dataValidation type="decimal" allowBlank="1" showInputMessage="1" showErrorMessage="1" sqref="H8">
      <formula1>0</formula1>
      <formula2>1</formula2>
    </dataValidation>
    <dataValidation type="decimal" allowBlank="1" showInputMessage="1" showErrorMessage="1" sqref="I8">
      <formula1>0</formula1>
      <formula2>1</formula2>
    </dataValidation>
    <dataValidation type="decimal" allowBlank="1" showInputMessage="1" showErrorMessage="1" sqref="K8">
      <formula1>0</formula1>
      <formula2>1</formula2>
    </dataValidation>
    <dataValidation type="decimal" operator="greaterThanOrEqual" allowBlank="1" showInputMessage="1" showErrorMessage="1" sqref="J8">
      <formula1>0</formula1>
    </dataValidation>
    <dataValidation type="decimal" operator="greaterThanOrEqual" allowBlank="1" showInputMessage="1" showErrorMessage="1" sqref="L8">
      <formula1>0</formula1>
    </dataValidation>
    <dataValidation type="decimal" operator="greaterThanOrEqual" allowBlank="1" showInputMessage="1" showErrorMessage="1" sqref="M8">
      <formula1>0</formula1>
    </dataValidation>
    <dataValidation type="decimal" operator="greaterThanOrEqual" allowBlank="1" showInputMessage="1" showErrorMessage="1" sqref="N8">
      <formula1>0</formula1>
    </dataValidation>
    <dataValidation type="decimal" operator="greaterThanOrEqual" allowBlank="1" showInputMessage="1" showErrorMessage="1" sqref="R8">
      <formula1>0</formula1>
    </dataValidation>
    <dataValidation type="whole" allowBlank="1" showInputMessage="1" showErrorMessage="1" sqref="F8">
      <formula1>0</formula1>
      <formula2>1</formula2>
    </dataValidation>
    <dataValidation type="decimal" allowBlank="1" showInputMessage="1" showErrorMessage="1" sqref="H9">
      <formula1>0</formula1>
      <formula2>1</formula2>
    </dataValidation>
    <dataValidation type="decimal" allowBlank="1" showInputMessage="1" showErrorMessage="1" sqref="I9">
      <formula1>0</formula1>
      <formula2>1</formula2>
    </dataValidation>
    <dataValidation type="decimal" allowBlank="1" showInputMessage="1" showErrorMessage="1" sqref="K9">
      <formula1>0</formula1>
      <formula2>1</formula2>
    </dataValidation>
    <dataValidation type="decimal" operator="greaterThanOrEqual" allowBlank="1" showInputMessage="1" showErrorMessage="1" sqref="J9">
      <formula1>0</formula1>
    </dataValidation>
    <dataValidation type="decimal" operator="greaterThanOrEqual" allowBlank="1" showInputMessage="1" showErrorMessage="1" sqref="L9">
      <formula1>0</formula1>
    </dataValidation>
    <dataValidation type="decimal" operator="greaterThanOrEqual" allowBlank="1" showInputMessage="1" showErrorMessage="1" sqref="M9">
      <formula1>0</formula1>
    </dataValidation>
    <dataValidation type="decimal" operator="greaterThanOrEqual" allowBlank="1" showInputMessage="1" showErrorMessage="1" sqref="N9">
      <formula1>0</formula1>
    </dataValidation>
    <dataValidation type="decimal" operator="greaterThanOrEqual" allowBlank="1" showInputMessage="1" showErrorMessage="1" sqref="R9">
      <formula1>0</formula1>
    </dataValidation>
    <dataValidation type="whole" allowBlank="1" showInputMessage="1" showErrorMessage="1" sqref="F9">
      <formula1>0</formula1>
      <formula2>1</formula2>
    </dataValidation>
    <dataValidation type="decimal" allowBlank="1" showInputMessage="1" showErrorMessage="1" sqref="H10">
      <formula1>0</formula1>
      <formula2>1</formula2>
    </dataValidation>
    <dataValidation type="decimal" allowBlank="1" showInputMessage="1" showErrorMessage="1" sqref="I10">
      <formula1>0</formula1>
      <formula2>1</formula2>
    </dataValidation>
    <dataValidation type="decimal" allowBlank="1" showInputMessage="1" showErrorMessage="1" sqref="K10">
      <formula1>0</formula1>
      <formula2>1</formula2>
    </dataValidation>
    <dataValidation type="decimal" operator="greaterThanOrEqual" allowBlank="1" showInputMessage="1" showErrorMessage="1" sqref="J10">
      <formula1>0</formula1>
    </dataValidation>
    <dataValidation type="decimal" operator="greaterThanOrEqual" allowBlank="1" showInputMessage="1" showErrorMessage="1" sqref="L10">
      <formula1>0</formula1>
    </dataValidation>
    <dataValidation type="decimal" operator="greaterThanOrEqual" allowBlank="1" showInputMessage="1" showErrorMessage="1" sqref="M10">
      <formula1>0</formula1>
    </dataValidation>
    <dataValidation type="decimal" operator="greaterThanOrEqual" allowBlank="1" showInputMessage="1" showErrorMessage="1" sqref="N10">
      <formula1>0</formula1>
    </dataValidation>
    <dataValidation type="decimal" operator="greaterThanOrEqual" allowBlank="1" showInputMessage="1" showErrorMessage="1" sqref="R10">
      <formula1>0</formula1>
    </dataValidation>
    <dataValidation type="whole" allowBlank="1" showInputMessage="1" showErrorMessage="1" sqref="F10">
      <formula1>0</formula1>
      <formula2>1</formula2>
    </dataValidation>
    <dataValidation type="decimal" allowBlank="1" showInputMessage="1" showErrorMessage="1" sqref="H11">
      <formula1>0</formula1>
      <formula2>1</formula2>
    </dataValidation>
    <dataValidation type="decimal" allowBlank="1" showInputMessage="1" showErrorMessage="1" sqref="I11">
      <formula1>0</formula1>
      <formula2>1</formula2>
    </dataValidation>
    <dataValidation type="decimal" allowBlank="1" showInputMessage="1" showErrorMessage="1" sqref="K11">
      <formula1>0</formula1>
      <formula2>1</formula2>
    </dataValidation>
    <dataValidation type="decimal" operator="greaterThanOrEqual" allowBlank="1" showInputMessage="1" showErrorMessage="1" sqref="J11">
      <formula1>0</formula1>
    </dataValidation>
    <dataValidation type="decimal" operator="greaterThanOrEqual" allowBlank="1" showInputMessage="1" showErrorMessage="1" sqref="L11">
      <formula1>0</formula1>
    </dataValidation>
    <dataValidation type="decimal" operator="greaterThanOrEqual" allowBlank="1" showInputMessage="1" showErrorMessage="1" sqref="M11">
      <formula1>0</formula1>
    </dataValidation>
    <dataValidation type="decimal" operator="greaterThanOrEqual" allowBlank="1" showInputMessage="1" showErrorMessage="1" sqref="N11">
      <formula1>0</formula1>
    </dataValidation>
    <dataValidation type="decimal" operator="greaterThanOrEqual" allowBlank="1" showInputMessage="1" showErrorMessage="1" sqref="R11">
      <formula1>0</formula1>
    </dataValidation>
    <dataValidation type="whole" allowBlank="1" showInputMessage="1" showErrorMessage="1" sqref="F11">
      <formula1>0</formula1>
      <formula2>1</formula2>
    </dataValidation>
    <dataValidation type="decimal" allowBlank="1" showInputMessage="1" showErrorMessage="1" sqref="H12">
      <formula1>0</formula1>
      <formula2>1</formula2>
    </dataValidation>
    <dataValidation type="decimal" allowBlank="1" showInputMessage="1" showErrorMessage="1" sqref="I12">
      <formula1>0</formula1>
      <formula2>1</formula2>
    </dataValidation>
    <dataValidation type="decimal" allowBlank="1" showInputMessage="1" showErrorMessage="1" sqref="K12">
      <formula1>0</formula1>
      <formula2>1</formula2>
    </dataValidation>
    <dataValidation type="decimal" operator="greaterThanOrEqual" allowBlank="1" showInputMessage="1" showErrorMessage="1" sqref="J12">
      <formula1>0</formula1>
    </dataValidation>
    <dataValidation type="decimal" operator="greaterThanOrEqual" allowBlank="1" showInputMessage="1" showErrorMessage="1" sqref="L12">
      <formula1>0</formula1>
    </dataValidation>
    <dataValidation type="decimal" operator="greaterThanOrEqual" allowBlank="1" showInputMessage="1" showErrorMessage="1" sqref="M12">
      <formula1>0</formula1>
    </dataValidation>
    <dataValidation type="decimal" operator="greaterThanOrEqual" allowBlank="1" showInputMessage="1" showErrorMessage="1" sqref="N12">
      <formula1>0</formula1>
    </dataValidation>
    <dataValidation type="decimal" operator="greaterThanOrEqual" allowBlank="1" showInputMessage="1" showErrorMessage="1" sqref="R12">
      <formula1>0</formula1>
    </dataValidation>
    <dataValidation type="whole" allowBlank="1" showInputMessage="1" showErrorMessage="1" sqref="F12">
      <formula1>0</formula1>
      <formula2>1</formula2>
    </dataValidation>
    <dataValidation type="decimal" allowBlank="1" showInputMessage="1" showErrorMessage="1" sqref="H13">
      <formula1>0</formula1>
      <formula2>1</formula2>
    </dataValidation>
    <dataValidation type="decimal" allowBlank="1" showInputMessage="1" showErrorMessage="1" sqref="I13">
      <formula1>0</formula1>
      <formula2>1</formula2>
    </dataValidation>
    <dataValidation type="decimal" allowBlank="1" showInputMessage="1" showErrorMessage="1" sqref="K13">
      <formula1>0</formula1>
      <formula2>1</formula2>
    </dataValidation>
    <dataValidation type="decimal" operator="greaterThanOrEqual" allowBlank="1" showInputMessage="1" showErrorMessage="1" sqref="J13">
      <formula1>0</formula1>
    </dataValidation>
    <dataValidation type="decimal" operator="greaterThanOrEqual" allowBlank="1" showInputMessage="1" showErrorMessage="1" sqref="L13">
      <formula1>0</formula1>
    </dataValidation>
    <dataValidation type="decimal" operator="greaterThanOrEqual" allowBlank="1" showInputMessage="1" showErrorMessage="1" sqref="M13">
      <formula1>0</formula1>
    </dataValidation>
    <dataValidation type="decimal" operator="greaterThanOrEqual" allowBlank="1" showInputMessage="1" showErrorMessage="1" sqref="N13">
      <formula1>0</formula1>
    </dataValidation>
    <dataValidation type="decimal" operator="greaterThanOrEqual" allowBlank="1" showInputMessage="1" showErrorMessage="1" sqref="R13">
      <formula1>0</formula1>
    </dataValidation>
    <dataValidation type="whole" allowBlank="1" showInputMessage="1" showErrorMessage="1" sqref="F13">
      <formula1>0</formula1>
      <formula2>1</formula2>
    </dataValidation>
    <dataValidation type="decimal" allowBlank="1" showInputMessage="1" showErrorMessage="1" sqref="H14">
      <formula1>0</formula1>
      <formula2>1</formula2>
    </dataValidation>
    <dataValidation type="decimal" allowBlank="1" showInputMessage="1" showErrorMessage="1" sqref="I14">
      <formula1>0</formula1>
      <formula2>1</formula2>
    </dataValidation>
    <dataValidation type="decimal" allowBlank="1" showInputMessage="1" showErrorMessage="1" sqref="K14">
      <formula1>0</formula1>
      <formula2>1</formula2>
    </dataValidation>
    <dataValidation type="decimal" operator="greaterThanOrEqual" allowBlank="1" showInputMessage="1" showErrorMessage="1" sqref="J14">
      <formula1>0</formula1>
    </dataValidation>
    <dataValidation type="decimal" operator="greaterThanOrEqual" allowBlank="1" showInputMessage="1" showErrorMessage="1" sqref="L14">
      <formula1>0</formula1>
    </dataValidation>
    <dataValidation type="decimal" operator="greaterThanOrEqual" allowBlank="1" showInputMessage="1" showErrorMessage="1" sqref="M14">
      <formula1>0</formula1>
    </dataValidation>
    <dataValidation type="decimal" operator="greaterThanOrEqual" allowBlank="1" showInputMessage="1" showErrorMessage="1" sqref="N14">
      <formula1>0</formula1>
    </dataValidation>
    <dataValidation type="decimal" operator="greaterThanOrEqual" allowBlank="1" showInputMessage="1" showErrorMessage="1" sqref="R14">
      <formula1>0</formula1>
    </dataValidation>
    <dataValidation type="whole" allowBlank="1" showInputMessage="1" showErrorMessage="1" sqref="F14">
      <formula1>0</formula1>
      <formula2>1</formula2>
    </dataValidation>
    <dataValidation type="decimal" allowBlank="1" showInputMessage="1" showErrorMessage="1" sqref="H15">
      <formula1>0</formula1>
      <formula2>1</formula2>
    </dataValidation>
    <dataValidation type="decimal" allowBlank="1" showInputMessage="1" showErrorMessage="1" sqref="I15">
      <formula1>0</formula1>
      <formula2>1</formula2>
    </dataValidation>
    <dataValidation type="decimal" allowBlank="1" showInputMessage="1" showErrorMessage="1" sqref="K15">
      <formula1>0</formula1>
      <formula2>1</formula2>
    </dataValidation>
    <dataValidation type="decimal" operator="greaterThanOrEqual" allowBlank="1" showInputMessage="1" showErrorMessage="1" sqref="J15">
      <formula1>0</formula1>
    </dataValidation>
    <dataValidation type="decimal" operator="greaterThanOrEqual" allowBlank="1" showInputMessage="1" showErrorMessage="1" sqref="L15">
      <formula1>0</formula1>
    </dataValidation>
    <dataValidation type="decimal" operator="greaterThanOrEqual" allowBlank="1" showInputMessage="1" showErrorMessage="1" sqref="M15">
      <formula1>0</formula1>
    </dataValidation>
    <dataValidation type="decimal" operator="greaterThanOrEqual" allowBlank="1" showInputMessage="1" showErrorMessage="1" sqref="N15">
      <formula1>0</formula1>
    </dataValidation>
    <dataValidation type="decimal" operator="greaterThanOrEqual" allowBlank="1" showInputMessage="1" showErrorMessage="1" sqref="R15">
      <formula1>0</formula1>
    </dataValidation>
    <dataValidation type="whole" allowBlank="1" showInputMessage="1" showErrorMessage="1" sqref="F15">
      <formula1>0</formula1>
      <formula2>1</formula2>
    </dataValidation>
    <dataValidation type="decimal" allowBlank="1" showInputMessage="1" showErrorMessage="1" sqref="H16">
      <formula1>0</formula1>
      <formula2>1</formula2>
    </dataValidation>
    <dataValidation type="decimal" allowBlank="1" showInputMessage="1" showErrorMessage="1" sqref="I16">
      <formula1>0</formula1>
      <formula2>1</formula2>
    </dataValidation>
    <dataValidation type="decimal" allowBlank="1" showInputMessage="1" showErrorMessage="1" sqref="K16">
      <formula1>0</formula1>
      <formula2>1</formula2>
    </dataValidation>
    <dataValidation type="decimal" operator="greaterThanOrEqual" allowBlank="1" showInputMessage="1" showErrorMessage="1" sqref="J16">
      <formula1>0</formula1>
    </dataValidation>
    <dataValidation type="decimal" operator="greaterThanOrEqual" allowBlank="1" showInputMessage="1" showErrorMessage="1" sqref="L16">
      <formula1>0</formula1>
    </dataValidation>
    <dataValidation type="decimal" operator="greaterThanOrEqual" allowBlank="1" showInputMessage="1" showErrorMessage="1" sqref="M16">
      <formula1>0</formula1>
    </dataValidation>
    <dataValidation type="decimal" operator="greaterThanOrEqual" allowBlank="1" showInputMessage="1" showErrorMessage="1" sqref="N16">
      <formula1>0</formula1>
    </dataValidation>
    <dataValidation type="decimal" operator="greaterThanOrEqual" allowBlank="1" showInputMessage="1" showErrorMessage="1" sqref="R16">
      <formula1>0</formula1>
    </dataValidation>
    <dataValidation type="whole" allowBlank="1" showInputMessage="1" showErrorMessage="1" sqref="F16">
      <formula1>0</formula1>
      <formula2>1</formula2>
    </dataValidation>
    <dataValidation type="decimal" allowBlank="1" showInputMessage="1" showErrorMessage="1" sqref="H17">
      <formula1>0</formula1>
      <formula2>1</formula2>
    </dataValidation>
    <dataValidation type="decimal" allowBlank="1" showInputMessage="1" showErrorMessage="1" sqref="I17">
      <formula1>0</formula1>
      <formula2>1</formula2>
    </dataValidation>
    <dataValidation type="decimal" allowBlank="1" showInputMessage="1" showErrorMessage="1" sqref="K17">
      <formula1>0</formula1>
      <formula2>1</formula2>
    </dataValidation>
    <dataValidation type="decimal" operator="greaterThanOrEqual" allowBlank="1" showInputMessage="1" showErrorMessage="1" sqref="J17">
      <formula1>0</formula1>
    </dataValidation>
    <dataValidation type="decimal" operator="greaterThanOrEqual" allowBlank="1" showInputMessage="1" showErrorMessage="1" sqref="L17">
      <formula1>0</formula1>
    </dataValidation>
    <dataValidation type="decimal" operator="greaterThanOrEqual" allowBlank="1" showInputMessage="1" showErrorMessage="1" sqref="M17">
      <formula1>0</formula1>
    </dataValidation>
    <dataValidation type="decimal" operator="greaterThanOrEqual" allowBlank="1" showInputMessage="1" showErrorMessage="1" sqref="N17">
      <formula1>0</formula1>
    </dataValidation>
    <dataValidation type="decimal" operator="greaterThanOrEqual" allowBlank="1" showInputMessage="1" showErrorMessage="1" sqref="R17">
      <formula1>0</formula1>
    </dataValidation>
    <dataValidation type="whole" allowBlank="1" showInputMessage="1" showErrorMessage="1" sqref="F17">
      <formula1>0</formula1>
      <formula2>1</formula2>
    </dataValidation>
    <dataValidation type="decimal" allowBlank="1" showInputMessage="1" showErrorMessage="1" sqref="H18">
      <formula1>0</formula1>
      <formula2>1</formula2>
    </dataValidation>
    <dataValidation type="decimal" allowBlank="1" showInputMessage="1" showErrorMessage="1" sqref="I18">
      <formula1>0</formula1>
      <formula2>1</formula2>
    </dataValidation>
    <dataValidation type="decimal" allowBlank="1" showInputMessage="1" showErrorMessage="1" sqref="K18">
      <formula1>0</formula1>
      <formula2>1</formula2>
    </dataValidation>
    <dataValidation type="decimal" operator="greaterThanOrEqual" allowBlank="1" showInputMessage="1" showErrorMessage="1" sqref="J18">
      <formula1>0</formula1>
    </dataValidation>
    <dataValidation type="decimal" operator="greaterThanOrEqual" allowBlank="1" showInputMessage="1" showErrorMessage="1" sqref="L18">
      <formula1>0</formula1>
    </dataValidation>
    <dataValidation type="decimal" operator="greaterThanOrEqual" allowBlank="1" showInputMessage="1" showErrorMessage="1" sqref="M18">
      <formula1>0</formula1>
    </dataValidation>
    <dataValidation type="decimal" operator="greaterThanOrEqual" allowBlank="1" showInputMessage="1" showErrorMessage="1" sqref="N18">
      <formula1>0</formula1>
    </dataValidation>
    <dataValidation type="decimal" operator="greaterThanOrEqual" allowBlank="1" showInputMessage="1" showErrorMessage="1" sqref="R18">
      <formula1>0</formula1>
    </dataValidation>
    <dataValidation type="whole" allowBlank="1" showInputMessage="1" showErrorMessage="1" sqref="F18">
      <formula1>0</formula1>
      <formula2>1</formula2>
    </dataValidation>
    <dataValidation type="decimal" allowBlank="1" showInputMessage="1" showErrorMessage="1" sqref="H19">
      <formula1>0</formula1>
      <formula2>1</formula2>
    </dataValidation>
    <dataValidation type="decimal" allowBlank="1" showInputMessage="1" showErrorMessage="1" sqref="I19">
      <formula1>0</formula1>
      <formula2>1</formula2>
    </dataValidation>
    <dataValidation type="decimal" allowBlank="1" showInputMessage="1" showErrorMessage="1" sqref="K19">
      <formula1>0</formula1>
      <formula2>1</formula2>
    </dataValidation>
    <dataValidation type="decimal" operator="greaterThanOrEqual" allowBlank="1" showInputMessage="1" showErrorMessage="1" sqref="J19">
      <formula1>0</formula1>
    </dataValidation>
    <dataValidation type="decimal" operator="greaterThanOrEqual" allowBlank="1" showInputMessage="1" showErrorMessage="1" sqref="L19">
      <formula1>0</formula1>
    </dataValidation>
    <dataValidation type="decimal" operator="greaterThanOrEqual" allowBlank="1" showInputMessage="1" showErrorMessage="1" sqref="M19">
      <formula1>0</formula1>
    </dataValidation>
    <dataValidation type="decimal" operator="greaterThanOrEqual" allowBlank="1" showInputMessage="1" showErrorMessage="1" sqref="N19">
      <formula1>0</formula1>
    </dataValidation>
    <dataValidation type="decimal" operator="greaterThanOrEqual" allowBlank="1" showInputMessage="1" showErrorMessage="1" sqref="R19">
      <formula1>0</formula1>
    </dataValidation>
    <dataValidation type="whole" allowBlank="1" showInputMessage="1" showErrorMessage="1" sqref="F19">
      <formula1>0</formula1>
      <formula2>1</formula2>
    </dataValidation>
    <dataValidation type="decimal" allowBlank="1" showInputMessage="1" showErrorMessage="1" sqref="H20">
      <formula1>0</formula1>
      <formula2>1</formula2>
    </dataValidation>
    <dataValidation type="decimal" allowBlank="1" showInputMessage="1" showErrorMessage="1" sqref="I20">
      <formula1>0</formula1>
      <formula2>1</formula2>
    </dataValidation>
    <dataValidation type="decimal" allowBlank="1" showInputMessage="1" showErrorMessage="1" sqref="K20">
      <formula1>0</formula1>
      <formula2>1</formula2>
    </dataValidation>
    <dataValidation type="decimal" operator="greaterThanOrEqual" allowBlank="1" showInputMessage="1" showErrorMessage="1" sqref="J20">
      <formula1>0</formula1>
    </dataValidation>
    <dataValidation type="decimal" operator="greaterThanOrEqual" allowBlank="1" showInputMessage="1" showErrorMessage="1" sqref="L20">
      <formula1>0</formula1>
    </dataValidation>
    <dataValidation type="decimal" operator="greaterThanOrEqual" allowBlank="1" showInputMessage="1" showErrorMessage="1" sqref="M20">
      <formula1>0</formula1>
    </dataValidation>
    <dataValidation type="decimal" operator="greaterThanOrEqual" allowBlank="1" showInputMessage="1" showErrorMessage="1" sqref="N20">
      <formula1>0</formula1>
    </dataValidation>
    <dataValidation type="decimal" operator="greaterThanOrEqual" allowBlank="1" showInputMessage="1" showErrorMessage="1" sqref="R20">
      <formula1>0</formula1>
    </dataValidation>
    <dataValidation type="whole" allowBlank="1" showInputMessage="1" showErrorMessage="1" sqref="F20">
      <formula1>0</formula1>
      <formula2>1</formula2>
    </dataValidation>
    <dataValidation type="decimal" allowBlank="1" showInputMessage="1" showErrorMessage="1" sqref="H21">
      <formula1>0</formula1>
      <formula2>1</formula2>
    </dataValidation>
    <dataValidation type="decimal" allowBlank="1" showInputMessage="1" showErrorMessage="1" sqref="I21">
      <formula1>0</formula1>
      <formula2>1</formula2>
    </dataValidation>
    <dataValidation type="decimal" allowBlank="1" showInputMessage="1" showErrorMessage="1" sqref="K21">
      <formula1>0</formula1>
      <formula2>1</formula2>
    </dataValidation>
    <dataValidation type="decimal" operator="greaterThanOrEqual" allowBlank="1" showInputMessage="1" showErrorMessage="1" sqref="J21">
      <formula1>0</formula1>
    </dataValidation>
    <dataValidation type="decimal" operator="greaterThanOrEqual" allowBlank="1" showInputMessage="1" showErrorMessage="1" sqref="L21">
      <formula1>0</formula1>
    </dataValidation>
    <dataValidation type="decimal" operator="greaterThanOrEqual" allowBlank="1" showInputMessage="1" showErrorMessage="1" sqref="M21">
      <formula1>0</formula1>
    </dataValidation>
    <dataValidation type="decimal" operator="greaterThanOrEqual" allowBlank="1" showInputMessage="1" showErrorMessage="1" sqref="N21">
      <formula1>0</formula1>
    </dataValidation>
    <dataValidation type="decimal" operator="greaterThanOrEqual" allowBlank="1" showInputMessage="1" showErrorMessage="1" sqref="R21">
      <formula1>0</formula1>
    </dataValidation>
    <dataValidation type="whole" allowBlank="1" showInputMessage="1" showErrorMessage="1" sqref="F21">
      <formula1>0</formula1>
      <formula2>1</formula2>
    </dataValidation>
    <dataValidation type="decimal" allowBlank="1" showInputMessage="1" showErrorMessage="1" sqref="H22">
      <formula1>0</formula1>
      <formula2>1</formula2>
    </dataValidation>
    <dataValidation type="decimal" allowBlank="1" showInputMessage="1" showErrorMessage="1" sqref="I22">
      <formula1>0</formula1>
      <formula2>1</formula2>
    </dataValidation>
    <dataValidation type="decimal" allowBlank="1" showInputMessage="1" showErrorMessage="1" sqref="K22">
      <formula1>0</formula1>
      <formula2>1</formula2>
    </dataValidation>
    <dataValidation type="decimal" operator="greaterThanOrEqual" allowBlank="1" showInputMessage="1" showErrorMessage="1" sqref="J22">
      <formula1>0</formula1>
    </dataValidation>
    <dataValidation type="decimal" operator="greaterThanOrEqual" allowBlank="1" showInputMessage="1" showErrorMessage="1" sqref="L22">
      <formula1>0</formula1>
    </dataValidation>
    <dataValidation type="decimal" operator="greaterThanOrEqual" allowBlank="1" showInputMessage="1" showErrorMessage="1" sqref="M22">
      <formula1>0</formula1>
    </dataValidation>
    <dataValidation type="decimal" operator="greaterThanOrEqual" allowBlank="1" showInputMessage="1" showErrorMessage="1" sqref="N22">
      <formula1>0</formula1>
    </dataValidation>
    <dataValidation type="decimal" operator="greaterThanOrEqual" allowBlank="1" showInputMessage="1" showErrorMessage="1" sqref="R22">
      <formula1>0</formula1>
    </dataValidation>
    <dataValidation type="whole" allowBlank="1" showInputMessage="1" showErrorMessage="1" sqref="F22">
      <formula1>0</formula1>
      <formula2>1</formula2>
    </dataValidation>
    <dataValidation type="decimal" allowBlank="1" showInputMessage="1" showErrorMessage="1" sqref="H23">
      <formula1>0</formula1>
      <formula2>1</formula2>
    </dataValidation>
    <dataValidation type="decimal" allowBlank="1" showInputMessage="1" showErrorMessage="1" sqref="I23">
      <formula1>0</formula1>
      <formula2>1</formula2>
    </dataValidation>
    <dataValidation type="decimal" allowBlank="1" showInputMessage="1" showErrorMessage="1" sqref="K23">
      <formula1>0</formula1>
      <formula2>1</formula2>
    </dataValidation>
    <dataValidation type="decimal" operator="greaterThanOrEqual" allowBlank="1" showInputMessage="1" showErrorMessage="1" sqref="J23">
      <formula1>0</formula1>
    </dataValidation>
    <dataValidation type="decimal" operator="greaterThanOrEqual" allowBlank="1" showInputMessage="1" showErrorMessage="1" sqref="L23">
      <formula1>0</formula1>
    </dataValidation>
    <dataValidation type="decimal" operator="greaterThanOrEqual" allowBlank="1" showInputMessage="1" showErrorMessage="1" sqref="M23">
      <formula1>0</formula1>
    </dataValidation>
    <dataValidation type="decimal" operator="greaterThanOrEqual" allowBlank="1" showInputMessage="1" showErrorMessage="1" sqref="N23">
      <formula1>0</formula1>
    </dataValidation>
    <dataValidation type="decimal" operator="greaterThanOrEqual" allowBlank="1" showInputMessage="1" showErrorMessage="1" sqref="R23">
      <formula1>0</formula1>
    </dataValidation>
    <dataValidation type="whole" allowBlank="1" showInputMessage="1" showErrorMessage="1" sqref="F23">
      <formula1>0</formula1>
      <formula2>1</formula2>
    </dataValidation>
    <dataValidation type="decimal" allowBlank="1" showInputMessage="1" showErrorMessage="1" sqref="H24">
      <formula1>0</formula1>
      <formula2>1</formula2>
    </dataValidation>
    <dataValidation type="decimal" allowBlank="1" showInputMessage="1" showErrorMessage="1" sqref="I24">
      <formula1>0</formula1>
      <formula2>1</formula2>
    </dataValidation>
    <dataValidation type="decimal" allowBlank="1" showInputMessage="1" showErrorMessage="1" sqref="K24">
      <formula1>0</formula1>
      <formula2>1</formula2>
    </dataValidation>
    <dataValidation type="decimal" operator="greaterThanOrEqual" allowBlank="1" showInputMessage="1" showErrorMessage="1" sqref="J24">
      <formula1>0</formula1>
    </dataValidation>
    <dataValidation type="decimal" operator="greaterThanOrEqual" allowBlank="1" showInputMessage="1" showErrorMessage="1" sqref="L24">
      <formula1>0</formula1>
    </dataValidation>
    <dataValidation type="decimal" operator="greaterThanOrEqual" allowBlank="1" showInputMessage="1" showErrorMessage="1" sqref="M24">
      <formula1>0</formula1>
    </dataValidation>
    <dataValidation type="decimal" operator="greaterThanOrEqual" allowBlank="1" showInputMessage="1" showErrorMessage="1" sqref="N24">
      <formula1>0</formula1>
    </dataValidation>
    <dataValidation type="decimal" operator="greaterThanOrEqual" allowBlank="1" showInputMessage="1" showErrorMessage="1" sqref="R24">
      <formula1>0</formula1>
    </dataValidation>
    <dataValidation type="whole" allowBlank="1" showInputMessage="1" showErrorMessage="1" sqref="F24">
      <formula1>0</formula1>
      <formula2>1</formula2>
    </dataValidation>
    <dataValidation type="decimal" allowBlank="1" showInputMessage="1" showErrorMessage="1" sqref="H25">
      <formula1>0</formula1>
      <formula2>1</formula2>
    </dataValidation>
    <dataValidation type="decimal" allowBlank="1" showInputMessage="1" showErrorMessage="1" sqref="I25">
      <formula1>0</formula1>
      <formula2>1</formula2>
    </dataValidation>
    <dataValidation type="decimal" allowBlank="1" showInputMessage="1" showErrorMessage="1" sqref="K25">
      <formula1>0</formula1>
      <formula2>1</formula2>
    </dataValidation>
    <dataValidation type="decimal" operator="greaterThanOrEqual" allowBlank="1" showInputMessage="1" showErrorMessage="1" sqref="J25">
      <formula1>0</formula1>
    </dataValidation>
    <dataValidation type="decimal" operator="greaterThanOrEqual" allowBlank="1" showInputMessage="1" showErrorMessage="1" sqref="L25">
      <formula1>0</formula1>
    </dataValidation>
    <dataValidation type="decimal" operator="greaterThanOrEqual" allowBlank="1" showInputMessage="1" showErrorMessage="1" sqref="M25">
      <formula1>0</formula1>
    </dataValidation>
    <dataValidation type="decimal" operator="greaterThanOrEqual" allowBlank="1" showInputMessage="1" showErrorMessage="1" sqref="N25">
      <formula1>0</formula1>
    </dataValidation>
    <dataValidation type="decimal" operator="greaterThanOrEqual" allowBlank="1" showInputMessage="1" showErrorMessage="1" sqref="R25">
      <formula1>0</formula1>
    </dataValidation>
    <dataValidation type="whole" allowBlank="1" showInputMessage="1" showErrorMessage="1" sqref="F25">
      <formula1>0</formula1>
      <formula2>1</formula2>
    </dataValidation>
    <dataValidation type="decimal" allowBlank="1" showInputMessage="1" showErrorMessage="1" sqref="H26">
      <formula1>0</formula1>
      <formula2>1</formula2>
    </dataValidation>
    <dataValidation type="decimal" allowBlank="1" showInputMessage="1" showErrorMessage="1" sqref="I26">
      <formula1>0</formula1>
      <formula2>1</formula2>
    </dataValidation>
    <dataValidation type="decimal" allowBlank="1" showInputMessage="1" showErrorMessage="1" sqref="K26">
      <formula1>0</formula1>
      <formula2>1</formula2>
    </dataValidation>
    <dataValidation type="decimal" operator="greaterThanOrEqual" allowBlank="1" showInputMessage="1" showErrorMessage="1" sqref="J26">
      <formula1>0</formula1>
    </dataValidation>
    <dataValidation type="decimal" operator="greaterThanOrEqual" allowBlank="1" showInputMessage="1" showErrorMessage="1" sqref="L26">
      <formula1>0</formula1>
    </dataValidation>
    <dataValidation type="decimal" operator="greaterThanOrEqual" allowBlank="1" showInputMessage="1" showErrorMessage="1" sqref="M26">
      <formula1>0</formula1>
    </dataValidation>
    <dataValidation type="decimal" operator="greaterThanOrEqual" allowBlank="1" showInputMessage="1" showErrorMessage="1" sqref="N26">
      <formula1>0</formula1>
    </dataValidation>
    <dataValidation type="decimal" operator="greaterThanOrEqual" allowBlank="1" showInputMessage="1" showErrorMessage="1" sqref="R26">
      <formula1>0</formula1>
    </dataValidation>
    <dataValidation type="whole" allowBlank="1" showInputMessage="1" showErrorMessage="1" sqref="F26">
      <formula1>0</formula1>
      <formula2>1</formula2>
    </dataValidation>
    <dataValidation type="decimal" allowBlank="1" showInputMessage="1" showErrorMessage="1" sqref="H27">
      <formula1>0</formula1>
      <formula2>1</formula2>
    </dataValidation>
    <dataValidation type="decimal" allowBlank="1" showInputMessage="1" showErrorMessage="1" sqref="I27">
      <formula1>0</formula1>
      <formula2>1</formula2>
    </dataValidation>
    <dataValidation type="decimal" allowBlank="1" showInputMessage="1" showErrorMessage="1" sqref="K27">
      <formula1>0</formula1>
      <formula2>1</formula2>
    </dataValidation>
    <dataValidation type="decimal" operator="greaterThanOrEqual" allowBlank="1" showInputMessage="1" showErrorMessage="1" sqref="J27">
      <formula1>0</formula1>
    </dataValidation>
    <dataValidation type="decimal" operator="greaterThanOrEqual" allowBlank="1" showInputMessage="1" showErrorMessage="1" sqref="L27">
      <formula1>0</formula1>
    </dataValidation>
    <dataValidation type="decimal" operator="greaterThanOrEqual" allowBlank="1" showInputMessage="1" showErrorMessage="1" sqref="M27">
      <formula1>0</formula1>
    </dataValidation>
    <dataValidation type="decimal" operator="greaterThanOrEqual" allowBlank="1" showInputMessage="1" showErrorMessage="1" sqref="N27">
      <formula1>0</formula1>
    </dataValidation>
    <dataValidation type="decimal" operator="greaterThanOrEqual" allowBlank="1" showInputMessage="1" showErrorMessage="1" sqref="R27">
      <formula1>0</formula1>
    </dataValidation>
    <dataValidation type="whole" allowBlank="1" showInputMessage="1" showErrorMessage="1" sqref="F27">
      <formula1>0</formula1>
      <formula2>1</formula2>
    </dataValidation>
    <dataValidation type="decimal" allowBlank="1" showInputMessage="1" showErrorMessage="1" sqref="H28">
      <formula1>0</formula1>
      <formula2>1</formula2>
    </dataValidation>
    <dataValidation type="decimal" allowBlank="1" showInputMessage="1" showErrorMessage="1" sqref="I28">
      <formula1>0</formula1>
      <formula2>1</formula2>
    </dataValidation>
    <dataValidation type="decimal" allowBlank="1" showInputMessage="1" showErrorMessage="1" sqref="K28">
      <formula1>0</formula1>
      <formula2>1</formula2>
    </dataValidation>
    <dataValidation type="decimal" operator="greaterThanOrEqual" allowBlank="1" showInputMessage="1" showErrorMessage="1" sqref="J28">
      <formula1>0</formula1>
    </dataValidation>
    <dataValidation type="decimal" operator="greaterThanOrEqual" allowBlank="1" showInputMessage="1" showErrorMessage="1" sqref="L28">
      <formula1>0</formula1>
    </dataValidation>
    <dataValidation type="decimal" operator="greaterThanOrEqual" allowBlank="1" showInputMessage="1" showErrorMessage="1" sqref="M28">
      <formula1>0</formula1>
    </dataValidation>
    <dataValidation type="decimal" operator="greaterThanOrEqual" allowBlank="1" showInputMessage="1" showErrorMessage="1" sqref="N28">
      <formula1>0</formula1>
    </dataValidation>
    <dataValidation type="decimal" operator="greaterThanOrEqual" allowBlank="1" showInputMessage="1" showErrorMessage="1" sqref="R28">
      <formula1>0</formula1>
    </dataValidation>
    <dataValidation type="whole" allowBlank="1" showInputMessage="1" showErrorMessage="1" sqref="F28">
      <formula1>0</formula1>
      <formula2>1</formula2>
    </dataValidation>
    <dataValidation type="decimal" allowBlank="1" showInputMessage="1" showErrorMessage="1" sqref="H29">
      <formula1>0</formula1>
      <formula2>1</formula2>
    </dataValidation>
    <dataValidation type="decimal" allowBlank="1" showInputMessage="1" showErrorMessage="1" sqref="I29">
      <formula1>0</formula1>
      <formula2>1</formula2>
    </dataValidation>
    <dataValidation type="decimal" allowBlank="1" showInputMessage="1" showErrorMessage="1" sqref="K29">
      <formula1>0</formula1>
      <formula2>1</formula2>
    </dataValidation>
    <dataValidation type="decimal" operator="greaterThanOrEqual" allowBlank="1" showInputMessage="1" showErrorMessage="1" sqref="J29">
      <formula1>0</formula1>
    </dataValidation>
    <dataValidation type="decimal" operator="greaterThanOrEqual" allowBlank="1" showInputMessage="1" showErrorMessage="1" sqref="L29">
      <formula1>0</formula1>
    </dataValidation>
    <dataValidation type="decimal" operator="greaterThanOrEqual" allowBlank="1" showInputMessage="1" showErrorMessage="1" sqref="M29">
      <formula1>0</formula1>
    </dataValidation>
    <dataValidation type="decimal" operator="greaterThanOrEqual" allowBlank="1" showInputMessage="1" showErrorMessage="1" sqref="N29">
      <formula1>0</formula1>
    </dataValidation>
    <dataValidation type="decimal" operator="greaterThanOrEqual" allowBlank="1" showInputMessage="1" showErrorMessage="1" sqref="R29">
      <formula1>0</formula1>
    </dataValidation>
    <dataValidation type="whole" allowBlank="1" showInputMessage="1" showErrorMessage="1" sqref="F29">
      <formula1>0</formula1>
      <formula2>1</formula2>
    </dataValidation>
    <dataValidation type="decimal" allowBlank="1" showInputMessage="1" showErrorMessage="1" sqref="H30">
      <formula1>0</formula1>
      <formula2>1</formula2>
    </dataValidation>
    <dataValidation type="decimal" allowBlank="1" showInputMessage="1" showErrorMessage="1" sqref="I30">
      <formula1>0</formula1>
      <formula2>1</formula2>
    </dataValidation>
    <dataValidation type="decimal" allowBlank="1" showInputMessage="1" showErrorMessage="1" sqref="K30">
      <formula1>0</formula1>
      <formula2>1</formula2>
    </dataValidation>
    <dataValidation type="decimal" operator="greaterThanOrEqual" allowBlank="1" showInputMessage="1" showErrorMessage="1" sqref="J30">
      <formula1>0</formula1>
    </dataValidation>
    <dataValidation type="decimal" operator="greaterThanOrEqual" allowBlank="1" showInputMessage="1" showErrorMessage="1" sqref="L30">
      <formula1>0</formula1>
    </dataValidation>
    <dataValidation type="decimal" operator="greaterThanOrEqual" allowBlank="1" showInputMessage="1" showErrorMessage="1" sqref="M30">
      <formula1>0</formula1>
    </dataValidation>
    <dataValidation type="decimal" operator="greaterThanOrEqual" allowBlank="1" showInputMessage="1" showErrorMessage="1" sqref="N30">
      <formula1>0</formula1>
    </dataValidation>
    <dataValidation type="decimal" operator="greaterThanOrEqual" allowBlank="1" showInputMessage="1" showErrorMessage="1" sqref="R30">
      <formula1>0</formula1>
    </dataValidation>
    <dataValidation type="whole" allowBlank="1" showInputMessage="1" showErrorMessage="1" sqref="F30">
      <formula1>0</formula1>
      <formula2>1</formula2>
    </dataValidation>
    <dataValidation type="decimal" allowBlank="1" showInputMessage="1" showErrorMessage="1" sqref="H31">
      <formula1>0</formula1>
      <formula2>1</formula2>
    </dataValidation>
    <dataValidation type="decimal" allowBlank="1" showInputMessage="1" showErrorMessage="1" sqref="I31">
      <formula1>0</formula1>
      <formula2>1</formula2>
    </dataValidation>
    <dataValidation type="decimal" allowBlank="1" showInputMessage="1" showErrorMessage="1" sqref="K31">
      <formula1>0</formula1>
      <formula2>1</formula2>
    </dataValidation>
    <dataValidation type="decimal" operator="greaterThanOrEqual" allowBlank="1" showInputMessage="1" showErrorMessage="1" sqref="J31">
      <formula1>0</formula1>
    </dataValidation>
    <dataValidation type="decimal" operator="greaterThanOrEqual" allowBlank="1" showInputMessage="1" showErrorMessage="1" sqref="L31">
      <formula1>0</formula1>
    </dataValidation>
    <dataValidation type="decimal" operator="greaterThanOrEqual" allowBlank="1" showInputMessage="1" showErrorMessage="1" sqref="M31">
      <formula1>0</formula1>
    </dataValidation>
    <dataValidation type="decimal" operator="greaterThanOrEqual" allowBlank="1" showInputMessage="1" showErrorMessage="1" sqref="N31">
      <formula1>0</formula1>
    </dataValidation>
    <dataValidation type="decimal" operator="greaterThanOrEqual" allowBlank="1" showInputMessage="1" showErrorMessage="1" sqref="R31">
      <formula1>0</formula1>
    </dataValidation>
    <dataValidation type="whole" allowBlank="1" showInputMessage="1" showErrorMessage="1" sqref="F31">
      <formula1>0</formula1>
      <formula2>1</formula2>
    </dataValidation>
    <dataValidation type="decimal" allowBlank="1" showInputMessage="1" showErrorMessage="1" sqref="H32">
      <formula1>0</formula1>
      <formula2>1</formula2>
    </dataValidation>
    <dataValidation type="decimal" allowBlank="1" showInputMessage="1" showErrorMessage="1" sqref="I32">
      <formula1>0</formula1>
      <formula2>1</formula2>
    </dataValidation>
    <dataValidation type="decimal" allowBlank="1" showInputMessage="1" showErrorMessage="1" sqref="K32">
      <formula1>0</formula1>
      <formula2>1</formula2>
    </dataValidation>
    <dataValidation type="decimal" operator="greaterThanOrEqual" allowBlank="1" showInputMessage="1" showErrorMessage="1" sqref="J32">
      <formula1>0</formula1>
    </dataValidation>
    <dataValidation type="decimal" operator="greaterThanOrEqual" allowBlank="1" showInputMessage="1" showErrorMessage="1" sqref="L32">
      <formula1>0</formula1>
    </dataValidation>
    <dataValidation type="decimal" operator="greaterThanOrEqual" allowBlank="1" showInputMessage="1" showErrorMessage="1" sqref="M32">
      <formula1>0</formula1>
    </dataValidation>
    <dataValidation type="decimal" operator="greaterThanOrEqual" allowBlank="1" showInputMessage="1" showErrorMessage="1" sqref="N32">
      <formula1>0</formula1>
    </dataValidation>
    <dataValidation type="decimal" operator="greaterThanOrEqual" allowBlank="1" showInputMessage="1" showErrorMessage="1" sqref="R32">
      <formula1>0</formula1>
    </dataValidation>
    <dataValidation type="whole" allowBlank="1" showInputMessage="1" showErrorMessage="1" sqref="F32">
      <formula1>0</formula1>
      <formula2>1</formula2>
    </dataValidation>
    <dataValidation type="decimal" allowBlank="1" showInputMessage="1" showErrorMessage="1" sqref="H33">
      <formula1>0</formula1>
      <formula2>1</formula2>
    </dataValidation>
    <dataValidation type="decimal" allowBlank="1" showInputMessage="1" showErrorMessage="1" sqref="I33">
      <formula1>0</formula1>
      <formula2>1</formula2>
    </dataValidation>
    <dataValidation type="decimal" allowBlank="1" showInputMessage="1" showErrorMessage="1" sqref="K33">
      <formula1>0</formula1>
      <formula2>1</formula2>
    </dataValidation>
    <dataValidation type="decimal" operator="greaterThanOrEqual" allowBlank="1" showInputMessage="1" showErrorMessage="1" sqref="J33">
      <formula1>0</formula1>
    </dataValidation>
    <dataValidation type="decimal" operator="greaterThanOrEqual" allowBlank="1" showInputMessage="1" showErrorMessage="1" sqref="L33">
      <formula1>0</formula1>
    </dataValidation>
    <dataValidation type="decimal" operator="greaterThanOrEqual" allowBlank="1" showInputMessage="1" showErrorMessage="1" sqref="M33">
      <formula1>0</formula1>
    </dataValidation>
    <dataValidation type="decimal" operator="greaterThanOrEqual" allowBlank="1" showInputMessage="1" showErrorMessage="1" sqref="N33">
      <formula1>0</formula1>
    </dataValidation>
    <dataValidation type="decimal" operator="greaterThanOrEqual" allowBlank="1" showInputMessage="1" showErrorMessage="1" sqref="R33">
      <formula1>0</formula1>
    </dataValidation>
    <dataValidation type="whole" allowBlank="1" showInputMessage="1" showErrorMessage="1" sqref="F33">
      <formula1>0</formula1>
      <formula2>1</formula2>
    </dataValidation>
    <dataValidation type="decimal" allowBlank="1" showInputMessage="1" showErrorMessage="1" sqref="H34">
      <formula1>0</formula1>
      <formula2>1</formula2>
    </dataValidation>
    <dataValidation type="decimal" allowBlank="1" showInputMessage="1" showErrorMessage="1" sqref="I34">
      <formula1>0</formula1>
      <formula2>1</formula2>
    </dataValidation>
    <dataValidation type="decimal" allowBlank="1" showInputMessage="1" showErrorMessage="1" sqref="K34">
      <formula1>0</formula1>
      <formula2>1</formula2>
    </dataValidation>
    <dataValidation type="decimal" operator="greaterThanOrEqual" allowBlank="1" showInputMessage="1" showErrorMessage="1" sqref="J34">
      <formula1>0</formula1>
    </dataValidation>
    <dataValidation type="decimal" operator="greaterThanOrEqual" allowBlank="1" showInputMessage="1" showErrorMessage="1" sqref="L34">
      <formula1>0</formula1>
    </dataValidation>
    <dataValidation type="decimal" operator="greaterThanOrEqual" allowBlank="1" showInputMessage="1" showErrorMessage="1" sqref="M34">
      <formula1>0</formula1>
    </dataValidation>
    <dataValidation type="decimal" operator="greaterThanOrEqual" allowBlank="1" showInputMessage="1" showErrorMessage="1" sqref="N34">
      <formula1>0</formula1>
    </dataValidation>
    <dataValidation type="decimal" operator="greaterThanOrEqual" allowBlank="1" showInputMessage="1" showErrorMessage="1" sqref="R34">
      <formula1>0</formula1>
    </dataValidation>
    <dataValidation type="whole" allowBlank="1" showInputMessage="1" showErrorMessage="1" sqref="F34">
      <formula1>0</formula1>
      <formula2>1</formula2>
    </dataValidation>
    <dataValidation type="decimal" allowBlank="1" showInputMessage="1" showErrorMessage="1" sqref="H35">
      <formula1>0</formula1>
      <formula2>1</formula2>
    </dataValidation>
    <dataValidation type="decimal" allowBlank="1" showInputMessage="1" showErrorMessage="1" sqref="I35">
      <formula1>0</formula1>
      <formula2>1</formula2>
    </dataValidation>
    <dataValidation type="decimal" allowBlank="1" showInputMessage="1" showErrorMessage="1" sqref="K35">
      <formula1>0</formula1>
      <formula2>1</formula2>
    </dataValidation>
    <dataValidation type="decimal" operator="greaterThanOrEqual" allowBlank="1" showInputMessage="1" showErrorMessage="1" sqref="J35">
      <formula1>0</formula1>
    </dataValidation>
    <dataValidation type="decimal" operator="greaterThanOrEqual" allowBlank="1" showInputMessage="1" showErrorMessage="1" sqref="L35">
      <formula1>0</formula1>
    </dataValidation>
    <dataValidation type="decimal" operator="greaterThanOrEqual" allowBlank="1" showInputMessage="1" showErrorMessage="1" sqref="M35">
      <formula1>0</formula1>
    </dataValidation>
    <dataValidation type="decimal" operator="greaterThanOrEqual" allowBlank="1" showInputMessage="1" showErrorMessage="1" sqref="N35">
      <formula1>0</formula1>
    </dataValidation>
    <dataValidation type="decimal" operator="greaterThanOrEqual" allowBlank="1" showInputMessage="1" showErrorMessage="1" sqref="R35">
      <formula1>0</formula1>
    </dataValidation>
    <dataValidation type="whole" allowBlank="1" showInputMessage="1" showErrorMessage="1" sqref="F35">
      <formula1>0</formula1>
      <formula2>1</formula2>
    </dataValidation>
    <dataValidation type="decimal" allowBlank="1" showInputMessage="1" showErrorMessage="1" sqref="H36">
      <formula1>0</formula1>
      <formula2>1</formula2>
    </dataValidation>
    <dataValidation type="decimal" allowBlank="1" showInputMessage="1" showErrorMessage="1" sqref="I36">
      <formula1>0</formula1>
      <formula2>1</formula2>
    </dataValidation>
    <dataValidation type="decimal" allowBlank="1" showInputMessage="1" showErrorMessage="1" sqref="K36">
      <formula1>0</formula1>
      <formula2>1</formula2>
    </dataValidation>
    <dataValidation type="decimal" operator="greaterThanOrEqual" allowBlank="1" showInputMessage="1" showErrorMessage="1" sqref="J36">
      <formula1>0</formula1>
    </dataValidation>
    <dataValidation type="decimal" operator="greaterThanOrEqual" allowBlank="1" showInputMessage="1" showErrorMessage="1" sqref="L36">
      <formula1>0</formula1>
    </dataValidation>
    <dataValidation type="decimal" operator="greaterThanOrEqual" allowBlank="1" showInputMessage="1" showErrorMessage="1" sqref="M36">
      <formula1>0</formula1>
    </dataValidation>
    <dataValidation type="decimal" operator="greaterThanOrEqual" allowBlank="1" showInputMessage="1" showErrorMessage="1" sqref="N36">
      <formula1>0</formula1>
    </dataValidation>
    <dataValidation type="decimal" operator="greaterThanOrEqual" allowBlank="1" showInputMessage="1" showErrorMessage="1" sqref="R36">
      <formula1>0</formula1>
    </dataValidation>
    <dataValidation type="whole" allowBlank="1" showInputMessage="1" showErrorMessage="1" sqref="F36">
      <formula1>0</formula1>
      <formula2>1</formula2>
    </dataValidation>
    <dataValidation type="decimal" allowBlank="1" showInputMessage="1" showErrorMessage="1" sqref="H37">
      <formula1>0</formula1>
      <formula2>1</formula2>
    </dataValidation>
    <dataValidation type="decimal" allowBlank="1" showInputMessage="1" showErrorMessage="1" sqref="I37">
      <formula1>0</formula1>
      <formula2>1</formula2>
    </dataValidation>
    <dataValidation type="decimal" allowBlank="1" showInputMessage="1" showErrorMessage="1" sqref="K37">
      <formula1>0</formula1>
      <formula2>1</formula2>
    </dataValidation>
    <dataValidation type="decimal" operator="greaterThanOrEqual" allowBlank="1" showInputMessage="1" showErrorMessage="1" sqref="J37">
      <formula1>0</formula1>
    </dataValidation>
    <dataValidation type="decimal" operator="greaterThanOrEqual" allowBlank="1" showInputMessage="1" showErrorMessage="1" sqref="L37">
      <formula1>0</formula1>
    </dataValidation>
    <dataValidation type="decimal" operator="greaterThanOrEqual" allowBlank="1" showInputMessage="1" showErrorMessage="1" sqref="M37">
      <formula1>0</formula1>
    </dataValidation>
    <dataValidation type="decimal" operator="greaterThanOrEqual" allowBlank="1" showInputMessage="1" showErrorMessage="1" sqref="N37">
      <formula1>0</formula1>
    </dataValidation>
    <dataValidation type="decimal" operator="greaterThanOrEqual" allowBlank="1" showInputMessage="1" showErrorMessage="1" sqref="R37">
      <formula1>0</formula1>
    </dataValidation>
    <dataValidation type="whole" allowBlank="1" showInputMessage="1" showErrorMessage="1" sqref="F37">
      <formula1>0</formula1>
      <formula2>1</formula2>
    </dataValidation>
    <dataValidation type="decimal" allowBlank="1" showInputMessage="1" showErrorMessage="1" sqref="H38">
      <formula1>0</formula1>
      <formula2>1</formula2>
    </dataValidation>
    <dataValidation type="decimal" allowBlank="1" showInputMessage="1" showErrorMessage="1" sqref="I38">
      <formula1>0</formula1>
      <formula2>1</formula2>
    </dataValidation>
    <dataValidation type="decimal" allowBlank="1" showInputMessage="1" showErrorMessage="1" sqref="K38">
      <formula1>0</formula1>
      <formula2>1</formula2>
    </dataValidation>
    <dataValidation type="decimal" operator="greaterThanOrEqual" allowBlank="1" showInputMessage="1" showErrorMessage="1" sqref="J38">
      <formula1>0</formula1>
    </dataValidation>
    <dataValidation type="decimal" operator="greaterThanOrEqual" allowBlank="1" showInputMessage="1" showErrorMessage="1" sqref="L38">
      <formula1>0</formula1>
    </dataValidation>
    <dataValidation type="decimal" operator="greaterThanOrEqual" allowBlank="1" showInputMessage="1" showErrorMessage="1" sqref="M38">
      <formula1>0</formula1>
    </dataValidation>
    <dataValidation type="decimal" operator="greaterThanOrEqual" allowBlank="1" showInputMessage="1" showErrorMessage="1" sqref="N38">
      <formula1>0</formula1>
    </dataValidation>
    <dataValidation type="decimal" operator="greaterThanOrEqual" allowBlank="1" showInputMessage="1" showErrorMessage="1" sqref="R38">
      <formula1>0</formula1>
    </dataValidation>
    <dataValidation type="whole" allowBlank="1" showInputMessage="1" showErrorMessage="1" sqref="F38">
      <formula1>0</formula1>
      <formula2>1</formula2>
    </dataValidation>
    <dataValidation type="decimal" allowBlank="1" showInputMessage="1" showErrorMessage="1" sqref="H39">
      <formula1>0</formula1>
      <formula2>1</formula2>
    </dataValidation>
    <dataValidation type="decimal" allowBlank="1" showInputMessage="1" showErrorMessage="1" sqref="I39">
      <formula1>0</formula1>
      <formula2>1</formula2>
    </dataValidation>
    <dataValidation type="decimal" allowBlank="1" showInputMessage="1" showErrorMessage="1" sqref="K39">
      <formula1>0</formula1>
      <formula2>1</formula2>
    </dataValidation>
    <dataValidation type="decimal" operator="greaterThanOrEqual" allowBlank="1" showInputMessage="1" showErrorMessage="1" sqref="J39">
      <formula1>0</formula1>
    </dataValidation>
    <dataValidation type="decimal" operator="greaterThanOrEqual" allowBlank="1" showInputMessage="1" showErrorMessage="1" sqref="L39">
      <formula1>0</formula1>
    </dataValidation>
    <dataValidation type="decimal" operator="greaterThanOrEqual" allowBlank="1" showInputMessage="1" showErrorMessage="1" sqref="M39">
      <formula1>0</formula1>
    </dataValidation>
    <dataValidation type="decimal" operator="greaterThanOrEqual" allowBlank="1" showInputMessage="1" showErrorMessage="1" sqref="N39">
      <formula1>0</formula1>
    </dataValidation>
    <dataValidation type="decimal" operator="greaterThanOrEqual" allowBlank="1" showInputMessage="1" showErrorMessage="1" sqref="R39">
      <formula1>0</formula1>
    </dataValidation>
    <dataValidation type="whole" allowBlank="1" showInputMessage="1" showErrorMessage="1" sqref="F39">
      <formula1>0</formula1>
      <formula2>1</formula2>
    </dataValidation>
    <dataValidation type="decimal" allowBlank="1" showInputMessage="1" showErrorMessage="1" sqref="H40">
      <formula1>0</formula1>
      <formula2>1</formula2>
    </dataValidation>
    <dataValidation type="decimal" allowBlank="1" showInputMessage="1" showErrorMessage="1" sqref="I40">
      <formula1>0</formula1>
      <formula2>1</formula2>
    </dataValidation>
    <dataValidation type="decimal" allowBlank="1" showInputMessage="1" showErrorMessage="1" sqref="K40">
      <formula1>0</formula1>
      <formula2>1</formula2>
    </dataValidation>
    <dataValidation type="decimal" operator="greaterThanOrEqual" allowBlank="1" showInputMessage="1" showErrorMessage="1" sqref="J40">
      <formula1>0</formula1>
    </dataValidation>
    <dataValidation type="decimal" operator="greaterThanOrEqual" allowBlank="1" showInputMessage="1" showErrorMessage="1" sqref="L40">
      <formula1>0</formula1>
    </dataValidation>
    <dataValidation type="decimal" operator="greaterThanOrEqual" allowBlank="1" showInputMessage="1" showErrorMessage="1" sqref="M40">
      <formula1>0</formula1>
    </dataValidation>
    <dataValidation type="decimal" operator="greaterThanOrEqual" allowBlank="1" showInputMessage="1" showErrorMessage="1" sqref="N40">
      <formula1>0</formula1>
    </dataValidation>
    <dataValidation type="decimal" operator="greaterThanOrEqual" allowBlank="1" showInputMessage="1" showErrorMessage="1" sqref="R40">
      <formula1>0</formula1>
    </dataValidation>
    <dataValidation type="whole" allowBlank="1" showInputMessage="1" showErrorMessage="1" sqref="F40">
      <formula1>0</formula1>
      <formula2>1</formula2>
    </dataValidation>
    <dataValidation type="decimal" allowBlank="1" showInputMessage="1" showErrorMessage="1" sqref="H41">
      <formula1>0</formula1>
      <formula2>1</formula2>
    </dataValidation>
    <dataValidation type="decimal" allowBlank="1" showInputMessage="1" showErrorMessage="1" sqref="I41">
      <formula1>0</formula1>
      <formula2>1</formula2>
    </dataValidation>
    <dataValidation type="decimal" allowBlank="1" showInputMessage="1" showErrorMessage="1" sqref="K41">
      <formula1>0</formula1>
      <formula2>1</formula2>
    </dataValidation>
    <dataValidation type="decimal" operator="greaterThanOrEqual" allowBlank="1" showInputMessage="1" showErrorMessage="1" sqref="J41">
      <formula1>0</formula1>
    </dataValidation>
    <dataValidation type="decimal" operator="greaterThanOrEqual" allowBlank="1" showInputMessage="1" showErrorMessage="1" sqref="L41">
      <formula1>0</formula1>
    </dataValidation>
    <dataValidation type="decimal" operator="greaterThanOrEqual" allowBlank="1" showInputMessage="1" showErrorMessage="1" sqref="M41">
      <formula1>0</formula1>
    </dataValidation>
    <dataValidation type="decimal" operator="greaterThanOrEqual" allowBlank="1" showInputMessage="1" showErrorMessage="1" sqref="N41">
      <formula1>0</formula1>
    </dataValidation>
    <dataValidation type="decimal" operator="greaterThanOrEqual" allowBlank="1" showInputMessage="1" showErrorMessage="1" sqref="R41">
      <formula1>0</formula1>
    </dataValidation>
    <dataValidation type="whole" allowBlank="1" showInputMessage="1" showErrorMessage="1" sqref="F41">
      <formula1>0</formula1>
      <formula2>1</formula2>
    </dataValidation>
    <dataValidation type="decimal" allowBlank="1" showInputMessage="1" showErrorMessage="1" sqref="H42">
      <formula1>0</formula1>
      <formula2>1</formula2>
    </dataValidation>
    <dataValidation type="decimal" allowBlank="1" showInputMessage="1" showErrorMessage="1" sqref="I42">
      <formula1>0</formula1>
      <formula2>1</formula2>
    </dataValidation>
    <dataValidation type="decimal" allowBlank="1" showInputMessage="1" showErrorMessage="1" sqref="K42">
      <formula1>0</formula1>
      <formula2>1</formula2>
    </dataValidation>
    <dataValidation type="decimal" operator="greaterThanOrEqual" allowBlank="1" showInputMessage="1" showErrorMessage="1" sqref="J42">
      <formula1>0</formula1>
    </dataValidation>
    <dataValidation type="decimal" operator="greaterThanOrEqual" allowBlank="1" showInputMessage="1" showErrorMessage="1" sqref="L42">
      <formula1>0</formula1>
    </dataValidation>
    <dataValidation type="decimal" operator="greaterThanOrEqual" allowBlank="1" showInputMessage="1" showErrorMessage="1" sqref="M42">
      <formula1>0</formula1>
    </dataValidation>
    <dataValidation type="decimal" operator="greaterThanOrEqual" allowBlank="1" showInputMessage="1" showErrorMessage="1" sqref="N42">
      <formula1>0</formula1>
    </dataValidation>
    <dataValidation type="decimal" operator="greaterThanOrEqual" allowBlank="1" showInputMessage="1" showErrorMessage="1" sqref="R42">
      <formula1>0</formula1>
    </dataValidation>
    <dataValidation type="whole" allowBlank="1" showInputMessage="1" showErrorMessage="1" sqref="F42">
      <formula1>0</formula1>
      <formula2>1</formula2>
    </dataValidation>
    <dataValidation type="decimal" allowBlank="1" showInputMessage="1" showErrorMessage="1" sqref="H43">
      <formula1>0</formula1>
      <formula2>1</formula2>
    </dataValidation>
    <dataValidation type="decimal" allowBlank="1" showInputMessage="1" showErrorMessage="1" sqref="I43">
      <formula1>0</formula1>
      <formula2>1</formula2>
    </dataValidation>
    <dataValidation type="decimal" allowBlank="1" showInputMessage="1" showErrorMessage="1" sqref="K43">
      <formula1>0</formula1>
      <formula2>1</formula2>
    </dataValidation>
    <dataValidation type="decimal" operator="greaterThanOrEqual" allowBlank="1" showInputMessage="1" showErrorMessage="1" sqref="J43">
      <formula1>0</formula1>
    </dataValidation>
    <dataValidation type="decimal" operator="greaterThanOrEqual" allowBlank="1" showInputMessage="1" showErrorMessage="1" sqref="L43">
      <formula1>0</formula1>
    </dataValidation>
    <dataValidation type="decimal" operator="greaterThanOrEqual" allowBlank="1" showInputMessage="1" showErrorMessage="1" sqref="M43">
      <formula1>0</formula1>
    </dataValidation>
    <dataValidation type="decimal" operator="greaterThanOrEqual" allowBlank="1" showInputMessage="1" showErrorMessage="1" sqref="N43">
      <formula1>0</formula1>
    </dataValidation>
    <dataValidation type="decimal" operator="greaterThanOrEqual" allowBlank="1" showInputMessage="1" showErrorMessage="1" sqref="R43">
      <formula1>0</formula1>
    </dataValidation>
    <dataValidation type="whole" allowBlank="1" showInputMessage="1" showErrorMessage="1" sqref="F43">
      <formula1>0</formula1>
      <formula2>1</formula2>
    </dataValidation>
    <dataValidation type="decimal" allowBlank="1" showInputMessage="1" showErrorMessage="1" sqref="H44">
      <formula1>0</formula1>
      <formula2>1</formula2>
    </dataValidation>
    <dataValidation type="decimal" allowBlank="1" showInputMessage="1" showErrorMessage="1" sqref="I44">
      <formula1>0</formula1>
      <formula2>1</formula2>
    </dataValidation>
    <dataValidation type="decimal" allowBlank="1" showInputMessage="1" showErrorMessage="1" sqref="K44">
      <formula1>0</formula1>
      <formula2>1</formula2>
    </dataValidation>
    <dataValidation type="decimal" operator="greaterThanOrEqual" allowBlank="1" showInputMessage="1" showErrorMessage="1" sqref="J44">
      <formula1>0</formula1>
    </dataValidation>
    <dataValidation type="decimal" operator="greaterThanOrEqual" allowBlank="1" showInputMessage="1" showErrorMessage="1" sqref="L44">
      <formula1>0</formula1>
    </dataValidation>
    <dataValidation type="decimal" operator="greaterThanOrEqual" allowBlank="1" showInputMessage="1" showErrorMessage="1" sqref="M44">
      <formula1>0</formula1>
    </dataValidation>
    <dataValidation type="decimal" operator="greaterThanOrEqual" allowBlank="1" showInputMessage="1" showErrorMessage="1" sqref="N44">
      <formula1>0</formula1>
    </dataValidation>
    <dataValidation type="decimal" operator="greaterThanOrEqual" allowBlank="1" showInputMessage="1" showErrorMessage="1" sqref="R44">
      <formula1>0</formula1>
    </dataValidation>
    <dataValidation type="whole" allowBlank="1" showInputMessage="1" showErrorMessage="1" sqref="F44">
      <formula1>0</formula1>
      <formula2>1</formula2>
    </dataValidation>
    <dataValidation type="decimal" allowBlank="1" showInputMessage="1" showErrorMessage="1" sqref="H45">
      <formula1>0</formula1>
      <formula2>1</formula2>
    </dataValidation>
    <dataValidation type="decimal" allowBlank="1" showInputMessage="1" showErrorMessage="1" sqref="I45">
      <formula1>0</formula1>
      <formula2>1</formula2>
    </dataValidation>
    <dataValidation type="decimal" allowBlank="1" showInputMessage="1" showErrorMessage="1" sqref="K45">
      <formula1>0</formula1>
      <formula2>1</formula2>
    </dataValidation>
    <dataValidation type="decimal" operator="greaterThanOrEqual" allowBlank="1" showInputMessage="1" showErrorMessage="1" sqref="J45">
      <formula1>0</formula1>
    </dataValidation>
    <dataValidation type="decimal" operator="greaterThanOrEqual" allowBlank="1" showInputMessage="1" showErrorMessage="1" sqref="L45">
      <formula1>0</formula1>
    </dataValidation>
    <dataValidation type="decimal" operator="greaterThanOrEqual" allowBlank="1" showInputMessage="1" showErrorMessage="1" sqref="M45">
      <formula1>0</formula1>
    </dataValidation>
    <dataValidation type="decimal" operator="greaterThanOrEqual" allowBlank="1" showInputMessage="1" showErrorMessage="1" sqref="N45">
      <formula1>0</formula1>
    </dataValidation>
    <dataValidation type="decimal" operator="greaterThanOrEqual" allowBlank="1" showInputMessage="1" showErrorMessage="1" sqref="R45">
      <formula1>0</formula1>
    </dataValidation>
    <dataValidation type="whole" allowBlank="1" showInputMessage="1" showErrorMessage="1" sqref="F45">
      <formula1>0</formula1>
      <formula2>1</formula2>
    </dataValidation>
    <dataValidation type="decimal" allowBlank="1" showInputMessage="1" showErrorMessage="1" sqref="H46">
      <formula1>0</formula1>
      <formula2>1</formula2>
    </dataValidation>
    <dataValidation type="decimal" allowBlank="1" showInputMessage="1" showErrorMessage="1" sqref="I46">
      <formula1>0</formula1>
      <formula2>1</formula2>
    </dataValidation>
    <dataValidation type="decimal" allowBlank="1" showInputMessage="1" showErrorMessage="1" sqref="K46">
      <formula1>0</formula1>
      <formula2>1</formula2>
    </dataValidation>
    <dataValidation type="decimal" operator="greaterThanOrEqual" allowBlank="1" showInputMessage="1" showErrorMessage="1" sqref="J46">
      <formula1>0</formula1>
    </dataValidation>
    <dataValidation type="decimal" operator="greaterThanOrEqual" allowBlank="1" showInputMessage="1" showErrorMessage="1" sqref="L46">
      <formula1>0</formula1>
    </dataValidation>
    <dataValidation type="decimal" operator="greaterThanOrEqual" allowBlank="1" showInputMessage="1" showErrorMessage="1" sqref="M46">
      <formula1>0</formula1>
    </dataValidation>
    <dataValidation type="decimal" operator="greaterThanOrEqual" allowBlank="1" showInputMessage="1" showErrorMessage="1" sqref="N46">
      <formula1>0</formula1>
    </dataValidation>
    <dataValidation type="decimal" operator="greaterThanOrEqual" allowBlank="1" showInputMessage="1" showErrorMessage="1" sqref="R46">
      <formula1>0</formula1>
    </dataValidation>
    <dataValidation type="whole" allowBlank="1" showInputMessage="1" showErrorMessage="1" sqref="F46">
      <formula1>0</formula1>
      <formula2>1</formula2>
    </dataValidation>
    <dataValidation type="decimal" allowBlank="1" showInputMessage="1" showErrorMessage="1" sqref="H47">
      <formula1>0</formula1>
      <formula2>1</formula2>
    </dataValidation>
    <dataValidation type="decimal" allowBlank="1" showInputMessage="1" showErrorMessage="1" sqref="I47">
      <formula1>0</formula1>
      <formula2>1</formula2>
    </dataValidation>
    <dataValidation type="decimal" allowBlank="1" showInputMessage="1" showErrorMessage="1" sqref="K47">
      <formula1>0</formula1>
      <formula2>1</formula2>
    </dataValidation>
    <dataValidation type="decimal" operator="greaterThanOrEqual" allowBlank="1" showInputMessage="1" showErrorMessage="1" sqref="J47">
      <formula1>0</formula1>
    </dataValidation>
    <dataValidation type="decimal" operator="greaterThanOrEqual" allowBlank="1" showInputMessage="1" showErrorMessage="1" sqref="L47">
      <formula1>0</formula1>
    </dataValidation>
    <dataValidation type="decimal" operator="greaterThanOrEqual" allowBlank="1" showInputMessage="1" showErrorMessage="1" sqref="M47">
      <formula1>0</formula1>
    </dataValidation>
    <dataValidation type="decimal" operator="greaterThanOrEqual" allowBlank="1" showInputMessage="1" showErrorMessage="1" sqref="N47">
      <formula1>0</formula1>
    </dataValidation>
    <dataValidation type="decimal" operator="greaterThanOrEqual" allowBlank="1" showInputMessage="1" showErrorMessage="1" sqref="R47">
      <formula1>0</formula1>
    </dataValidation>
    <dataValidation type="whole" allowBlank="1" showInputMessage="1" showErrorMessage="1" sqref="F47">
      <formula1>0</formula1>
      <formula2>1</formula2>
    </dataValidation>
    <dataValidation type="decimal" allowBlank="1" showInputMessage="1" showErrorMessage="1" sqref="H48">
      <formula1>0</formula1>
      <formula2>1</formula2>
    </dataValidation>
    <dataValidation type="decimal" allowBlank="1" showInputMessage="1" showErrorMessage="1" sqref="I48">
      <formula1>0</formula1>
      <formula2>1</formula2>
    </dataValidation>
    <dataValidation type="decimal" allowBlank="1" showInputMessage="1" showErrorMessage="1" sqref="K48">
      <formula1>0</formula1>
      <formula2>1</formula2>
    </dataValidation>
    <dataValidation type="decimal" operator="greaterThanOrEqual" allowBlank="1" showInputMessage="1" showErrorMessage="1" sqref="J48">
      <formula1>0</formula1>
    </dataValidation>
    <dataValidation type="decimal" operator="greaterThanOrEqual" allowBlank="1" showInputMessage="1" showErrorMessage="1" sqref="L48">
      <formula1>0</formula1>
    </dataValidation>
    <dataValidation type="decimal" operator="greaterThanOrEqual" allowBlank="1" showInputMessage="1" showErrorMessage="1" sqref="M48">
      <formula1>0</formula1>
    </dataValidation>
    <dataValidation type="decimal" operator="greaterThanOrEqual" allowBlank="1" showInputMessage="1" showErrorMessage="1" sqref="N48">
      <formula1>0</formula1>
    </dataValidation>
    <dataValidation type="decimal" operator="greaterThanOrEqual" allowBlank="1" showInputMessage="1" showErrorMessage="1" sqref="R48">
      <formula1>0</formula1>
    </dataValidation>
    <dataValidation type="whole" allowBlank="1" showInputMessage="1" showErrorMessage="1" sqref="F48">
      <formula1>0</formula1>
      <formula2>1</formula2>
    </dataValidation>
    <dataValidation type="decimal" allowBlank="1" showInputMessage="1" showErrorMessage="1" sqref="H49">
      <formula1>0</formula1>
      <formula2>1</formula2>
    </dataValidation>
    <dataValidation type="decimal" allowBlank="1" showInputMessage="1" showErrorMessage="1" sqref="I49">
      <formula1>0</formula1>
      <formula2>1</formula2>
    </dataValidation>
    <dataValidation type="decimal" allowBlank="1" showInputMessage="1" showErrorMessage="1" sqref="K49">
      <formula1>0</formula1>
      <formula2>1</formula2>
    </dataValidation>
    <dataValidation type="decimal" operator="greaterThanOrEqual" allowBlank="1" showInputMessage="1" showErrorMessage="1" sqref="J49">
      <formula1>0</formula1>
    </dataValidation>
    <dataValidation type="decimal" operator="greaterThanOrEqual" allowBlank="1" showInputMessage="1" showErrorMessage="1" sqref="L49">
      <formula1>0</formula1>
    </dataValidation>
    <dataValidation type="decimal" operator="greaterThanOrEqual" allowBlank="1" showInputMessage="1" showErrorMessage="1" sqref="M49">
      <formula1>0</formula1>
    </dataValidation>
    <dataValidation type="decimal" operator="greaterThanOrEqual" allowBlank="1" showInputMessage="1" showErrorMessage="1" sqref="N49">
      <formula1>0</formula1>
    </dataValidation>
    <dataValidation type="decimal" operator="greaterThanOrEqual" allowBlank="1" showInputMessage="1" showErrorMessage="1" sqref="R49">
      <formula1>0</formula1>
    </dataValidation>
    <dataValidation type="whole" allowBlank="1" showInputMessage="1" showErrorMessage="1" sqref="F49">
      <formula1>0</formula1>
      <formula2>1</formula2>
    </dataValidation>
    <dataValidation type="decimal" allowBlank="1" showInputMessage="1" showErrorMessage="1" sqref="H50">
      <formula1>0</formula1>
      <formula2>1</formula2>
    </dataValidation>
    <dataValidation type="decimal" allowBlank="1" showInputMessage="1" showErrorMessage="1" sqref="I50">
      <formula1>0</formula1>
      <formula2>1</formula2>
    </dataValidation>
    <dataValidation type="decimal" allowBlank="1" showInputMessage="1" showErrorMessage="1" sqref="K50">
      <formula1>0</formula1>
      <formula2>1</formula2>
    </dataValidation>
    <dataValidation type="decimal" operator="greaterThanOrEqual" allowBlank="1" showInputMessage="1" showErrorMessage="1" sqref="J50">
      <formula1>0</formula1>
    </dataValidation>
    <dataValidation type="decimal" operator="greaterThanOrEqual" allowBlank="1" showInputMessage="1" showErrorMessage="1" sqref="L50">
      <formula1>0</formula1>
    </dataValidation>
    <dataValidation type="decimal" operator="greaterThanOrEqual" allowBlank="1" showInputMessage="1" showErrorMessage="1" sqref="M50">
      <formula1>0</formula1>
    </dataValidation>
    <dataValidation type="decimal" operator="greaterThanOrEqual" allowBlank="1" showInputMessage="1" showErrorMessage="1" sqref="N50">
      <formula1>0</formula1>
    </dataValidation>
    <dataValidation type="decimal" operator="greaterThanOrEqual" allowBlank="1" showInputMessage="1" showErrorMessage="1" sqref="R50">
      <formula1>0</formula1>
    </dataValidation>
    <dataValidation type="whole" allowBlank="1" showInputMessage="1" showErrorMessage="1" sqref="F50">
      <formula1>0</formula1>
      <formula2>1</formula2>
    </dataValidation>
    <dataValidation type="decimal" allowBlank="1" showInputMessage="1" showErrorMessage="1" sqref="H51">
      <formula1>0</formula1>
      <formula2>1</formula2>
    </dataValidation>
    <dataValidation type="decimal" allowBlank="1" showInputMessage="1" showErrorMessage="1" sqref="I51">
      <formula1>0</formula1>
      <formula2>1</formula2>
    </dataValidation>
    <dataValidation type="decimal" allowBlank="1" showInputMessage="1" showErrorMessage="1" sqref="K51">
      <formula1>0</formula1>
      <formula2>1</formula2>
    </dataValidation>
    <dataValidation type="decimal" operator="greaterThanOrEqual" allowBlank="1" showInputMessage="1" showErrorMessage="1" sqref="J51">
      <formula1>0</formula1>
    </dataValidation>
    <dataValidation type="decimal" operator="greaterThanOrEqual" allowBlank="1" showInputMessage="1" showErrorMessage="1" sqref="L51">
      <formula1>0</formula1>
    </dataValidation>
    <dataValidation type="decimal" operator="greaterThanOrEqual" allowBlank="1" showInputMessage="1" showErrorMessage="1" sqref="M51">
      <formula1>0</formula1>
    </dataValidation>
    <dataValidation type="decimal" operator="greaterThanOrEqual" allowBlank="1" showInputMessage="1" showErrorMessage="1" sqref="N51">
      <formula1>0</formula1>
    </dataValidation>
    <dataValidation type="decimal" operator="greaterThanOrEqual" allowBlank="1" showInputMessage="1" showErrorMessage="1" sqref="R51">
      <formula1>0</formula1>
    </dataValidation>
    <dataValidation type="whole" allowBlank="1" showInputMessage="1" showErrorMessage="1" sqref="F51">
      <formula1>0</formula1>
      <formula2>1</formula2>
    </dataValidation>
    <dataValidation type="decimal" allowBlank="1" showInputMessage="1" showErrorMessage="1" sqref="H52">
      <formula1>0</formula1>
      <formula2>1</formula2>
    </dataValidation>
    <dataValidation type="decimal" allowBlank="1" showInputMessage="1" showErrorMessage="1" sqref="I52">
      <formula1>0</formula1>
      <formula2>1</formula2>
    </dataValidation>
    <dataValidation type="decimal" allowBlank="1" showInputMessage="1" showErrorMessage="1" sqref="K52">
      <formula1>0</formula1>
      <formula2>1</formula2>
    </dataValidation>
    <dataValidation type="decimal" operator="greaterThanOrEqual" allowBlank="1" showInputMessage="1" showErrorMessage="1" sqref="J52">
      <formula1>0</formula1>
    </dataValidation>
    <dataValidation type="decimal" operator="greaterThanOrEqual" allowBlank="1" showInputMessage="1" showErrorMessage="1" sqref="L52">
      <formula1>0</formula1>
    </dataValidation>
    <dataValidation type="decimal" operator="greaterThanOrEqual" allowBlank="1" showInputMessage="1" showErrorMessage="1" sqref="M52">
      <formula1>0</formula1>
    </dataValidation>
    <dataValidation type="decimal" operator="greaterThanOrEqual" allowBlank="1" showInputMessage="1" showErrorMessage="1" sqref="N52">
      <formula1>0</formula1>
    </dataValidation>
    <dataValidation type="decimal" operator="greaterThanOrEqual" allowBlank="1" showInputMessage="1" showErrorMessage="1" sqref="R52">
      <formula1>0</formula1>
    </dataValidation>
    <dataValidation type="whole" allowBlank="1" showInputMessage="1" showErrorMessage="1" sqref="F52">
      <formula1>0</formula1>
      <formula2>1</formula2>
    </dataValidation>
    <dataValidation type="decimal" allowBlank="1" showInputMessage="1" showErrorMessage="1" sqref="H53">
      <formula1>0</formula1>
      <formula2>1</formula2>
    </dataValidation>
    <dataValidation type="decimal" allowBlank="1" showInputMessage="1" showErrorMessage="1" sqref="I53">
      <formula1>0</formula1>
      <formula2>1</formula2>
    </dataValidation>
    <dataValidation type="decimal" allowBlank="1" showInputMessage="1" showErrorMessage="1" sqref="K53">
      <formula1>0</formula1>
      <formula2>1</formula2>
    </dataValidation>
    <dataValidation type="decimal" operator="greaterThanOrEqual" allowBlank="1" showInputMessage="1" showErrorMessage="1" sqref="J53">
      <formula1>0</formula1>
    </dataValidation>
    <dataValidation type="decimal" operator="greaterThanOrEqual" allowBlank="1" showInputMessage="1" showErrorMessage="1" sqref="L53">
      <formula1>0</formula1>
    </dataValidation>
    <dataValidation type="decimal" operator="greaterThanOrEqual" allowBlank="1" showInputMessage="1" showErrorMessage="1" sqref="M53">
      <formula1>0</formula1>
    </dataValidation>
    <dataValidation type="decimal" operator="greaterThanOrEqual" allowBlank="1" showInputMessage="1" showErrorMessage="1" sqref="N53">
      <formula1>0</formula1>
    </dataValidation>
    <dataValidation type="decimal" operator="greaterThanOrEqual" allowBlank="1" showInputMessage="1" showErrorMessage="1" sqref="R53">
      <formula1>0</formula1>
    </dataValidation>
    <dataValidation type="whole" allowBlank="1" showInputMessage="1" showErrorMessage="1" sqref="F53">
      <formula1>0</formula1>
      <formula2>1</formula2>
    </dataValidation>
    <dataValidation type="decimal" allowBlank="1" showInputMessage="1" showErrorMessage="1" sqref="H54">
      <formula1>0</formula1>
      <formula2>1</formula2>
    </dataValidation>
    <dataValidation type="decimal" allowBlank="1" showInputMessage="1" showErrorMessage="1" sqref="I54">
      <formula1>0</formula1>
      <formula2>1</formula2>
    </dataValidation>
    <dataValidation type="decimal" allowBlank="1" showInputMessage="1" showErrorMessage="1" sqref="K54">
      <formula1>0</formula1>
      <formula2>1</formula2>
    </dataValidation>
    <dataValidation type="decimal" operator="greaterThanOrEqual" allowBlank="1" showInputMessage="1" showErrorMessage="1" sqref="J54">
      <formula1>0</formula1>
    </dataValidation>
    <dataValidation type="decimal" operator="greaterThanOrEqual" allowBlank="1" showInputMessage="1" showErrorMessage="1" sqref="L54">
      <formula1>0</formula1>
    </dataValidation>
    <dataValidation type="decimal" operator="greaterThanOrEqual" allowBlank="1" showInputMessage="1" showErrorMessage="1" sqref="M54">
      <formula1>0</formula1>
    </dataValidation>
    <dataValidation type="decimal" operator="greaterThanOrEqual" allowBlank="1" showInputMessage="1" showErrorMessage="1" sqref="N54">
      <formula1>0</formula1>
    </dataValidation>
    <dataValidation type="decimal" operator="greaterThanOrEqual" allowBlank="1" showInputMessage="1" showErrorMessage="1" sqref="R54">
      <formula1>0</formula1>
    </dataValidation>
    <dataValidation type="whole" allowBlank="1" showInputMessage="1" showErrorMessage="1" sqref="F54">
      <formula1>0</formula1>
      <formula2>1</formula2>
    </dataValidation>
    <dataValidation type="decimal" allowBlank="1" showInputMessage="1" showErrorMessage="1" sqref="H55">
      <formula1>0</formula1>
      <formula2>1</formula2>
    </dataValidation>
    <dataValidation type="decimal" allowBlank="1" showInputMessage="1" showErrorMessage="1" sqref="I55">
      <formula1>0</formula1>
      <formula2>1</formula2>
    </dataValidation>
    <dataValidation type="decimal" allowBlank="1" showInputMessage="1" showErrorMessage="1" sqref="K55">
      <formula1>0</formula1>
      <formula2>1</formula2>
    </dataValidation>
    <dataValidation type="decimal" operator="greaterThanOrEqual" allowBlank="1" showInputMessage="1" showErrorMessage="1" sqref="J55">
      <formula1>0</formula1>
    </dataValidation>
    <dataValidation type="decimal" operator="greaterThanOrEqual" allowBlank="1" showInputMessage="1" showErrorMessage="1" sqref="L55">
      <formula1>0</formula1>
    </dataValidation>
    <dataValidation type="decimal" operator="greaterThanOrEqual" allowBlank="1" showInputMessage="1" showErrorMessage="1" sqref="M55">
      <formula1>0</formula1>
    </dataValidation>
    <dataValidation type="decimal" operator="greaterThanOrEqual" allowBlank="1" showInputMessage="1" showErrorMessage="1" sqref="N55">
      <formula1>0</formula1>
    </dataValidation>
    <dataValidation type="decimal" operator="greaterThanOrEqual" allowBlank="1" showInputMessage="1" showErrorMessage="1" sqref="R55">
      <formula1>0</formula1>
    </dataValidation>
    <dataValidation type="whole" allowBlank="1" showInputMessage="1" showErrorMessage="1" sqref="F55">
      <formula1>0</formula1>
      <formula2>1</formula2>
    </dataValidation>
    <dataValidation type="decimal" allowBlank="1" showInputMessage="1" showErrorMessage="1" sqref="H56">
      <formula1>0</formula1>
      <formula2>1</formula2>
    </dataValidation>
    <dataValidation type="decimal" allowBlank="1" showInputMessage="1" showErrorMessage="1" sqref="I56">
      <formula1>0</formula1>
      <formula2>1</formula2>
    </dataValidation>
    <dataValidation type="decimal" allowBlank="1" showInputMessage="1" showErrorMessage="1" sqref="K56">
      <formula1>0</formula1>
      <formula2>1</formula2>
    </dataValidation>
    <dataValidation type="decimal" operator="greaterThanOrEqual" allowBlank="1" showInputMessage="1" showErrorMessage="1" sqref="J56">
      <formula1>0</formula1>
    </dataValidation>
    <dataValidation type="decimal" operator="greaterThanOrEqual" allowBlank="1" showInputMessage="1" showErrorMessage="1" sqref="L56">
      <formula1>0</formula1>
    </dataValidation>
    <dataValidation type="decimal" operator="greaterThanOrEqual" allowBlank="1" showInputMessage="1" showErrorMessage="1" sqref="M56">
      <formula1>0</formula1>
    </dataValidation>
    <dataValidation type="decimal" operator="greaterThanOrEqual" allowBlank="1" showInputMessage="1" showErrorMessage="1" sqref="N56">
      <formula1>0</formula1>
    </dataValidation>
    <dataValidation type="decimal" operator="greaterThanOrEqual" allowBlank="1" showInputMessage="1" showErrorMessage="1" sqref="R56">
      <formula1>0</formula1>
    </dataValidation>
    <dataValidation type="whole" allowBlank="1" showInputMessage="1" showErrorMessage="1" sqref="F56">
      <formula1>0</formula1>
      <formula2>1</formula2>
    </dataValidation>
    <dataValidation type="decimal" allowBlank="1" showInputMessage="1" showErrorMessage="1" sqref="H57">
      <formula1>0</formula1>
      <formula2>1</formula2>
    </dataValidation>
    <dataValidation type="decimal" allowBlank="1" showInputMessage="1" showErrorMessage="1" sqref="I57">
      <formula1>0</formula1>
      <formula2>1</formula2>
    </dataValidation>
    <dataValidation type="decimal" allowBlank="1" showInputMessage="1" showErrorMessage="1" sqref="K57">
      <formula1>0</formula1>
      <formula2>1</formula2>
    </dataValidation>
    <dataValidation type="decimal" operator="greaterThanOrEqual" allowBlank="1" showInputMessage="1" showErrorMessage="1" sqref="J57">
      <formula1>0</formula1>
    </dataValidation>
    <dataValidation type="decimal" operator="greaterThanOrEqual" allowBlank="1" showInputMessage="1" showErrorMessage="1" sqref="L57">
      <formula1>0</formula1>
    </dataValidation>
    <dataValidation type="decimal" operator="greaterThanOrEqual" allowBlank="1" showInputMessage="1" showErrorMessage="1" sqref="M57">
      <formula1>0</formula1>
    </dataValidation>
    <dataValidation type="decimal" operator="greaterThanOrEqual" allowBlank="1" showInputMessage="1" showErrorMessage="1" sqref="N57">
      <formula1>0</formula1>
    </dataValidation>
    <dataValidation type="decimal" operator="greaterThanOrEqual" allowBlank="1" showInputMessage="1" showErrorMessage="1" sqref="R57">
      <formula1>0</formula1>
    </dataValidation>
    <dataValidation type="whole" allowBlank="1" showInputMessage="1" showErrorMessage="1" sqref="F57">
      <formula1>0</formula1>
      <formula2>1</formula2>
    </dataValidation>
    <dataValidation type="decimal" allowBlank="1" showInputMessage="1" showErrorMessage="1" sqref="H58">
      <formula1>0</formula1>
      <formula2>1</formula2>
    </dataValidation>
    <dataValidation type="decimal" allowBlank="1" showInputMessage="1" showErrorMessage="1" sqref="I58">
      <formula1>0</formula1>
      <formula2>1</formula2>
    </dataValidation>
    <dataValidation type="decimal" allowBlank="1" showInputMessage="1" showErrorMessage="1" sqref="K58">
      <formula1>0</formula1>
      <formula2>1</formula2>
    </dataValidation>
    <dataValidation type="decimal" operator="greaterThanOrEqual" allowBlank="1" showInputMessage="1" showErrorMessage="1" sqref="J58">
      <formula1>0</formula1>
    </dataValidation>
    <dataValidation type="decimal" operator="greaterThanOrEqual" allowBlank="1" showInputMessage="1" showErrorMessage="1" sqref="L58">
      <formula1>0</formula1>
    </dataValidation>
    <dataValidation type="decimal" operator="greaterThanOrEqual" allowBlank="1" showInputMessage="1" showErrorMessage="1" sqref="M58">
      <formula1>0</formula1>
    </dataValidation>
    <dataValidation type="decimal" operator="greaterThanOrEqual" allowBlank="1" showInputMessage="1" showErrorMessage="1" sqref="N58">
      <formula1>0</formula1>
    </dataValidation>
    <dataValidation type="decimal" operator="greaterThanOrEqual" allowBlank="1" showInputMessage="1" showErrorMessage="1" sqref="R58">
      <formula1>0</formula1>
    </dataValidation>
    <dataValidation type="whole" allowBlank="1" showInputMessage="1" showErrorMessage="1" sqref="F58">
      <formula1>0</formula1>
      <formula2>1</formula2>
    </dataValidation>
    <dataValidation type="decimal" allowBlank="1" showInputMessage="1" showErrorMessage="1" sqref="H59">
      <formula1>0</formula1>
      <formula2>1</formula2>
    </dataValidation>
    <dataValidation type="decimal" allowBlank="1" showInputMessage="1" showErrorMessage="1" sqref="I59">
      <formula1>0</formula1>
      <formula2>1</formula2>
    </dataValidation>
    <dataValidation type="decimal" allowBlank="1" showInputMessage="1" showErrorMessage="1" sqref="K59">
      <formula1>0</formula1>
      <formula2>1</formula2>
    </dataValidation>
    <dataValidation type="decimal" operator="greaterThanOrEqual" allowBlank="1" showInputMessage="1" showErrorMessage="1" sqref="J59">
      <formula1>0</formula1>
    </dataValidation>
    <dataValidation type="decimal" operator="greaterThanOrEqual" allowBlank="1" showInputMessage="1" showErrorMessage="1" sqref="L59">
      <formula1>0</formula1>
    </dataValidation>
    <dataValidation type="decimal" operator="greaterThanOrEqual" allowBlank="1" showInputMessage="1" showErrorMessage="1" sqref="M59">
      <formula1>0</formula1>
    </dataValidation>
    <dataValidation type="decimal" operator="greaterThanOrEqual" allowBlank="1" showInputMessage="1" showErrorMessage="1" sqref="N59">
      <formula1>0</formula1>
    </dataValidation>
    <dataValidation type="decimal" operator="greaterThanOrEqual" allowBlank="1" showInputMessage="1" showErrorMessage="1" sqref="R59">
      <formula1>0</formula1>
    </dataValidation>
    <dataValidation type="whole" allowBlank="1" showInputMessage="1" showErrorMessage="1" sqref="F59">
      <formula1>0</formula1>
      <formula2>1</formula2>
    </dataValidation>
    <dataValidation type="decimal" allowBlank="1" showInputMessage="1" showErrorMessage="1" sqref="H60">
      <formula1>0</formula1>
      <formula2>1</formula2>
    </dataValidation>
    <dataValidation type="decimal" allowBlank="1" showInputMessage="1" showErrorMessage="1" sqref="I60">
      <formula1>0</formula1>
      <formula2>1</formula2>
    </dataValidation>
    <dataValidation type="decimal" allowBlank="1" showInputMessage="1" showErrorMessage="1" sqref="K60">
      <formula1>0</formula1>
      <formula2>1</formula2>
    </dataValidation>
    <dataValidation type="decimal" operator="greaterThanOrEqual" allowBlank="1" showInputMessage="1" showErrorMessage="1" sqref="J60">
      <formula1>0</formula1>
    </dataValidation>
    <dataValidation type="decimal" operator="greaterThanOrEqual" allowBlank="1" showInputMessage="1" showErrorMessage="1" sqref="L60">
      <formula1>0</formula1>
    </dataValidation>
    <dataValidation type="decimal" operator="greaterThanOrEqual" allowBlank="1" showInputMessage="1" showErrorMessage="1" sqref="M60">
      <formula1>0</formula1>
    </dataValidation>
    <dataValidation type="decimal" operator="greaterThanOrEqual" allowBlank="1" showInputMessage="1" showErrorMessage="1" sqref="N60">
      <formula1>0</formula1>
    </dataValidation>
    <dataValidation type="decimal" operator="greaterThanOrEqual" allowBlank="1" showInputMessage="1" showErrorMessage="1" sqref="R60">
      <formula1>0</formula1>
    </dataValidation>
    <dataValidation type="whole" allowBlank="1" showInputMessage="1" showErrorMessage="1" sqref="F60">
      <formula1>0</formula1>
      <formula2>1</formula2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F16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/>
  <cols>
    <col min="1" max="1" width="12.7109375" customWidth="1"/>
    <col min="2" max="2" width="25.7109375" customWidth="1"/>
    <col min="3" max="3" width="35.7109375" customWidth="1"/>
    <col min="4" max="4" width="90.7109375" customWidth="1"/>
    <col min="5" max="5" width="70.7109375" customWidth="1"/>
    <col min="6" max="6" width="65.7109375" customWidth="1"/>
  </cols>
  <sheetData>
    <row r="1" spans="1:6">
      <c r="A1" s="1" t="s">
        <v>345</v>
      </c>
      <c r="B1" s="1"/>
      <c r="C1" s="1"/>
      <c r="D1" s="1"/>
      <c r="E1" s="1"/>
      <c r="F1" s="1"/>
    </row>
    <row r="4" spans="1:6" ht="45" customHeight="1">
      <c r="A4" s="4" t="s">
        <v>339</v>
      </c>
      <c r="B4" s="4" t="s">
        <v>340</v>
      </c>
      <c r="C4" s="4" t="s">
        <v>341</v>
      </c>
      <c r="D4" s="4" t="s">
        <v>342</v>
      </c>
      <c r="E4" s="4" t="s">
        <v>343</v>
      </c>
      <c r="F4" s="4" t="s">
        <v>344</v>
      </c>
    </row>
    <row r="5" spans="1:6" ht="85" customHeight="1">
      <c r="A5" s="2" t="s">
        <v>346</v>
      </c>
      <c r="B5" s="2" t="s">
        <v>347</v>
      </c>
      <c r="C5" s="2" t="s">
        <v>348</v>
      </c>
      <c r="D5" s="2" t="s">
        <v>349</v>
      </c>
      <c r="E5" s="2" t="s">
        <v>350</v>
      </c>
      <c r="F5" s="2" t="s">
        <v>351</v>
      </c>
    </row>
    <row r="6" spans="1:6" ht="85" customHeight="1">
      <c r="A6" s="2" t="s">
        <v>346</v>
      </c>
      <c r="B6" s="2" t="s">
        <v>352</v>
      </c>
      <c r="C6" s="2" t="s">
        <v>353</v>
      </c>
      <c r="D6" s="2" t="s">
        <v>354</v>
      </c>
      <c r="E6" s="2" t="s">
        <v>355</v>
      </c>
      <c r="F6" s="2" t="s">
        <v>356</v>
      </c>
    </row>
    <row r="7" spans="1:6" ht="85" customHeight="1">
      <c r="A7" s="2" t="s">
        <v>346</v>
      </c>
      <c r="B7" s="2" t="s">
        <v>357</v>
      </c>
      <c r="C7" s="2" t="s">
        <v>358</v>
      </c>
      <c r="D7" s="2" t="s">
        <v>359</v>
      </c>
      <c r="E7" s="2" t="s">
        <v>360</v>
      </c>
      <c r="F7" s="2" t="s">
        <v>361</v>
      </c>
    </row>
    <row r="8" spans="1:6" ht="85" customHeight="1">
      <c r="A8" s="2" t="s">
        <v>346</v>
      </c>
      <c r="B8" s="2" t="s">
        <v>352</v>
      </c>
      <c r="C8" s="2" t="s">
        <v>362</v>
      </c>
      <c r="D8" s="2" t="s">
        <v>363</v>
      </c>
      <c r="E8" s="2" t="s">
        <v>364</v>
      </c>
      <c r="F8" s="2" t="s">
        <v>365</v>
      </c>
    </row>
    <row r="9" spans="1:6" ht="85" customHeight="1">
      <c r="A9" s="2" t="s">
        <v>346</v>
      </c>
      <c r="B9" s="2" t="s">
        <v>366</v>
      </c>
      <c r="C9" s="2" t="s">
        <v>367</v>
      </c>
      <c r="D9" s="2" t="s">
        <v>368</v>
      </c>
      <c r="E9" s="2" t="s">
        <v>369</v>
      </c>
      <c r="F9" s="2" t="s">
        <v>370</v>
      </c>
    </row>
    <row r="10" spans="1:6" ht="85" customHeight="1">
      <c r="A10" s="2" t="s">
        <v>346</v>
      </c>
      <c r="B10" s="2" t="s">
        <v>371</v>
      </c>
      <c r="C10" s="2" t="s">
        <v>372</v>
      </c>
      <c r="D10" s="2" t="s">
        <v>373</v>
      </c>
      <c r="E10" s="2" t="s">
        <v>374</v>
      </c>
      <c r="F10" s="2" t="s">
        <v>375</v>
      </c>
    </row>
    <row r="11" spans="1:6" ht="85" customHeight="1">
      <c r="A11" s="2" t="s">
        <v>376</v>
      </c>
      <c r="B11" s="2" t="s">
        <v>377</v>
      </c>
      <c r="C11" s="2" t="s">
        <v>378</v>
      </c>
      <c r="D11" s="2" t="s">
        <v>379</v>
      </c>
      <c r="E11" s="2" t="s">
        <v>380</v>
      </c>
      <c r="F11" s="2" t="s">
        <v>381</v>
      </c>
    </row>
    <row r="12" spans="1:6" ht="85" customHeight="1">
      <c r="A12" s="2" t="s">
        <v>376</v>
      </c>
      <c r="B12" s="2" t="s">
        <v>382</v>
      </c>
      <c r="C12" s="2" t="s">
        <v>383</v>
      </c>
      <c r="D12" s="2" t="s">
        <v>384</v>
      </c>
      <c r="E12" s="2" t="s">
        <v>385</v>
      </c>
      <c r="F12" s="2" t="s">
        <v>386</v>
      </c>
    </row>
    <row r="13" spans="1:6" ht="85" customHeight="1">
      <c r="A13" s="2" t="s">
        <v>376</v>
      </c>
      <c r="B13" s="2" t="s">
        <v>387</v>
      </c>
      <c r="C13" s="2" t="s">
        <v>388</v>
      </c>
      <c r="D13" s="2" t="s">
        <v>389</v>
      </c>
      <c r="E13" s="2" t="s">
        <v>390</v>
      </c>
      <c r="F13" s="2" t="s">
        <v>391</v>
      </c>
    </row>
    <row r="14" spans="1:6" ht="85" customHeight="1">
      <c r="A14" s="2" t="s">
        <v>376</v>
      </c>
      <c r="B14" s="2" t="s">
        <v>392</v>
      </c>
      <c r="C14" s="2" t="s">
        <v>393</v>
      </c>
      <c r="D14" s="2" t="s">
        <v>394</v>
      </c>
      <c r="E14" s="2" t="s">
        <v>395</v>
      </c>
      <c r="F14" s="2" t="s">
        <v>396</v>
      </c>
    </row>
    <row r="15" spans="1:6" ht="85" customHeight="1">
      <c r="A15" s="2" t="s">
        <v>376</v>
      </c>
      <c r="B15" s="2" t="s">
        <v>397</v>
      </c>
      <c r="C15" s="2" t="s">
        <v>398</v>
      </c>
      <c r="D15" s="2" t="s">
        <v>399</v>
      </c>
      <c r="E15" s="2" t="s">
        <v>400</v>
      </c>
      <c r="F15" s="2" t="s">
        <v>401</v>
      </c>
    </row>
    <row r="16" spans="1:6" ht="85" customHeight="1">
      <c r="A16" s="2" t="s">
        <v>376</v>
      </c>
      <c r="B16" s="2" t="s">
        <v>402</v>
      </c>
      <c r="C16" s="2" t="s">
        <v>403</v>
      </c>
      <c r="D16" s="2" t="s">
        <v>404</v>
      </c>
      <c r="E16" s="2" t="s">
        <v>405</v>
      </c>
      <c r="F16" s="2" t="s">
        <v>406</v>
      </c>
    </row>
  </sheetData>
  <mergeCells count="1">
    <mergeCell ref="A1:F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D11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/>
  <cols>
    <col min="1" max="1" width="30.7109375" customWidth="1"/>
    <col min="2" max="2" width="90.7109375" customWidth="1"/>
    <col min="3" max="3" width="70.7109375" customWidth="1"/>
    <col min="4" max="4" width="75.7109375" customWidth="1"/>
  </cols>
  <sheetData>
    <row r="1" spans="1:4">
      <c r="A1" s="1" t="s">
        <v>411</v>
      </c>
      <c r="B1" s="1"/>
      <c r="C1" s="1"/>
      <c r="D1" s="1"/>
    </row>
    <row r="4" spans="1:4" ht="45" customHeight="1">
      <c r="A4" s="4" t="s">
        <v>407</v>
      </c>
      <c r="B4" s="4" t="s">
        <v>408</v>
      </c>
      <c r="C4" s="4" t="s">
        <v>409</v>
      </c>
      <c r="D4" s="4" t="s">
        <v>410</v>
      </c>
    </row>
    <row r="5" spans="1:4" ht="60" customHeight="1">
      <c r="A5" s="2" t="s">
        <v>412</v>
      </c>
      <c r="B5" s="2" t="s">
        <v>413</v>
      </c>
      <c r="C5" s="2" t="s">
        <v>414</v>
      </c>
      <c r="D5" s="2" t="s">
        <v>415</v>
      </c>
    </row>
    <row r="6" spans="1:4" ht="60" customHeight="1">
      <c r="A6" s="2" t="s">
        <v>416</v>
      </c>
      <c r="B6" s="2" t="s">
        <v>417</v>
      </c>
      <c r="C6" s="2" t="s">
        <v>418</v>
      </c>
      <c r="D6" s="2" t="s">
        <v>419</v>
      </c>
    </row>
    <row r="7" spans="1:4" ht="60" customHeight="1">
      <c r="A7" s="2" t="s">
        <v>420</v>
      </c>
      <c r="B7" s="2" t="s">
        <v>421</v>
      </c>
      <c r="C7" s="2" t="s">
        <v>422</v>
      </c>
      <c r="D7" s="2" t="s">
        <v>423</v>
      </c>
    </row>
    <row r="8" spans="1:4" ht="60" customHeight="1">
      <c r="A8" s="2" t="s">
        <v>424</v>
      </c>
      <c r="B8" s="2" t="s">
        <v>425</v>
      </c>
      <c r="C8" s="2" t="s">
        <v>426</v>
      </c>
      <c r="D8" s="2" t="s">
        <v>427</v>
      </c>
    </row>
    <row r="9" spans="1:4" ht="60" customHeight="1">
      <c r="A9" s="2" t="s">
        <v>428</v>
      </c>
      <c r="B9" s="2" t="s">
        <v>429</v>
      </c>
      <c r="C9" s="2" t="s">
        <v>430</v>
      </c>
      <c r="D9" s="2" t="s">
        <v>431</v>
      </c>
    </row>
    <row r="10" spans="1:4" ht="60" customHeight="1">
      <c r="A10" s="2" t="s">
        <v>432</v>
      </c>
      <c r="B10" s="2" t="s">
        <v>433</v>
      </c>
      <c r="C10" s="2" t="s">
        <v>434</v>
      </c>
      <c r="D10" s="2" t="s">
        <v>435</v>
      </c>
    </row>
    <row r="11" spans="1:4" ht="60" customHeight="1">
      <c r="A11" s="2" t="s">
        <v>436</v>
      </c>
      <c r="B11" s="2" t="s">
        <v>437</v>
      </c>
      <c r="C11" s="2" t="s">
        <v>438</v>
      </c>
      <c r="D11" s="2" t="s">
        <v>439</v>
      </c>
    </row>
  </sheetData>
  <mergeCells count="1">
    <mergeCell ref="A1:D1"/>
  </mergeCells>
  <hyperlinks>
    <hyperlink ref="B5" r:id="rId1"/>
    <hyperlink ref="B6" r:id="rId2"/>
    <hyperlink ref="B7" r:id="rId3"/>
    <hyperlink ref="B8" r:id="rId4"/>
    <hyperlink ref="B9" r:id="rId5"/>
    <hyperlink ref="B10" r:id="rId6"/>
    <hyperlink ref="B11" r:id="rId7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14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/>
  <cols>
    <col min="1" max="1" width="12.7109375" customWidth="1"/>
    <col min="2" max="2" width="43.7109375" customWidth="1"/>
    <col min="3" max="3" width="90.7109375" customWidth="1"/>
    <col min="4" max="4" width="65.7109375" customWidth="1"/>
  </cols>
  <sheetData>
    <row r="1" spans="1:4">
      <c r="A1" s="1" t="s">
        <v>443</v>
      </c>
      <c r="B1" s="1"/>
      <c r="C1" s="1"/>
      <c r="D1" s="1"/>
    </row>
    <row r="4" spans="1:4" ht="45" customHeight="1">
      <c r="A4" s="4" t="s">
        <v>151</v>
      </c>
      <c r="B4" s="4" t="s">
        <v>440</v>
      </c>
      <c r="C4" s="4" t="s">
        <v>441</v>
      </c>
      <c r="D4" s="4" t="s">
        <v>442</v>
      </c>
    </row>
    <row r="5" spans="1:4" ht="60" customHeight="1">
      <c r="A5" s="2" t="s">
        <v>40</v>
      </c>
      <c r="B5" s="2" t="s">
        <v>190</v>
      </c>
      <c r="C5" s="2" t="s">
        <v>444</v>
      </c>
      <c r="D5" s="2" t="s">
        <v>445</v>
      </c>
    </row>
    <row r="6" spans="1:4" ht="60" customHeight="1">
      <c r="A6" s="2" t="s">
        <v>41</v>
      </c>
      <c r="B6" s="2" t="s">
        <v>192</v>
      </c>
      <c r="C6" s="2" t="s">
        <v>446</v>
      </c>
      <c r="D6" s="2" t="s">
        <v>445</v>
      </c>
    </row>
    <row r="7" spans="1:4" ht="60" customHeight="1">
      <c r="A7" s="2" t="s">
        <v>42</v>
      </c>
      <c r="B7" s="2" t="s">
        <v>194</v>
      </c>
      <c r="C7" s="2" t="s">
        <v>447</v>
      </c>
      <c r="D7" s="2" t="s">
        <v>445</v>
      </c>
    </row>
    <row r="8" spans="1:4" ht="60" customHeight="1">
      <c r="A8" s="2" t="s">
        <v>43</v>
      </c>
      <c r="B8" s="2" t="s">
        <v>196</v>
      </c>
      <c r="C8" s="2" t="s">
        <v>448</v>
      </c>
      <c r="D8" s="2" t="s">
        <v>445</v>
      </c>
    </row>
    <row r="9" spans="1:4" ht="60" customHeight="1">
      <c r="A9" s="2" t="s">
        <v>44</v>
      </c>
      <c r="B9" s="2" t="s">
        <v>198</v>
      </c>
      <c r="C9" s="2" t="s">
        <v>449</v>
      </c>
      <c r="D9" s="2" t="s">
        <v>445</v>
      </c>
    </row>
    <row r="10" spans="1:4" ht="60" customHeight="1">
      <c r="A10" s="2" t="s">
        <v>45</v>
      </c>
      <c r="B10" s="2" t="s">
        <v>200</v>
      </c>
      <c r="C10" s="2" t="s">
        <v>450</v>
      </c>
      <c r="D10" s="2" t="s">
        <v>445</v>
      </c>
    </row>
    <row r="11" spans="1:4" ht="60" customHeight="1">
      <c r="A11" s="2" t="s">
        <v>46</v>
      </c>
      <c r="B11" s="2" t="s">
        <v>202</v>
      </c>
      <c r="C11" s="2" t="s">
        <v>451</v>
      </c>
      <c r="D11" s="2" t="s">
        <v>445</v>
      </c>
    </row>
    <row r="12" spans="1:4" ht="60" customHeight="1">
      <c r="A12" s="2" t="s">
        <v>47</v>
      </c>
      <c r="B12" s="2" t="s">
        <v>204</v>
      </c>
      <c r="C12" s="2" t="s">
        <v>452</v>
      </c>
      <c r="D12" s="2" t="s">
        <v>445</v>
      </c>
    </row>
    <row r="13" spans="1:4" ht="60" customHeight="1">
      <c r="A13" s="2" t="s">
        <v>48</v>
      </c>
      <c r="B13" s="2" t="s">
        <v>206</v>
      </c>
      <c r="C13" s="2" t="s">
        <v>452</v>
      </c>
      <c r="D13" s="2" t="s">
        <v>445</v>
      </c>
    </row>
    <row r="14" spans="1:4" ht="60" customHeight="1">
      <c r="A14" s="2" t="s">
        <v>49</v>
      </c>
      <c r="B14" s="2" t="s">
        <v>208</v>
      </c>
      <c r="C14" s="2" t="s">
        <v>453</v>
      </c>
      <c r="D14" s="2" t="s">
        <v>445</v>
      </c>
    </row>
  </sheetData>
  <mergeCells count="1">
    <mergeCell ref="A1:D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J14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/>
  <cols>
    <col min="1" max="1" width="12.7109375" customWidth="1"/>
    <col min="2" max="7" width="24.7109375" customWidth="1"/>
    <col min="8" max="8" width="26.7109375" customWidth="1"/>
    <col min="9" max="9" width="24.7109375" customWidth="1"/>
    <col min="10" max="10" width="65.7109375" customWidth="1"/>
  </cols>
  <sheetData>
    <row r="1" spans="1:10">
      <c r="A1" s="1" t="s">
        <v>462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3" t="s">
        <v>463</v>
      </c>
      <c r="B2" s="3"/>
      <c r="C2" s="3"/>
      <c r="D2" s="3"/>
      <c r="E2" s="3"/>
      <c r="F2" s="3"/>
      <c r="G2" s="3"/>
      <c r="H2" s="3"/>
      <c r="I2" s="3"/>
      <c r="J2" s="3"/>
    </row>
    <row r="4" spans="1:10" ht="45" customHeight="1">
      <c r="A4" s="4" t="s">
        <v>151</v>
      </c>
      <c r="B4" s="4" t="s">
        <v>454</v>
      </c>
      <c r="C4" s="4" t="s">
        <v>455</v>
      </c>
      <c r="D4" s="4" t="s">
        <v>456</v>
      </c>
      <c r="E4" s="4" t="s">
        <v>457</v>
      </c>
      <c r="F4" s="4" t="s">
        <v>458</v>
      </c>
      <c r="G4" s="4" t="s">
        <v>459</v>
      </c>
      <c r="H4" s="4" t="s">
        <v>460</v>
      </c>
      <c r="I4" s="4" t="s">
        <v>461</v>
      </c>
      <c r="J4" s="4" t="s">
        <v>213</v>
      </c>
    </row>
    <row r="5" spans="1:10" ht="55" customHeight="1">
      <c r="A5" s="2" t="s">
        <v>40</v>
      </c>
      <c r="B5" s="7">
        <f>SUM(C1!Z45:Z80)</f>
        <v>1.5999999999999999</v>
      </c>
      <c r="C5" s="7">
        <f>Parameters!$D$19</f>
        <v>4</v>
      </c>
      <c r="D5" s="7">
        <f>SUMPRODUCT(POWER((1/(1+Parameters!$D$32)),C1!$A$45:$A$80-1),C1!E45:E80)</f>
        <v>0.1</v>
      </c>
      <c r="E5" s="7">
        <f>SUMPRODUCT(POWER((1/(1+Parameters!$D$32)),C1!$A$45:$A$80-1),C1!N45:N80)</f>
        <v>0.30000000000000004</v>
      </c>
      <c r="F5" s="7">
        <f>SUMPRODUCT(POWER((1/(1+Parameters!$D$32)),C1!$A$45:$A$80-1),C1!K45:K80)+SUMPRODUCT(POWER((1/(1+Parameters!$D$32)),C1!$A$45:$A$80-1),C1!L45:L80)</f>
        <v>0.0</v>
      </c>
      <c r="G5" s="7">
        <f>IF((1-Parameters!$D$15)*D5=0,"NO PAYABLE REVENUE",IF((C5+E5-F5)/((1-Parameters!$D$15)*D5)&lt;0,0,(C5+E5-F5)/((1-Parameters!$D$15)*D5)))</f>
        <v>45.26315789473685</v>
      </c>
      <c r="H5" s="7">
        <f>(Parameters!$D$24-Parameters!$D$25)*IF((1/(1+Parameters!$D$32))*Parameters!$D$23=1,36,(1-POWER((1/(1+Parameters!$D$32))*Parameters!$D$23,36))/(1-(1/(1+Parameters!$D$32))*Parameters!$D$23))</f>
        <v>37.44255883143452</v>
      </c>
      <c r="I5" s="7">
        <f>IF(H5&lt;=0,"NO POSITIVE SOFTWARE MARGIN",IF((C5-B5+Parameters!$D$22*H5)/H5&lt;0,0,(C5-B5+Parameters!$D$22*H5)/H5))</f>
        <v>0.06409818332141086</v>
      </c>
      <c r="J5" s="2" t="s">
        <v>464</v>
      </c>
    </row>
    <row r="6" spans="1:10" ht="55" customHeight="1">
      <c r="A6" s="2" t="s">
        <v>41</v>
      </c>
      <c r="B6" s="7">
        <f>SUM(C2!Z45:Z80)</f>
        <v>1.5999999999999999</v>
      </c>
      <c r="C6" s="7">
        <f>Parameters!$E$19</f>
        <v>1</v>
      </c>
      <c r="D6" s="7">
        <f>SUMPRODUCT(POWER((1/(1+Parameters!$E$32)),C2!$A$45:$A$80-1),C2!E45:E80)</f>
        <v>0.1</v>
      </c>
      <c r="E6" s="7">
        <f>SUMPRODUCT(POWER((1/(1+Parameters!$E$32)),C2!$A$45:$A$80-1),C2!N45:N80)</f>
        <v>0.30000000000000004</v>
      </c>
      <c r="F6" s="7">
        <f>SUMPRODUCT(POWER((1/(1+Parameters!$E$32)),C2!$A$45:$A$80-1),C2!K45:K80)+SUMPRODUCT(POWER((1/(1+Parameters!$E$32)),C2!$A$45:$A$80-1),C2!L45:L80)</f>
        <v>0.0</v>
      </c>
      <c r="G6" s="7">
        <f>IF((1-Parameters!$E$15)*D6=0,"NO PAYABLE REVENUE",IF((C6+E6-F6)/((1-Parameters!$E$15)*D6)&lt;0,0,(C6+E6-F6)/((1-Parameters!$E$15)*D6)))</f>
        <v>13.68421052631579</v>
      </c>
      <c r="H6" s="7">
        <f>(Parameters!$E$24-Parameters!$E$25)*IF((1/(1+Parameters!$E$32))*Parameters!$E$23=1,36,(1-POWER((1/(1+Parameters!$E$32))*Parameters!$E$23,36))/(1-(1/(1+Parameters!$E$32))*Parameters!$E$23))</f>
        <v>37.44255883143452</v>
      </c>
      <c r="I6" s="7">
        <f>IF(H6&lt;=0,"NO POSITIVE SOFTWARE MARGIN",IF((C6-B6+Parameters!$E$22*H6)/H6&lt;0,0,(C6-B6+Parameters!$E$22*H6)/H6))</f>
        <v>0.0</v>
      </c>
      <c r="J6" s="2" t="s">
        <v>464</v>
      </c>
    </row>
    <row r="7" spans="1:10" ht="55" customHeight="1">
      <c r="A7" s="2" t="s">
        <v>42</v>
      </c>
      <c r="B7" s="7">
        <f>SUM(C3!Z45:Z80)</f>
        <v>1.4857470117507008</v>
      </c>
      <c r="C7" s="7">
        <f>Parameters!$F$19</f>
        <v>4</v>
      </c>
      <c r="D7" s="7">
        <f>SUMPRODUCT(POWER((1/(1+Parameters!$F$32)),C3!$A$45:$A$80-1),C3!E45:E80)</f>
        <v>0.1</v>
      </c>
      <c r="E7" s="7">
        <f>SUMPRODUCT(POWER((1/(1+Parameters!$F$32)),C3!$A$45:$A$80-1),C3!N45:N80)</f>
        <v>0.4142529882492991</v>
      </c>
      <c r="F7" s="7">
        <f>SUMPRODUCT(POWER((1/(1+Parameters!$F$32)),C3!$A$45:$A$80-1),C3!K45:K80)+SUMPRODUCT(POWER((1/(1+Parameters!$F$32)),C3!$A$45:$A$80-1),C3!L45:L80)</f>
        <v>0.0</v>
      </c>
      <c r="G7" s="7">
        <f>IF((1-Parameters!$F$15)*D7=0,"NO PAYABLE REVENUE",IF((C7+E7-F7)/((1-Parameters!$F$15)*D7)&lt;0,0,(C7+E7-F7)/((1-Parameters!$F$15)*D7)))</f>
        <v>46.46582092894</v>
      </c>
      <c r="H7" s="7">
        <f>(Parameters!$F$24-Parameters!$F$25)*IF((1/(1+Parameters!$F$32))*Parameters!$F$23=1,36,(1-POWER((1/(1+Parameters!$F$32))*Parameters!$F$23,36))/(1-(1/(1+Parameters!$F$32))*Parameters!$F$23))</f>
        <v>37.44255883143452</v>
      </c>
      <c r="I7" s="7">
        <f>IF(H7&lt;=0,"NO POSITIVE SOFTWARE MARGIN",IF((C7-B7+Parameters!$F$22*H7)/H7&lt;0,0,(C7-B7+Parameters!$F$22*H7)/H7))</f>
        <v>0.06714960373217026</v>
      </c>
      <c r="J7" s="2" t="s">
        <v>464</v>
      </c>
    </row>
    <row r="8" spans="1:10" ht="55" customHeight="1">
      <c r="A8" s="2" t="s">
        <v>43</v>
      </c>
      <c r="B8" s="7">
        <f>SUM(C4!Z45:Z80)</f>
        <v>5.174677684308811</v>
      </c>
      <c r="C8" s="7">
        <f>Parameters!$G$19</f>
        <v>4</v>
      </c>
      <c r="D8" s="7">
        <f>SUMPRODUCT(POWER((1/(1+Parameters!$G$32)),C4!$A$45:$A$80-1),C4!E45:E80)</f>
        <v>0.3482740824632528</v>
      </c>
      <c r="E8" s="7">
        <f>SUMPRODUCT(POWER((1/(1+Parameters!$G$32)),C4!$A$45:$A$80-1),C4!N45:N80)</f>
        <v>1.4425298824929913</v>
      </c>
      <c r="F8" s="7">
        <f>SUMPRODUCT(POWER((1/(1+Parameters!$G$32)),C4!$A$45:$A$80-1),C4!K45:K80)+SUMPRODUCT(POWER((1/(1+Parameters!$G$32)),C4!$A$45:$A$80-1),C4!L45:L80)</f>
        <v>0.0</v>
      </c>
      <c r="G8" s="7">
        <f>IF((1-Parameters!$G$15)*D8=0,"NO PAYABLE REVENUE",IF((C8+E8-F8)/((1-Parameters!$G$15)*D8)&lt;0,0,(C8+E8-F8)/((1-Parameters!$G$15)*D8)))</f>
        <v>16.44962721072221</v>
      </c>
      <c r="H8" s="7">
        <f>(Parameters!$G$24-Parameters!$G$25)*IF((1/(1+Parameters!$G$32))*Parameters!$G$23=1,36,(1-POWER((1/(1+Parameters!$G$32))*Parameters!$G$23,36))/(1-(1/(1+Parameters!$G$32))*Parameters!$G$23))</f>
        <v>37.44255883143452</v>
      </c>
      <c r="I8" s="7">
        <f>IF(H8&lt;=0,"NO POSITIVE SOFTWARE MARGIN",IF((C8-B8+Parameters!$G$22*H8)/H8&lt;0,0,(C8-B8+Parameters!$G$22*H8)/H8))</f>
        <v>0.0</v>
      </c>
      <c r="J8" s="2" t="s">
        <v>464</v>
      </c>
    </row>
    <row r="9" spans="1:10" ht="55" customHeight="1">
      <c r="A9" s="2" t="s">
        <v>44</v>
      </c>
      <c r="B9" s="7">
        <f>SUM(C5!Z45:Z80)</f>
        <v>5.8769524938485045</v>
      </c>
      <c r="C9" s="7">
        <f>Parameters!$H$19</f>
        <v>4</v>
      </c>
      <c r="D9" s="7">
        <f>SUMPRODUCT(POWER((1/(1+Parameters!$H$32)),C5!$A$45:$A$80-1),C5!E45:E80)</f>
        <v>0.38523591454428924</v>
      </c>
      <c r="E9" s="7">
        <f>SUMPRODUCT(POWER((1/(1+Parameters!$H$32)),C5!$A$45:$A$80-1),C5!N45:N80)</f>
        <v>1.4425298824929913</v>
      </c>
      <c r="F9" s="7">
        <f>SUMPRODUCT(POWER((1/(1+Parameters!$H$32)),C5!$A$45:$A$80-1),C5!K45:K80)+SUMPRODUCT(POWER((1/(1+Parameters!$H$32)),C5!$A$45:$A$80-1),C5!L45:L80)</f>
        <v>0.0</v>
      </c>
      <c r="G9" s="7">
        <f>IF((1-Parameters!$H$15)*D9=0,"NO PAYABLE REVENUE",IF((C9+E9-F9)/((1-Parameters!$H$15)*D9)&lt;0,0,(C9+E9-F9)/((1-Parameters!$H$15)*D9)))</f>
        <v>14.871351832432001</v>
      </c>
      <c r="H9" s="7">
        <f>(Parameters!$H$24-Parameters!$H$25)*IF((1/(1+Parameters!$H$32))*Parameters!$H$23=1,36,(1-POWER((1/(1+Parameters!$H$32))*Parameters!$H$23,36))/(1-(1/(1+Parameters!$H$32))*Parameters!$H$23))</f>
        <v>37.44255883143452</v>
      </c>
      <c r="I9" s="7">
        <f>IF(H9&lt;=0,"NO POSITIVE SOFTWARE MARGIN",IF((C9-B9+Parameters!$H$22*H9)/H9&lt;0,0,(C9-B9+Parameters!$H$22*H9)/H9))</f>
        <v>0.0</v>
      </c>
      <c r="J9" s="2" t="s">
        <v>464</v>
      </c>
    </row>
    <row r="10" spans="1:10" ht="55" customHeight="1">
      <c r="A10" s="2" t="s">
        <v>45</v>
      </c>
      <c r="B10" s="7">
        <f>SUM(C6!Z45:Z80)</f>
        <v>-0.5285635817258253</v>
      </c>
      <c r="C10" s="7">
        <f>Parameters!$I$19</f>
        <v>4</v>
      </c>
      <c r="D10" s="7">
        <f>SUMPRODUCT(POWER((1/(1+Parameters!$I$32)),C6!$A$45:$A$80-1),C6!E45:E80)</f>
        <v>0.15661178203548612</v>
      </c>
      <c r="E10" s="7">
        <f>SUMPRODUCT(POWER((1/(1+Parameters!$I$32)),C6!$A$45:$A$80-1),C6!N45:N80)</f>
        <v>3.5041874404000617</v>
      </c>
      <c r="F10" s="7">
        <f>SUMPRODUCT(POWER((1/(1+Parameters!$I$32)),C6!$A$45:$A$80-1),C6!K45:K80)+SUMPRODUCT(POWER((1/(1+Parameters!$I$32)),C6!$A$45:$A$80-1),C6!L45:L80)</f>
        <v>0.0</v>
      </c>
      <c r="G10" s="7">
        <f>IF((1-Parameters!$I$15)*D10=0,"NO PAYABLE REVENUE",IF((C10+E10-F10)/((1-Parameters!$I$15)*D10)&lt;0,0,(C10+E10-F10)/((1-Parameters!$I$15)*D10)))</f>
        <v>50.43774211263043</v>
      </c>
      <c r="H10" s="7">
        <f>(Parameters!$I$24-Parameters!$I$25)*IF((1/(1+Parameters!$I$32))*Parameters!$I$23=1,36,(1-POWER((1/(1+Parameters!$I$32))*Parameters!$I$23,36))/(1-(1/(1+Parameters!$I$32))*Parameters!$I$23))</f>
        <v>37.44255883143452</v>
      </c>
      <c r="I10" s="7">
        <f>IF(H10&lt;=0,"NO POSITIVE SOFTWARE MARGIN",IF((C10-B10+Parameters!$I$22*H10)/H10&lt;0,0,(C10-B10+Parameters!$I$22*H10)/H10))</f>
        <v>0.12094695776838617</v>
      </c>
      <c r="J10" s="2" t="s">
        <v>464</v>
      </c>
    </row>
    <row r="11" spans="1:10" ht="55" customHeight="1">
      <c r="A11" s="2" t="s">
        <v>46</v>
      </c>
      <c r="B11" s="7">
        <f>SUM(C7!Z45:Z80)</f>
        <v>0.05760290833146533</v>
      </c>
      <c r="C11" s="7">
        <f>Parameters!$J$19</f>
        <v>4</v>
      </c>
      <c r="D11" s="7">
        <f>SUMPRODUCT(POWER((1/(1+Parameters!$J$32)),C7!$A$45:$A$80-1),C7!E45:E80)</f>
        <v>0.1711411609431275</v>
      </c>
      <c r="E11" s="7">
        <f>SUMPRODUCT(POWER((1/(1+Parameters!$J$32)),C7!$A$45:$A$80-1),C7!N45:N80)</f>
        <v>3.194079149587957</v>
      </c>
      <c r="F11" s="7">
        <f>SUMPRODUCT(POWER((1/(1+Parameters!$J$32)),C7!$A$45:$A$80-1),C7!K45:K80)+SUMPRODUCT(POWER((1/(1+Parameters!$J$32)),C7!$A$45:$A$80-1),C7!L45:L80)</f>
        <v>0.0</v>
      </c>
      <c r="G11" s="7">
        <f>IF((1-Parameters!$J$15)*D11=0,"NO PAYABLE REVENUE",IF((C11+E11-F11)/((1-Parameters!$J$15)*D11)&lt;0,0,(C11+E11-F11)/((1-Parameters!$J$15)*D11)))</f>
        <v>44.24835529086793</v>
      </c>
      <c r="H11" s="7">
        <f>(Parameters!$J$24-Parameters!$J$25)*IF((1/(1+Parameters!$J$32))*Parameters!$J$23=1,36,(1-POWER((1/(1+Parameters!$J$32))*Parameters!$J$23,36))/(1-(1/(1+Parameters!$J$32))*Parameters!$J$23))</f>
        <v>37.44255883143452</v>
      </c>
      <c r="I11" s="7">
        <f>IF(H11&lt;=0,"NO POSITIVE SOFTWARE MARGIN",IF((C11-B11+Parameters!$J$22*H11)/H11&lt;0,0,(C11-B11+Parameters!$J$22*H11)/H11))</f>
        <v>0.10529187146148612</v>
      </c>
      <c r="J11" s="2" t="s">
        <v>464</v>
      </c>
    </row>
    <row r="12" spans="1:10" ht="55" customHeight="1">
      <c r="A12" s="2" t="s">
        <v>47</v>
      </c>
      <c r="B12" s="7">
        <f>SUM(C8!Z45:Z80)</f>
        <v>1.3435643598459006</v>
      </c>
      <c r="C12" s="7">
        <f>Parameters!$K$19</f>
        <v>4</v>
      </c>
      <c r="D12" s="7">
        <f>SUMPRODUCT(POWER((1/(1+Parameters!$K$32)),C8!$A$45:$A$80-1),C8!E45:E80)</f>
        <v>0.15661178203548612</v>
      </c>
      <c r="E12" s="7">
        <f>SUMPRODUCT(POWER((1/(1+Parameters!$K$32)),C8!$A$45:$A$80-1),C8!N45:N80)</f>
        <v>3.878613028714407</v>
      </c>
      <c r="F12" s="7">
        <f>SUMPRODUCT(POWER((1/(1+Parameters!$K$32)),C8!$A$45:$A$80-1),C8!K45:K80)+SUMPRODUCT(POWER((1/(1+Parameters!$K$32)),C8!$A$45:$A$80-1),C8!L45:L80)</f>
        <v>2.246553529886071</v>
      </c>
      <c r="G12" s="7">
        <f>IF((1-Parameters!$K$15)*D12=0,"NO PAYABLE REVENUE",IF((C12+E12-F12)/((1-Parameters!$K$15)*D12)&lt;0,0,(C12+E12-F12)/((1-Parameters!$K$15)*D12)))</f>
        <v>37.854646731711966</v>
      </c>
      <c r="H12" s="7">
        <f>(Parameters!$K$24-Parameters!$K$25)*IF((1/(1+Parameters!$K$32))*Parameters!$K$23=1,36,(1-POWER((1/(1+Parameters!$K$32))*Parameters!$K$23,36))/(1-(1/(1+Parameters!$K$32))*Parameters!$K$23))</f>
        <v>37.44255883143452</v>
      </c>
      <c r="I12" s="7">
        <f>IF(H12&lt;=0,"NO POSITIVE SOFTWARE MARGIN",IF((C12-B12+Parameters!$K$22*H12)/H12&lt;0,0,(C12-B12+Parameters!$K$22*H12)/H12))</f>
        <v>0.12094695776838617</v>
      </c>
      <c r="J12" s="2" t="s">
        <v>464</v>
      </c>
    </row>
    <row r="13" spans="1:10" ht="55" customHeight="1">
      <c r="A13" s="2" t="s">
        <v>48</v>
      </c>
      <c r="B13" s="7">
        <f>SUM(C9!Z45:Z80)</f>
        <v>5.087820242989352</v>
      </c>
      <c r="C13" s="7">
        <f>Parameters!$L$19</f>
        <v>4</v>
      </c>
      <c r="D13" s="7">
        <f>SUMPRODUCT(POWER((1/(1+Parameters!$L$32)),C9!$A$45:$A$80-1),C9!E45:E80)</f>
        <v>0.15661178203548612</v>
      </c>
      <c r="E13" s="7">
        <f>SUMPRODUCT(POWER((1/(1+Parameters!$L$32)),C9!$A$45:$A$80-1),C9!N45:N80)</f>
        <v>4.627464205343097</v>
      </c>
      <c r="F13" s="7">
        <f>SUMPRODUCT(POWER((1/(1+Parameters!$L$32)),C9!$A$45:$A$80-1),C9!K45:K80)+SUMPRODUCT(POWER((1/(1+Parameters!$L$32)),C9!$A$45:$A$80-1),C9!L45:L80)</f>
        <v>6.739660589658214</v>
      </c>
      <c r="G13" s="7">
        <f>IF((1-Parameters!$L$15)*D13=0,"NO PAYABLE REVENUE",IF((C13+E13-F13)/((1-Parameters!$L$15)*D13)&lt;0,0,(C13+E13-F13)/((1-Parameters!$L$15)*D13)))</f>
        <v>12.688455969875047</v>
      </c>
      <c r="H13" s="7">
        <f>(Parameters!$L$24-Parameters!$L$25)*IF((1/(1+Parameters!$L$32))*Parameters!$L$23=1,36,(1-POWER((1/(1+Parameters!$L$32))*Parameters!$L$23,36))/(1-(1/(1+Parameters!$L$32))*Parameters!$L$23))</f>
        <v>37.44255883143452</v>
      </c>
      <c r="I13" s="7">
        <f>IF(H13&lt;=0,"NO POSITIVE SOFTWARE MARGIN",IF((C13-B13+Parameters!$L$22*H13)/H13&lt;0,0,(C13-B13+Parameters!$L$22*H13)/H13))</f>
        <v>0.12094695776838617</v>
      </c>
      <c r="J13" s="2" t="s">
        <v>464</v>
      </c>
    </row>
    <row r="14" spans="1:10" ht="55" customHeight="1">
      <c r="A14" s="2" t="s">
        <v>49</v>
      </c>
      <c r="B14" s="7">
        <f>SUM(C10!Z45:Z80)</f>
        <v>4.249081644716554</v>
      </c>
      <c r="C14" s="7">
        <f>Parameters!$M$19</f>
        <v>4</v>
      </c>
      <c r="D14" s="7">
        <f>SUMPRODUCT(POWER((1/(1+Parameters!$M$32)),C10!$A$45:$A$80-1),C10!E45:E80)</f>
        <v>0.1</v>
      </c>
      <c r="E14" s="7">
        <f>SUMPRODUCT(POWER((1/(1+Parameters!$M$32)),C10!$A$45:$A$80-1),C10!N45:N80)</f>
        <v>0.5229643305322283</v>
      </c>
      <c r="F14" s="7">
        <f>SUMPRODUCT(POWER((1/(1+Parameters!$M$32)),C10!$A$45:$A$80-1),C10!K45:K80)+SUMPRODUCT(POWER((1/(1+Parameters!$M$32)),C10!$A$45:$A$80-1),C10!L45:L80)</f>
        <v>1.7720459752487827</v>
      </c>
      <c r="G14" s="7">
        <f>IF((1-Parameters!$M$15)*D14=0,"NO PAYABLE REVENUE",IF((C14+E14-F14)/((1-Parameters!$M$15)*D14)&lt;0,0,(C14+E14-F14)/((1-Parameters!$M$15)*D14)))</f>
        <v>27.50918355283447</v>
      </c>
      <c r="H14" s="7">
        <f>(Parameters!$M$24-Parameters!$M$25)*IF((1/(1+Parameters!$M$32))*Parameters!$M$23=1,36,(1-POWER((1/(1+Parameters!$M$32))*Parameters!$M$23,36))/(1-(1/(1+Parameters!$M$32))*Parameters!$M$23))</f>
        <v>37.44255883143452</v>
      </c>
      <c r="I14" s="7">
        <f>IF(H14&lt;=0,"NO POSITIVE SOFTWARE MARGIN",IF((C14-B14+Parameters!$M$22*H14)/H14&lt;0,0,(C14-B14+Parameters!$M$22*H14)/H14))</f>
        <v>0.0</v>
      </c>
      <c r="J14" s="2" t="s">
        <v>464</v>
      </c>
    </row>
  </sheetData>
  <mergeCells count="2">
    <mergeCell ref="A1:J1"/>
    <mergeCell ref="A2:J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H364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/>
  <cols>
    <col min="1" max="8" width="16.7109375" customWidth="1"/>
  </cols>
  <sheetData>
    <row r="1" spans="1:8">
      <c r="A1" s="1" t="s">
        <v>471</v>
      </c>
      <c r="B1" s="1"/>
      <c r="C1" s="1"/>
      <c r="D1" s="1"/>
      <c r="E1" s="1"/>
      <c r="F1" s="1"/>
      <c r="G1" s="1"/>
      <c r="H1" s="1"/>
    </row>
    <row r="2" spans="1:8">
      <c r="A2" s="3" t="s">
        <v>472</v>
      </c>
      <c r="B2" s="3"/>
      <c r="C2" s="3"/>
      <c r="D2" s="3"/>
      <c r="E2" s="3"/>
      <c r="F2" s="3"/>
      <c r="G2" s="3"/>
      <c r="H2" s="3"/>
    </row>
    <row r="4" spans="1:8" ht="45" customHeight="1">
      <c r="A4" s="4" t="s">
        <v>56</v>
      </c>
      <c r="B4" s="4" t="s">
        <v>465</v>
      </c>
      <c r="C4" s="4" t="s">
        <v>466</v>
      </c>
      <c r="D4" s="4" t="s">
        <v>467</v>
      </c>
      <c r="E4" s="4" t="s">
        <v>468</v>
      </c>
      <c r="F4" s="4" t="s">
        <v>153</v>
      </c>
      <c r="G4" s="4" t="s">
        <v>469</v>
      </c>
      <c r="H4" s="4" t="s">
        <v>470</v>
      </c>
    </row>
    <row r="5" spans="1:8">
      <c r="A5" s="7">
        <v>0.01</v>
      </c>
      <c r="B5" s="7">
        <v>10</v>
      </c>
      <c r="C5" s="7">
        <v>1</v>
      </c>
      <c r="D5" s="7">
        <v>0</v>
      </c>
      <c r="E5" s="7">
        <v>0</v>
      </c>
      <c r="F5" s="7">
        <v>-2.334743100437723</v>
      </c>
      <c r="G5" s="7">
        <v>-3.334743100437723</v>
      </c>
      <c r="H5" s="7" t="b">
        <v>0</v>
      </c>
    </row>
    <row r="6" spans="1:8">
      <c r="A6" s="7">
        <v>0.01</v>
      </c>
      <c r="B6" s="7">
        <v>10</v>
      </c>
      <c r="C6" s="7">
        <v>1</v>
      </c>
      <c r="D6" s="7">
        <v>0</v>
      </c>
      <c r="E6" s="7">
        <v>0.05</v>
      </c>
      <c r="F6" s="7">
        <v>-0.4626151588659967</v>
      </c>
      <c r="G6" s="7">
        <v>-1.462615158865997</v>
      </c>
      <c r="H6" s="7" t="b">
        <v>0</v>
      </c>
    </row>
    <row r="7" spans="1:8">
      <c r="A7" s="7">
        <v>0.01</v>
      </c>
      <c r="B7" s="7">
        <v>10</v>
      </c>
      <c r="C7" s="7">
        <v>1</v>
      </c>
      <c r="D7" s="7">
        <v>0</v>
      </c>
      <c r="E7" s="7">
        <v>0.15</v>
      </c>
      <c r="F7" s="7">
        <v>3.281640724277455</v>
      </c>
      <c r="G7" s="7">
        <v>2.281640724277455</v>
      </c>
      <c r="H7" s="7" t="b">
        <v>1</v>
      </c>
    </row>
    <row r="8" spans="1:8">
      <c r="A8" s="7">
        <v>0.01</v>
      </c>
      <c r="B8" s="7">
        <v>10</v>
      </c>
      <c r="C8" s="7">
        <v>1</v>
      </c>
      <c r="D8" s="7">
        <v>0.1</v>
      </c>
      <c r="E8" s="7">
        <v>0</v>
      </c>
      <c r="F8" s="7">
        <v>-2.124224398303893</v>
      </c>
      <c r="G8" s="7">
        <v>-3.124224398303893</v>
      </c>
      <c r="H8" s="7" t="b">
        <v>0</v>
      </c>
    </row>
    <row r="9" spans="1:8">
      <c r="A9" s="7">
        <v>0.01</v>
      </c>
      <c r="B9" s="7">
        <v>10</v>
      </c>
      <c r="C9" s="7">
        <v>1</v>
      </c>
      <c r="D9" s="7">
        <v>0.1</v>
      </c>
      <c r="E9" s="7">
        <v>0.05</v>
      </c>
      <c r="F9" s="7">
        <v>-0.2520964567321672</v>
      </c>
      <c r="G9" s="7">
        <v>-1.252096456732167</v>
      </c>
      <c r="H9" s="7" t="b">
        <v>0</v>
      </c>
    </row>
    <row r="10" spans="1:8">
      <c r="A10" s="7">
        <v>0.01</v>
      </c>
      <c r="B10" s="7">
        <v>10</v>
      </c>
      <c r="C10" s="7">
        <v>1</v>
      </c>
      <c r="D10" s="7">
        <v>0.1</v>
      </c>
      <c r="E10" s="7">
        <v>0.15</v>
      </c>
      <c r="F10" s="7">
        <v>3.492159426411285</v>
      </c>
      <c r="G10" s="7">
        <v>2.492159426411285</v>
      </c>
      <c r="H10" s="7" t="b">
        <v>1</v>
      </c>
    </row>
    <row r="11" spans="1:8">
      <c r="A11" s="7">
        <v>0.01</v>
      </c>
      <c r="B11" s="7">
        <v>10</v>
      </c>
      <c r="C11" s="7">
        <v>4</v>
      </c>
      <c r="D11" s="7">
        <v>0</v>
      </c>
      <c r="E11" s="7">
        <v>0</v>
      </c>
      <c r="F11" s="7">
        <v>-2.334743100437723</v>
      </c>
      <c r="G11" s="7">
        <v>-6.334743100437723</v>
      </c>
      <c r="H11" s="7" t="b">
        <v>0</v>
      </c>
    </row>
    <row r="12" spans="1:8">
      <c r="A12" s="7">
        <v>0.01</v>
      </c>
      <c r="B12" s="7">
        <v>10</v>
      </c>
      <c r="C12" s="7">
        <v>4</v>
      </c>
      <c r="D12" s="7">
        <v>0</v>
      </c>
      <c r="E12" s="7">
        <v>0.05</v>
      </c>
      <c r="F12" s="7">
        <v>-0.4626151588659967</v>
      </c>
      <c r="G12" s="7">
        <v>-4.462615158865996</v>
      </c>
      <c r="H12" s="7" t="b">
        <v>0</v>
      </c>
    </row>
    <row r="13" spans="1:8">
      <c r="A13" s="7">
        <v>0.01</v>
      </c>
      <c r="B13" s="7">
        <v>10</v>
      </c>
      <c r="C13" s="7">
        <v>4</v>
      </c>
      <c r="D13" s="7">
        <v>0</v>
      </c>
      <c r="E13" s="7">
        <v>0.15</v>
      </c>
      <c r="F13" s="7">
        <v>3.281640724277455</v>
      </c>
      <c r="G13" s="7">
        <v>-0.7183592757225448</v>
      </c>
      <c r="H13" s="7" t="b">
        <v>0</v>
      </c>
    </row>
    <row r="14" spans="1:8">
      <c r="A14" s="7">
        <v>0.01</v>
      </c>
      <c r="B14" s="7">
        <v>10</v>
      </c>
      <c r="C14" s="7">
        <v>4</v>
      </c>
      <c r="D14" s="7">
        <v>0.1</v>
      </c>
      <c r="E14" s="7">
        <v>0</v>
      </c>
      <c r="F14" s="7">
        <v>-2.124224398303893</v>
      </c>
      <c r="G14" s="7">
        <v>-6.124224398303893</v>
      </c>
      <c r="H14" s="7" t="b">
        <v>0</v>
      </c>
    </row>
    <row r="15" spans="1:8">
      <c r="A15" s="7">
        <v>0.01</v>
      </c>
      <c r="B15" s="7">
        <v>10</v>
      </c>
      <c r="C15" s="7">
        <v>4</v>
      </c>
      <c r="D15" s="7">
        <v>0.1</v>
      </c>
      <c r="E15" s="7">
        <v>0.05</v>
      </c>
      <c r="F15" s="7">
        <v>-0.2520964567321672</v>
      </c>
      <c r="G15" s="7">
        <v>-4.252096456732168</v>
      </c>
      <c r="H15" s="7" t="b">
        <v>0</v>
      </c>
    </row>
    <row r="16" spans="1:8">
      <c r="A16" s="7">
        <v>0.01</v>
      </c>
      <c r="B16" s="7">
        <v>10</v>
      </c>
      <c r="C16" s="7">
        <v>4</v>
      </c>
      <c r="D16" s="7">
        <v>0.1</v>
      </c>
      <c r="E16" s="7">
        <v>0.15</v>
      </c>
      <c r="F16" s="7">
        <v>3.492159426411285</v>
      </c>
      <c r="G16" s="7">
        <v>-0.5078405735887155</v>
      </c>
      <c r="H16" s="7" t="b">
        <v>0</v>
      </c>
    </row>
    <row r="17" spans="1:8">
      <c r="A17" s="7">
        <v>0.01</v>
      </c>
      <c r="B17" s="7">
        <v>10</v>
      </c>
      <c r="C17" s="7">
        <v>10</v>
      </c>
      <c r="D17" s="7">
        <v>0</v>
      </c>
      <c r="E17" s="7">
        <v>0</v>
      </c>
      <c r="F17" s="7">
        <v>-2.334743100437723</v>
      </c>
      <c r="G17" s="7">
        <v>-12.33474310043772</v>
      </c>
      <c r="H17" s="7" t="b">
        <v>0</v>
      </c>
    </row>
    <row r="18" spans="1:8">
      <c r="A18" s="7">
        <v>0.01</v>
      </c>
      <c r="B18" s="7">
        <v>10</v>
      </c>
      <c r="C18" s="7">
        <v>10</v>
      </c>
      <c r="D18" s="7">
        <v>0</v>
      </c>
      <c r="E18" s="7">
        <v>0.05</v>
      </c>
      <c r="F18" s="7">
        <v>-0.4626151588659967</v>
      </c>
      <c r="G18" s="7">
        <v>-10.462615158866</v>
      </c>
      <c r="H18" s="7" t="b">
        <v>0</v>
      </c>
    </row>
    <row r="19" spans="1:8">
      <c r="A19" s="7">
        <v>0.01</v>
      </c>
      <c r="B19" s="7">
        <v>10</v>
      </c>
      <c r="C19" s="7">
        <v>10</v>
      </c>
      <c r="D19" s="7">
        <v>0</v>
      </c>
      <c r="E19" s="7">
        <v>0.15</v>
      </c>
      <c r="F19" s="7">
        <v>3.281640724277455</v>
      </c>
      <c r="G19" s="7">
        <v>-6.718359275722545</v>
      </c>
      <c r="H19" s="7" t="b">
        <v>0</v>
      </c>
    </row>
    <row r="20" spans="1:8">
      <c r="A20" s="7">
        <v>0.01</v>
      </c>
      <c r="B20" s="7">
        <v>10</v>
      </c>
      <c r="C20" s="7">
        <v>10</v>
      </c>
      <c r="D20" s="7">
        <v>0.1</v>
      </c>
      <c r="E20" s="7">
        <v>0</v>
      </c>
      <c r="F20" s="7">
        <v>-2.124224398303893</v>
      </c>
      <c r="G20" s="7">
        <v>-12.12422439830389</v>
      </c>
      <c r="H20" s="7" t="b">
        <v>0</v>
      </c>
    </row>
    <row r="21" spans="1:8">
      <c r="A21" s="7">
        <v>0.01</v>
      </c>
      <c r="B21" s="7">
        <v>10</v>
      </c>
      <c r="C21" s="7">
        <v>10</v>
      </c>
      <c r="D21" s="7">
        <v>0.1</v>
      </c>
      <c r="E21" s="7">
        <v>0.05</v>
      </c>
      <c r="F21" s="7">
        <v>-0.2520964567321672</v>
      </c>
      <c r="G21" s="7">
        <v>-10.25209645673217</v>
      </c>
      <c r="H21" s="7" t="b">
        <v>0</v>
      </c>
    </row>
    <row r="22" spans="1:8">
      <c r="A22" s="7">
        <v>0.01</v>
      </c>
      <c r="B22" s="7">
        <v>10</v>
      </c>
      <c r="C22" s="7">
        <v>10</v>
      </c>
      <c r="D22" s="7">
        <v>0.1</v>
      </c>
      <c r="E22" s="7">
        <v>0.15</v>
      </c>
      <c r="F22" s="7">
        <v>3.492159426411285</v>
      </c>
      <c r="G22" s="7">
        <v>-6.507840573588716</v>
      </c>
      <c r="H22" s="7" t="b">
        <v>0</v>
      </c>
    </row>
    <row r="23" spans="1:8">
      <c r="A23" s="7">
        <v>0.01</v>
      </c>
      <c r="B23" s="7">
        <v>20</v>
      </c>
      <c r="C23" s="7">
        <v>1</v>
      </c>
      <c r="D23" s="7">
        <v>0</v>
      </c>
      <c r="E23" s="7">
        <v>0</v>
      </c>
      <c r="F23" s="7">
        <v>-1.537282078524742</v>
      </c>
      <c r="G23" s="7">
        <v>-2.537282078524742</v>
      </c>
      <c r="H23" s="7" t="b">
        <v>0</v>
      </c>
    </row>
    <row r="24" spans="1:8">
      <c r="A24" s="7">
        <v>0.01</v>
      </c>
      <c r="B24" s="7">
        <v>20</v>
      </c>
      <c r="C24" s="7">
        <v>1</v>
      </c>
      <c r="D24" s="7">
        <v>0</v>
      </c>
      <c r="E24" s="7">
        <v>0.05</v>
      </c>
      <c r="F24" s="7">
        <v>0.3348458630469842</v>
      </c>
      <c r="G24" s="7">
        <v>-0.6651541369530158</v>
      </c>
      <c r="H24" s="7" t="b">
        <v>0</v>
      </c>
    </row>
    <row r="25" spans="1:8">
      <c r="A25" s="7">
        <v>0.01</v>
      </c>
      <c r="B25" s="7">
        <v>20</v>
      </c>
      <c r="C25" s="7">
        <v>1</v>
      </c>
      <c r="D25" s="7">
        <v>0</v>
      </c>
      <c r="E25" s="7">
        <v>0.15</v>
      </c>
      <c r="F25" s="7">
        <v>4.079101746190436</v>
      </c>
      <c r="G25" s="7">
        <v>3.079101746190436</v>
      </c>
      <c r="H25" s="7" t="b">
        <v>1</v>
      </c>
    </row>
    <row r="26" spans="1:8">
      <c r="A26" s="7">
        <v>0.01</v>
      </c>
      <c r="B26" s="7">
        <v>20</v>
      </c>
      <c r="C26" s="7">
        <v>1</v>
      </c>
      <c r="D26" s="7">
        <v>0.1</v>
      </c>
      <c r="E26" s="7">
        <v>0</v>
      </c>
      <c r="F26" s="7">
        <v>-1.289136278796728</v>
      </c>
      <c r="G26" s="7">
        <v>-2.289136278796728</v>
      </c>
      <c r="H26" s="7" t="b">
        <v>0</v>
      </c>
    </row>
    <row r="27" spans="1:8">
      <c r="A27" s="7">
        <v>0.01</v>
      </c>
      <c r="B27" s="7">
        <v>20</v>
      </c>
      <c r="C27" s="7">
        <v>1</v>
      </c>
      <c r="D27" s="7">
        <v>0.1</v>
      </c>
      <c r="E27" s="7">
        <v>0.05</v>
      </c>
      <c r="F27" s="7">
        <v>0.5829916627749983</v>
      </c>
      <c r="G27" s="7">
        <v>-0.4170083372250017</v>
      </c>
      <c r="H27" s="7" t="b">
        <v>0</v>
      </c>
    </row>
    <row r="28" spans="1:8">
      <c r="A28" s="7">
        <v>0.01</v>
      </c>
      <c r="B28" s="7">
        <v>20</v>
      </c>
      <c r="C28" s="7">
        <v>1</v>
      </c>
      <c r="D28" s="7">
        <v>0.1</v>
      </c>
      <c r="E28" s="7">
        <v>0.15</v>
      </c>
      <c r="F28" s="7">
        <v>4.32724754591845</v>
      </c>
      <c r="G28" s="7">
        <v>3.32724754591845</v>
      </c>
      <c r="H28" s="7" t="b">
        <v>1</v>
      </c>
    </row>
    <row r="29" spans="1:8">
      <c r="A29" s="7">
        <v>0.01</v>
      </c>
      <c r="B29" s="7">
        <v>20</v>
      </c>
      <c r="C29" s="7">
        <v>4</v>
      </c>
      <c r="D29" s="7">
        <v>0</v>
      </c>
      <c r="E29" s="7">
        <v>0</v>
      </c>
      <c r="F29" s="7">
        <v>-1.537282078524742</v>
      </c>
      <c r="G29" s="7">
        <v>-5.537282078524742</v>
      </c>
      <c r="H29" s="7" t="b">
        <v>0</v>
      </c>
    </row>
    <row r="30" spans="1:8">
      <c r="A30" s="7">
        <v>0.01</v>
      </c>
      <c r="B30" s="7">
        <v>20</v>
      </c>
      <c r="C30" s="7">
        <v>4</v>
      </c>
      <c r="D30" s="7">
        <v>0</v>
      </c>
      <c r="E30" s="7">
        <v>0.05</v>
      </c>
      <c r="F30" s="7">
        <v>0.3348458630469842</v>
      </c>
      <c r="G30" s="7">
        <v>-3.665154136953016</v>
      </c>
      <c r="H30" s="7" t="b">
        <v>0</v>
      </c>
    </row>
    <row r="31" spans="1:8">
      <c r="A31" s="7">
        <v>0.01</v>
      </c>
      <c r="B31" s="7">
        <v>20</v>
      </c>
      <c r="C31" s="7">
        <v>4</v>
      </c>
      <c r="D31" s="7">
        <v>0</v>
      </c>
      <c r="E31" s="7">
        <v>0.15</v>
      </c>
      <c r="F31" s="7">
        <v>4.079101746190436</v>
      </c>
      <c r="G31" s="7">
        <v>0.0791017461904362</v>
      </c>
      <c r="H31" s="7" t="b">
        <v>1</v>
      </c>
    </row>
    <row r="32" spans="1:8">
      <c r="A32" s="7">
        <v>0.01</v>
      </c>
      <c r="B32" s="7">
        <v>20</v>
      </c>
      <c r="C32" s="7">
        <v>4</v>
      </c>
      <c r="D32" s="7">
        <v>0.1</v>
      </c>
      <c r="E32" s="7">
        <v>0</v>
      </c>
      <c r="F32" s="7">
        <v>-1.289136278796728</v>
      </c>
      <c r="G32" s="7">
        <v>-5.289136278796728</v>
      </c>
      <c r="H32" s="7" t="b">
        <v>0</v>
      </c>
    </row>
    <row r="33" spans="1:8">
      <c r="A33" s="7">
        <v>0.01</v>
      </c>
      <c r="B33" s="7">
        <v>20</v>
      </c>
      <c r="C33" s="7">
        <v>4</v>
      </c>
      <c r="D33" s="7">
        <v>0.1</v>
      </c>
      <c r="E33" s="7">
        <v>0.05</v>
      </c>
      <c r="F33" s="7">
        <v>0.5829916627749983</v>
      </c>
      <c r="G33" s="7">
        <v>-3.417008337225002</v>
      </c>
      <c r="H33" s="7" t="b">
        <v>0</v>
      </c>
    </row>
    <row r="34" spans="1:8">
      <c r="A34" s="7">
        <v>0.01</v>
      </c>
      <c r="B34" s="7">
        <v>20</v>
      </c>
      <c r="C34" s="7">
        <v>4</v>
      </c>
      <c r="D34" s="7">
        <v>0.1</v>
      </c>
      <c r="E34" s="7">
        <v>0.15</v>
      </c>
      <c r="F34" s="7">
        <v>4.32724754591845</v>
      </c>
      <c r="G34" s="7">
        <v>0.3272475459184498</v>
      </c>
      <c r="H34" s="7" t="b">
        <v>1</v>
      </c>
    </row>
    <row r="35" spans="1:8">
      <c r="A35" s="7">
        <v>0.01</v>
      </c>
      <c r="B35" s="7">
        <v>20</v>
      </c>
      <c r="C35" s="7">
        <v>10</v>
      </c>
      <c r="D35" s="7">
        <v>0</v>
      </c>
      <c r="E35" s="7">
        <v>0</v>
      </c>
      <c r="F35" s="7">
        <v>-1.537282078524742</v>
      </c>
      <c r="G35" s="7">
        <v>-11.53728207852474</v>
      </c>
      <c r="H35" s="7" t="b">
        <v>0</v>
      </c>
    </row>
    <row r="36" spans="1:8">
      <c r="A36" s="7">
        <v>0.01</v>
      </c>
      <c r="B36" s="7">
        <v>20</v>
      </c>
      <c r="C36" s="7">
        <v>10</v>
      </c>
      <c r="D36" s="7">
        <v>0</v>
      </c>
      <c r="E36" s="7">
        <v>0.05</v>
      </c>
      <c r="F36" s="7">
        <v>0.3348458630469842</v>
      </c>
      <c r="G36" s="7">
        <v>-9.665154136953015</v>
      </c>
      <c r="H36" s="7" t="b">
        <v>0</v>
      </c>
    </row>
    <row r="37" spans="1:8">
      <c r="A37" s="7">
        <v>0.01</v>
      </c>
      <c r="B37" s="7">
        <v>20</v>
      </c>
      <c r="C37" s="7">
        <v>10</v>
      </c>
      <c r="D37" s="7">
        <v>0</v>
      </c>
      <c r="E37" s="7">
        <v>0.15</v>
      </c>
      <c r="F37" s="7">
        <v>4.079101746190436</v>
      </c>
      <c r="G37" s="7">
        <v>-5.920898253809564</v>
      </c>
      <c r="H37" s="7" t="b">
        <v>0</v>
      </c>
    </row>
    <row r="38" spans="1:8">
      <c r="A38" s="7">
        <v>0.01</v>
      </c>
      <c r="B38" s="7">
        <v>20</v>
      </c>
      <c r="C38" s="7">
        <v>10</v>
      </c>
      <c r="D38" s="7">
        <v>0.1</v>
      </c>
      <c r="E38" s="7">
        <v>0</v>
      </c>
      <c r="F38" s="7">
        <v>-1.289136278796728</v>
      </c>
      <c r="G38" s="7">
        <v>-11.28913627879673</v>
      </c>
      <c r="H38" s="7" t="b">
        <v>0</v>
      </c>
    </row>
    <row r="39" spans="1:8">
      <c r="A39" s="7">
        <v>0.01</v>
      </c>
      <c r="B39" s="7">
        <v>20</v>
      </c>
      <c r="C39" s="7">
        <v>10</v>
      </c>
      <c r="D39" s="7">
        <v>0.1</v>
      </c>
      <c r="E39" s="7">
        <v>0.05</v>
      </c>
      <c r="F39" s="7">
        <v>0.5829916627749983</v>
      </c>
      <c r="G39" s="7">
        <v>-9.417008337225003</v>
      </c>
      <c r="H39" s="7" t="b">
        <v>0</v>
      </c>
    </row>
    <row r="40" spans="1:8">
      <c r="A40" s="7">
        <v>0.01</v>
      </c>
      <c r="B40" s="7">
        <v>20</v>
      </c>
      <c r="C40" s="7">
        <v>10</v>
      </c>
      <c r="D40" s="7">
        <v>0.1</v>
      </c>
      <c r="E40" s="7">
        <v>0.15</v>
      </c>
      <c r="F40" s="7">
        <v>4.32724754591845</v>
      </c>
      <c r="G40" s="7">
        <v>-5.67275245408155</v>
      </c>
      <c r="H40" s="7" t="b">
        <v>0</v>
      </c>
    </row>
    <row r="41" spans="1:8">
      <c r="A41" s="7">
        <v>0.01</v>
      </c>
      <c r="B41" s="7">
        <v>40</v>
      </c>
      <c r="C41" s="7">
        <v>1</v>
      </c>
      <c r="D41" s="7">
        <v>0</v>
      </c>
      <c r="E41" s="7">
        <v>0</v>
      </c>
      <c r="F41" s="7">
        <v>0.05763996530122013</v>
      </c>
      <c r="G41" s="7">
        <v>-0.9423600346987798</v>
      </c>
      <c r="H41" s="7" t="b">
        <v>0</v>
      </c>
    </row>
    <row r="42" spans="1:8">
      <c r="A42" s="7">
        <v>0.01</v>
      </c>
      <c r="B42" s="7">
        <v>40</v>
      </c>
      <c r="C42" s="7">
        <v>1</v>
      </c>
      <c r="D42" s="7">
        <v>0</v>
      </c>
      <c r="E42" s="7">
        <v>0.05</v>
      </c>
      <c r="F42" s="7">
        <v>1.929767906872946</v>
      </c>
      <c r="G42" s="7">
        <v>0.9297679068729461</v>
      </c>
      <c r="H42" s="7" t="b">
        <v>1</v>
      </c>
    </row>
    <row r="43" spans="1:8">
      <c r="A43" s="7">
        <v>0.01</v>
      </c>
      <c r="B43" s="7">
        <v>40</v>
      </c>
      <c r="C43" s="7">
        <v>1</v>
      </c>
      <c r="D43" s="7">
        <v>0</v>
      </c>
      <c r="E43" s="7">
        <v>0.15</v>
      </c>
      <c r="F43" s="7">
        <v>5.674023790016398</v>
      </c>
      <c r="G43" s="7">
        <v>4.674023790016398</v>
      </c>
      <c r="H43" s="7" t="b">
        <v>1</v>
      </c>
    </row>
    <row r="44" spans="1:8">
      <c r="A44" s="7">
        <v>0.01</v>
      </c>
      <c r="B44" s="7">
        <v>40</v>
      </c>
      <c r="C44" s="7">
        <v>1</v>
      </c>
      <c r="D44" s="7">
        <v>0.1</v>
      </c>
      <c r="E44" s="7">
        <v>0</v>
      </c>
      <c r="F44" s="7">
        <v>0.3810399602176028</v>
      </c>
      <c r="G44" s="7">
        <v>-0.6189600397823971</v>
      </c>
      <c r="H44" s="7" t="b">
        <v>0</v>
      </c>
    </row>
    <row r="45" spans="1:8">
      <c r="A45" s="7">
        <v>0.01</v>
      </c>
      <c r="B45" s="7">
        <v>40</v>
      </c>
      <c r="C45" s="7">
        <v>1</v>
      </c>
      <c r="D45" s="7">
        <v>0.1</v>
      </c>
      <c r="E45" s="7">
        <v>0.05</v>
      </c>
      <c r="F45" s="7">
        <v>2.253167901789329</v>
      </c>
      <c r="G45" s="7">
        <v>1.253167901789329</v>
      </c>
      <c r="H45" s="7" t="b">
        <v>1</v>
      </c>
    </row>
    <row r="46" spans="1:8">
      <c r="A46" s="7">
        <v>0.01</v>
      </c>
      <c r="B46" s="7">
        <v>40</v>
      </c>
      <c r="C46" s="7">
        <v>1</v>
      </c>
      <c r="D46" s="7">
        <v>0.1</v>
      </c>
      <c r="E46" s="7">
        <v>0.15</v>
      </c>
      <c r="F46" s="7">
        <v>5.99742378493278</v>
      </c>
      <c r="G46" s="7">
        <v>4.99742378493278</v>
      </c>
      <c r="H46" s="7" t="b">
        <v>1</v>
      </c>
    </row>
    <row r="47" spans="1:8">
      <c r="A47" s="7">
        <v>0.01</v>
      </c>
      <c r="B47" s="7">
        <v>40</v>
      </c>
      <c r="C47" s="7">
        <v>4</v>
      </c>
      <c r="D47" s="7">
        <v>0</v>
      </c>
      <c r="E47" s="7">
        <v>0</v>
      </c>
      <c r="F47" s="7">
        <v>0.05763996530122013</v>
      </c>
      <c r="G47" s="7">
        <v>-3.94236003469878</v>
      </c>
      <c r="H47" s="7" t="b">
        <v>0</v>
      </c>
    </row>
    <row r="48" spans="1:8">
      <c r="A48" s="7">
        <v>0.01</v>
      </c>
      <c r="B48" s="7">
        <v>40</v>
      </c>
      <c r="C48" s="7">
        <v>4</v>
      </c>
      <c r="D48" s="7">
        <v>0</v>
      </c>
      <c r="E48" s="7">
        <v>0.05</v>
      </c>
      <c r="F48" s="7">
        <v>1.929767906872946</v>
      </c>
      <c r="G48" s="7">
        <v>-2.070232093127054</v>
      </c>
      <c r="H48" s="7" t="b">
        <v>0</v>
      </c>
    </row>
    <row r="49" spans="1:8">
      <c r="A49" s="7">
        <v>0.01</v>
      </c>
      <c r="B49" s="7">
        <v>40</v>
      </c>
      <c r="C49" s="7">
        <v>4</v>
      </c>
      <c r="D49" s="7">
        <v>0</v>
      </c>
      <c r="E49" s="7">
        <v>0.15</v>
      </c>
      <c r="F49" s="7">
        <v>5.674023790016398</v>
      </c>
      <c r="G49" s="7">
        <v>1.674023790016398</v>
      </c>
      <c r="H49" s="7" t="b">
        <v>1</v>
      </c>
    </row>
    <row r="50" spans="1:8">
      <c r="A50" s="7">
        <v>0.01</v>
      </c>
      <c r="B50" s="7">
        <v>40</v>
      </c>
      <c r="C50" s="7">
        <v>4</v>
      </c>
      <c r="D50" s="7">
        <v>0.1</v>
      </c>
      <c r="E50" s="7">
        <v>0</v>
      </c>
      <c r="F50" s="7">
        <v>0.3810399602176028</v>
      </c>
      <c r="G50" s="7">
        <v>-3.618960039782397</v>
      </c>
      <c r="H50" s="7" t="b">
        <v>0</v>
      </c>
    </row>
    <row r="51" spans="1:8">
      <c r="A51" s="7">
        <v>0.01</v>
      </c>
      <c r="B51" s="7">
        <v>40</v>
      </c>
      <c r="C51" s="7">
        <v>4</v>
      </c>
      <c r="D51" s="7">
        <v>0.1</v>
      </c>
      <c r="E51" s="7">
        <v>0.05</v>
      </c>
      <c r="F51" s="7">
        <v>2.253167901789329</v>
      </c>
      <c r="G51" s="7">
        <v>-1.746832098210671</v>
      </c>
      <c r="H51" s="7" t="b">
        <v>0</v>
      </c>
    </row>
    <row r="52" spans="1:8">
      <c r="A52" s="7">
        <v>0.01</v>
      </c>
      <c r="B52" s="7">
        <v>40</v>
      </c>
      <c r="C52" s="7">
        <v>4</v>
      </c>
      <c r="D52" s="7">
        <v>0.1</v>
      </c>
      <c r="E52" s="7">
        <v>0.15</v>
      </c>
      <c r="F52" s="7">
        <v>5.99742378493278</v>
      </c>
      <c r="G52" s="7">
        <v>1.99742378493278</v>
      </c>
      <c r="H52" s="7" t="b">
        <v>1</v>
      </c>
    </row>
    <row r="53" spans="1:8">
      <c r="A53" s="7">
        <v>0.01</v>
      </c>
      <c r="B53" s="7">
        <v>40</v>
      </c>
      <c r="C53" s="7">
        <v>10</v>
      </c>
      <c r="D53" s="7">
        <v>0</v>
      </c>
      <c r="E53" s="7">
        <v>0</v>
      </c>
      <c r="F53" s="7">
        <v>0.05763996530122013</v>
      </c>
      <c r="G53" s="7">
        <v>-9.94236003469878</v>
      </c>
      <c r="H53" s="7" t="b">
        <v>0</v>
      </c>
    </row>
    <row r="54" spans="1:8">
      <c r="A54" s="7">
        <v>0.01</v>
      </c>
      <c r="B54" s="7">
        <v>40</v>
      </c>
      <c r="C54" s="7">
        <v>10</v>
      </c>
      <c r="D54" s="7">
        <v>0</v>
      </c>
      <c r="E54" s="7">
        <v>0.05</v>
      </c>
      <c r="F54" s="7">
        <v>1.929767906872946</v>
      </c>
      <c r="G54" s="7">
        <v>-8.070232093127053</v>
      </c>
      <c r="H54" s="7" t="b">
        <v>0</v>
      </c>
    </row>
    <row r="55" spans="1:8">
      <c r="A55" s="7">
        <v>0.01</v>
      </c>
      <c r="B55" s="7">
        <v>40</v>
      </c>
      <c r="C55" s="7">
        <v>10</v>
      </c>
      <c r="D55" s="7">
        <v>0</v>
      </c>
      <c r="E55" s="7">
        <v>0.15</v>
      </c>
      <c r="F55" s="7">
        <v>5.674023790016398</v>
      </c>
      <c r="G55" s="7">
        <v>-4.325976209983602</v>
      </c>
      <c r="H55" s="7" t="b">
        <v>0</v>
      </c>
    </row>
    <row r="56" spans="1:8">
      <c r="A56" s="7">
        <v>0.01</v>
      </c>
      <c r="B56" s="7">
        <v>40</v>
      </c>
      <c r="C56" s="7">
        <v>10</v>
      </c>
      <c r="D56" s="7">
        <v>0.1</v>
      </c>
      <c r="E56" s="7">
        <v>0</v>
      </c>
      <c r="F56" s="7">
        <v>0.3810399602176028</v>
      </c>
      <c r="G56" s="7">
        <v>-9.618960039782397</v>
      </c>
      <c r="H56" s="7" t="b">
        <v>0</v>
      </c>
    </row>
    <row r="57" spans="1:8">
      <c r="A57" s="7">
        <v>0.01</v>
      </c>
      <c r="B57" s="7">
        <v>40</v>
      </c>
      <c r="C57" s="7">
        <v>10</v>
      </c>
      <c r="D57" s="7">
        <v>0.1</v>
      </c>
      <c r="E57" s="7">
        <v>0.05</v>
      </c>
      <c r="F57" s="7">
        <v>2.253167901789329</v>
      </c>
      <c r="G57" s="7">
        <v>-7.746832098210671</v>
      </c>
      <c r="H57" s="7" t="b">
        <v>0</v>
      </c>
    </row>
    <row r="58" spans="1:8">
      <c r="A58" s="7">
        <v>0.01</v>
      </c>
      <c r="B58" s="7">
        <v>40</v>
      </c>
      <c r="C58" s="7">
        <v>10</v>
      </c>
      <c r="D58" s="7">
        <v>0.1</v>
      </c>
      <c r="E58" s="7">
        <v>0.15</v>
      </c>
      <c r="F58" s="7">
        <v>5.99742378493278</v>
      </c>
      <c r="G58" s="7">
        <v>-4.00257621506722</v>
      </c>
      <c r="H58" s="7" t="b">
        <v>0</v>
      </c>
    </row>
    <row r="59" spans="1:8">
      <c r="A59" s="7">
        <v>0.01</v>
      </c>
      <c r="B59" s="7">
        <v>80</v>
      </c>
      <c r="C59" s="7">
        <v>1</v>
      </c>
      <c r="D59" s="7">
        <v>0</v>
      </c>
      <c r="E59" s="7">
        <v>0</v>
      </c>
      <c r="F59" s="7">
        <v>3.247484052953144</v>
      </c>
      <c r="G59" s="7">
        <v>2.247484052953144</v>
      </c>
      <c r="H59" s="7" t="b">
        <v>1</v>
      </c>
    </row>
    <row r="60" spans="1:8">
      <c r="A60" s="7">
        <v>0.01</v>
      </c>
      <c r="B60" s="7">
        <v>80</v>
      </c>
      <c r="C60" s="7">
        <v>1</v>
      </c>
      <c r="D60" s="7">
        <v>0</v>
      </c>
      <c r="E60" s="7">
        <v>0.05</v>
      </c>
      <c r="F60" s="7">
        <v>5.119611994524869</v>
      </c>
      <c r="G60" s="7">
        <v>4.119611994524869</v>
      </c>
      <c r="H60" s="7" t="b">
        <v>1</v>
      </c>
    </row>
    <row r="61" spans="1:8">
      <c r="A61" s="7">
        <v>0.01</v>
      </c>
      <c r="B61" s="7">
        <v>80</v>
      </c>
      <c r="C61" s="7">
        <v>1</v>
      </c>
      <c r="D61" s="7">
        <v>0</v>
      </c>
      <c r="E61" s="7">
        <v>0.15</v>
      </c>
      <c r="F61" s="7">
        <v>8.863867877668321</v>
      </c>
      <c r="G61" s="7">
        <v>7.863867877668321</v>
      </c>
      <c r="H61" s="7" t="b">
        <v>1</v>
      </c>
    </row>
    <row r="62" spans="1:8">
      <c r="A62" s="7">
        <v>0.01</v>
      </c>
      <c r="B62" s="7">
        <v>80</v>
      </c>
      <c r="C62" s="7">
        <v>1</v>
      </c>
      <c r="D62" s="7">
        <v>0.1</v>
      </c>
      <c r="E62" s="7">
        <v>0</v>
      </c>
      <c r="F62" s="7">
        <v>3.721392438246264</v>
      </c>
      <c r="G62" s="7">
        <v>2.721392438246264</v>
      </c>
      <c r="H62" s="7" t="b">
        <v>1</v>
      </c>
    </row>
    <row r="63" spans="1:8">
      <c r="A63" s="7">
        <v>0.01</v>
      </c>
      <c r="B63" s="7">
        <v>80</v>
      </c>
      <c r="C63" s="7">
        <v>1</v>
      </c>
      <c r="D63" s="7">
        <v>0.1</v>
      </c>
      <c r="E63" s="7">
        <v>0.05</v>
      </c>
      <c r="F63" s="7">
        <v>5.59352037981799</v>
      </c>
      <c r="G63" s="7">
        <v>4.59352037981799</v>
      </c>
      <c r="H63" s="7" t="b">
        <v>1</v>
      </c>
    </row>
    <row r="64" spans="1:8">
      <c r="A64" s="7">
        <v>0.01</v>
      </c>
      <c r="B64" s="7">
        <v>80</v>
      </c>
      <c r="C64" s="7">
        <v>1</v>
      </c>
      <c r="D64" s="7">
        <v>0.1</v>
      </c>
      <c r="E64" s="7">
        <v>0.15</v>
      </c>
      <c r="F64" s="7">
        <v>9.337776262961441</v>
      </c>
      <c r="G64" s="7">
        <v>8.337776262961441</v>
      </c>
      <c r="H64" s="7" t="b">
        <v>1</v>
      </c>
    </row>
    <row r="65" spans="1:8">
      <c r="A65" s="7">
        <v>0.01</v>
      </c>
      <c r="B65" s="7">
        <v>80</v>
      </c>
      <c r="C65" s="7">
        <v>4</v>
      </c>
      <c r="D65" s="7">
        <v>0</v>
      </c>
      <c r="E65" s="7">
        <v>0</v>
      </c>
      <c r="F65" s="7">
        <v>3.247484052953144</v>
      </c>
      <c r="G65" s="7">
        <v>-0.7525159470468563</v>
      </c>
      <c r="H65" s="7" t="b">
        <v>0</v>
      </c>
    </row>
    <row r="66" spans="1:8">
      <c r="A66" s="7">
        <v>0.01</v>
      </c>
      <c r="B66" s="7">
        <v>80</v>
      </c>
      <c r="C66" s="7">
        <v>4</v>
      </c>
      <c r="D66" s="7">
        <v>0</v>
      </c>
      <c r="E66" s="7">
        <v>0.05</v>
      </c>
      <c r="F66" s="7">
        <v>5.119611994524869</v>
      </c>
      <c r="G66" s="7">
        <v>1.119611994524869</v>
      </c>
      <c r="H66" s="7" t="b">
        <v>1</v>
      </c>
    </row>
    <row r="67" spans="1:8">
      <c r="A67" s="7">
        <v>0.01</v>
      </c>
      <c r="B67" s="7">
        <v>80</v>
      </c>
      <c r="C67" s="7">
        <v>4</v>
      </c>
      <c r="D67" s="7">
        <v>0</v>
      </c>
      <c r="E67" s="7">
        <v>0.15</v>
      </c>
      <c r="F67" s="7">
        <v>8.863867877668321</v>
      </c>
      <c r="G67" s="7">
        <v>4.863867877668321</v>
      </c>
      <c r="H67" s="7" t="b">
        <v>1</v>
      </c>
    </row>
    <row r="68" spans="1:8">
      <c r="A68" s="7">
        <v>0.01</v>
      </c>
      <c r="B68" s="7">
        <v>80</v>
      </c>
      <c r="C68" s="7">
        <v>4</v>
      </c>
      <c r="D68" s="7">
        <v>0.1</v>
      </c>
      <c r="E68" s="7">
        <v>0</v>
      </c>
      <c r="F68" s="7">
        <v>3.721392438246264</v>
      </c>
      <c r="G68" s="7">
        <v>-0.2786075617537356</v>
      </c>
      <c r="H68" s="7" t="b">
        <v>0</v>
      </c>
    </row>
    <row r="69" spans="1:8">
      <c r="A69" s="7">
        <v>0.01</v>
      </c>
      <c r="B69" s="7">
        <v>80</v>
      </c>
      <c r="C69" s="7">
        <v>4</v>
      </c>
      <c r="D69" s="7">
        <v>0.1</v>
      </c>
      <c r="E69" s="7">
        <v>0.05</v>
      </c>
      <c r="F69" s="7">
        <v>5.59352037981799</v>
      </c>
      <c r="G69" s="7">
        <v>1.59352037981799</v>
      </c>
      <c r="H69" s="7" t="b">
        <v>1</v>
      </c>
    </row>
    <row r="70" spans="1:8">
      <c r="A70" s="7">
        <v>0.01</v>
      </c>
      <c r="B70" s="7">
        <v>80</v>
      </c>
      <c r="C70" s="7">
        <v>4</v>
      </c>
      <c r="D70" s="7">
        <v>0.1</v>
      </c>
      <c r="E70" s="7">
        <v>0.15</v>
      </c>
      <c r="F70" s="7">
        <v>9.337776262961441</v>
      </c>
      <c r="G70" s="7">
        <v>5.337776262961441</v>
      </c>
      <c r="H70" s="7" t="b">
        <v>1</v>
      </c>
    </row>
    <row r="71" spans="1:8">
      <c r="A71" s="7">
        <v>0.01</v>
      </c>
      <c r="B71" s="7">
        <v>80</v>
      </c>
      <c r="C71" s="7">
        <v>10</v>
      </c>
      <c r="D71" s="7">
        <v>0</v>
      </c>
      <c r="E71" s="7">
        <v>0</v>
      </c>
      <c r="F71" s="7">
        <v>3.247484052953144</v>
      </c>
      <c r="G71" s="7">
        <v>-6.752515947046856</v>
      </c>
      <c r="H71" s="7" t="b">
        <v>0</v>
      </c>
    </row>
    <row r="72" spans="1:8">
      <c r="A72" s="7">
        <v>0.01</v>
      </c>
      <c r="B72" s="7">
        <v>80</v>
      </c>
      <c r="C72" s="7">
        <v>10</v>
      </c>
      <c r="D72" s="7">
        <v>0</v>
      </c>
      <c r="E72" s="7">
        <v>0.05</v>
      </c>
      <c r="F72" s="7">
        <v>5.119611994524869</v>
      </c>
      <c r="G72" s="7">
        <v>-4.880388005475131</v>
      </c>
      <c r="H72" s="7" t="b">
        <v>0</v>
      </c>
    </row>
    <row r="73" spans="1:8">
      <c r="A73" s="7">
        <v>0.01</v>
      </c>
      <c r="B73" s="7">
        <v>80</v>
      </c>
      <c r="C73" s="7">
        <v>10</v>
      </c>
      <c r="D73" s="7">
        <v>0</v>
      </c>
      <c r="E73" s="7">
        <v>0.15</v>
      </c>
      <c r="F73" s="7">
        <v>8.863867877668321</v>
      </c>
      <c r="G73" s="7">
        <v>-1.136132122331679</v>
      </c>
      <c r="H73" s="7" t="b">
        <v>0</v>
      </c>
    </row>
    <row r="74" spans="1:8">
      <c r="A74" s="7">
        <v>0.01</v>
      </c>
      <c r="B74" s="7">
        <v>80</v>
      </c>
      <c r="C74" s="7">
        <v>10</v>
      </c>
      <c r="D74" s="7">
        <v>0.1</v>
      </c>
      <c r="E74" s="7">
        <v>0</v>
      </c>
      <c r="F74" s="7">
        <v>3.721392438246264</v>
      </c>
      <c r="G74" s="7">
        <v>-6.278607561753736</v>
      </c>
      <c r="H74" s="7" t="b">
        <v>0</v>
      </c>
    </row>
    <row r="75" spans="1:8">
      <c r="A75" s="7">
        <v>0.01</v>
      </c>
      <c r="B75" s="7">
        <v>80</v>
      </c>
      <c r="C75" s="7">
        <v>10</v>
      </c>
      <c r="D75" s="7">
        <v>0.1</v>
      </c>
      <c r="E75" s="7">
        <v>0.05</v>
      </c>
      <c r="F75" s="7">
        <v>5.59352037981799</v>
      </c>
      <c r="G75" s="7">
        <v>-4.40647962018201</v>
      </c>
      <c r="H75" s="7" t="b">
        <v>0</v>
      </c>
    </row>
    <row r="76" spans="1:8">
      <c r="A76" s="7">
        <v>0.01</v>
      </c>
      <c r="B76" s="7">
        <v>80</v>
      </c>
      <c r="C76" s="7">
        <v>10</v>
      </c>
      <c r="D76" s="7">
        <v>0.1</v>
      </c>
      <c r="E76" s="7">
        <v>0.15</v>
      </c>
      <c r="F76" s="7">
        <v>9.337776262961441</v>
      </c>
      <c r="G76" s="7">
        <v>-0.6622237370385591</v>
      </c>
      <c r="H76" s="7" t="b">
        <v>0</v>
      </c>
    </row>
    <row r="77" spans="1:8">
      <c r="A77" s="7">
        <v>0.02</v>
      </c>
      <c r="B77" s="7">
        <v>10</v>
      </c>
      <c r="C77" s="7">
        <v>1</v>
      </c>
      <c r="D77" s="7">
        <v>0</v>
      </c>
      <c r="E77" s="7">
        <v>0</v>
      </c>
      <c r="F77" s="7">
        <v>-2.016375511062944</v>
      </c>
      <c r="G77" s="7">
        <v>-3.016375511062944</v>
      </c>
      <c r="H77" s="7" t="b">
        <v>0</v>
      </c>
    </row>
    <row r="78" spans="1:8">
      <c r="A78" s="7">
        <v>0.02</v>
      </c>
      <c r="B78" s="7">
        <v>10</v>
      </c>
      <c r="C78" s="7">
        <v>1</v>
      </c>
      <c r="D78" s="7">
        <v>0</v>
      </c>
      <c r="E78" s="7">
        <v>0.05</v>
      </c>
      <c r="F78" s="7">
        <v>-0.1442475694912175</v>
      </c>
      <c r="G78" s="7">
        <v>-1.144247569491218</v>
      </c>
      <c r="H78" s="7" t="b">
        <v>0</v>
      </c>
    </row>
    <row r="79" spans="1:8">
      <c r="A79" s="7">
        <v>0.02</v>
      </c>
      <c r="B79" s="7">
        <v>10</v>
      </c>
      <c r="C79" s="7">
        <v>1</v>
      </c>
      <c r="D79" s="7">
        <v>0</v>
      </c>
      <c r="E79" s="7">
        <v>0.15</v>
      </c>
      <c r="F79" s="7">
        <v>3.600008313652234</v>
      </c>
      <c r="G79" s="7">
        <v>2.600008313652234</v>
      </c>
      <c r="H79" s="7" t="b">
        <v>1</v>
      </c>
    </row>
    <row r="80" spans="1:8">
      <c r="A80" s="7">
        <v>0.02</v>
      </c>
      <c r="B80" s="7">
        <v>10</v>
      </c>
      <c r="C80" s="7">
        <v>1</v>
      </c>
      <c r="D80" s="7">
        <v>0.1</v>
      </c>
      <c r="E80" s="7">
        <v>0</v>
      </c>
      <c r="F80" s="7">
        <v>-1.568238120628246</v>
      </c>
      <c r="G80" s="7">
        <v>-2.568238120628246</v>
      </c>
      <c r="H80" s="7" t="b">
        <v>0</v>
      </c>
    </row>
    <row r="81" spans="1:8">
      <c r="A81" s="7">
        <v>0.02</v>
      </c>
      <c r="B81" s="7">
        <v>10</v>
      </c>
      <c r="C81" s="7">
        <v>1</v>
      </c>
      <c r="D81" s="7">
        <v>0.1</v>
      </c>
      <c r="E81" s="7">
        <v>0.05</v>
      </c>
      <c r="F81" s="7">
        <v>0.3038898209434801</v>
      </c>
      <c r="G81" s="7">
        <v>-0.6961101790565198</v>
      </c>
      <c r="H81" s="7" t="b">
        <v>0</v>
      </c>
    </row>
    <row r="82" spans="1:8">
      <c r="A82" s="7">
        <v>0.02</v>
      </c>
      <c r="B82" s="7">
        <v>10</v>
      </c>
      <c r="C82" s="7">
        <v>1</v>
      </c>
      <c r="D82" s="7">
        <v>0.1</v>
      </c>
      <c r="E82" s="7">
        <v>0.15</v>
      </c>
      <c r="F82" s="7">
        <v>4.048145704086932</v>
      </c>
      <c r="G82" s="7">
        <v>3.048145704086932</v>
      </c>
      <c r="H82" s="7" t="b">
        <v>1</v>
      </c>
    </row>
    <row r="83" spans="1:8">
      <c r="A83" s="7">
        <v>0.02</v>
      </c>
      <c r="B83" s="7">
        <v>10</v>
      </c>
      <c r="C83" s="7">
        <v>4</v>
      </c>
      <c r="D83" s="7">
        <v>0</v>
      </c>
      <c r="E83" s="7">
        <v>0</v>
      </c>
      <c r="F83" s="7">
        <v>-2.016375511062944</v>
      </c>
      <c r="G83" s="7">
        <v>-6.016375511062943</v>
      </c>
      <c r="H83" s="7" t="b">
        <v>0</v>
      </c>
    </row>
    <row r="84" spans="1:8">
      <c r="A84" s="7">
        <v>0.02</v>
      </c>
      <c r="B84" s="7">
        <v>10</v>
      </c>
      <c r="C84" s="7">
        <v>4</v>
      </c>
      <c r="D84" s="7">
        <v>0</v>
      </c>
      <c r="E84" s="7">
        <v>0.05</v>
      </c>
      <c r="F84" s="7">
        <v>-0.1442475694912175</v>
      </c>
      <c r="G84" s="7">
        <v>-4.144247569491218</v>
      </c>
      <c r="H84" s="7" t="b">
        <v>0</v>
      </c>
    </row>
    <row r="85" spans="1:8">
      <c r="A85" s="7">
        <v>0.02</v>
      </c>
      <c r="B85" s="7">
        <v>10</v>
      </c>
      <c r="C85" s="7">
        <v>4</v>
      </c>
      <c r="D85" s="7">
        <v>0</v>
      </c>
      <c r="E85" s="7">
        <v>0.15</v>
      </c>
      <c r="F85" s="7">
        <v>3.600008313652234</v>
      </c>
      <c r="G85" s="7">
        <v>-0.3999916863477657</v>
      </c>
      <c r="H85" s="7" t="b">
        <v>0</v>
      </c>
    </row>
    <row r="86" spans="1:8">
      <c r="A86" s="7">
        <v>0.02</v>
      </c>
      <c r="B86" s="7">
        <v>10</v>
      </c>
      <c r="C86" s="7">
        <v>4</v>
      </c>
      <c r="D86" s="7">
        <v>0.1</v>
      </c>
      <c r="E86" s="7">
        <v>0</v>
      </c>
      <c r="F86" s="7">
        <v>-1.568238120628246</v>
      </c>
      <c r="G86" s="7">
        <v>-5.568238120628246</v>
      </c>
      <c r="H86" s="7" t="b">
        <v>0</v>
      </c>
    </row>
    <row r="87" spans="1:8">
      <c r="A87" s="7">
        <v>0.02</v>
      </c>
      <c r="B87" s="7">
        <v>10</v>
      </c>
      <c r="C87" s="7">
        <v>4</v>
      </c>
      <c r="D87" s="7">
        <v>0.1</v>
      </c>
      <c r="E87" s="7">
        <v>0.05</v>
      </c>
      <c r="F87" s="7">
        <v>0.3038898209434801</v>
      </c>
      <c r="G87" s="7">
        <v>-3.69611017905652</v>
      </c>
      <c r="H87" s="7" t="b">
        <v>0</v>
      </c>
    </row>
    <row r="88" spans="1:8">
      <c r="A88" s="7">
        <v>0.02</v>
      </c>
      <c r="B88" s="7">
        <v>10</v>
      </c>
      <c r="C88" s="7">
        <v>4</v>
      </c>
      <c r="D88" s="7">
        <v>0.1</v>
      </c>
      <c r="E88" s="7">
        <v>0.15</v>
      </c>
      <c r="F88" s="7">
        <v>4.048145704086932</v>
      </c>
      <c r="G88" s="7">
        <v>0.04814570408693175</v>
      </c>
      <c r="H88" s="7" t="b">
        <v>1</v>
      </c>
    </row>
    <row r="89" spans="1:8">
      <c r="A89" s="7">
        <v>0.02</v>
      </c>
      <c r="B89" s="7">
        <v>10</v>
      </c>
      <c r="C89" s="7">
        <v>10</v>
      </c>
      <c r="D89" s="7">
        <v>0</v>
      </c>
      <c r="E89" s="7">
        <v>0</v>
      </c>
      <c r="F89" s="7">
        <v>-2.016375511062944</v>
      </c>
      <c r="G89" s="7">
        <v>-12.01637551106294</v>
      </c>
      <c r="H89" s="7" t="b">
        <v>0</v>
      </c>
    </row>
    <row r="90" spans="1:8">
      <c r="A90" s="7">
        <v>0.02</v>
      </c>
      <c r="B90" s="7">
        <v>10</v>
      </c>
      <c r="C90" s="7">
        <v>10</v>
      </c>
      <c r="D90" s="7">
        <v>0</v>
      </c>
      <c r="E90" s="7">
        <v>0.05</v>
      </c>
      <c r="F90" s="7">
        <v>-0.1442475694912175</v>
      </c>
      <c r="G90" s="7">
        <v>-10.14424756949122</v>
      </c>
      <c r="H90" s="7" t="b">
        <v>0</v>
      </c>
    </row>
    <row r="91" spans="1:8">
      <c r="A91" s="7">
        <v>0.02</v>
      </c>
      <c r="B91" s="7">
        <v>10</v>
      </c>
      <c r="C91" s="7">
        <v>10</v>
      </c>
      <c r="D91" s="7">
        <v>0</v>
      </c>
      <c r="E91" s="7">
        <v>0.15</v>
      </c>
      <c r="F91" s="7">
        <v>3.600008313652234</v>
      </c>
      <c r="G91" s="7">
        <v>-6.399991686347766</v>
      </c>
      <c r="H91" s="7" t="b">
        <v>0</v>
      </c>
    </row>
    <row r="92" spans="1:8">
      <c r="A92" s="7">
        <v>0.02</v>
      </c>
      <c r="B92" s="7">
        <v>10</v>
      </c>
      <c r="C92" s="7">
        <v>10</v>
      </c>
      <c r="D92" s="7">
        <v>0.1</v>
      </c>
      <c r="E92" s="7">
        <v>0</v>
      </c>
      <c r="F92" s="7">
        <v>-1.568238120628246</v>
      </c>
      <c r="G92" s="7">
        <v>-11.56823812062825</v>
      </c>
      <c r="H92" s="7" t="b">
        <v>0</v>
      </c>
    </row>
    <row r="93" spans="1:8">
      <c r="A93" s="7">
        <v>0.02</v>
      </c>
      <c r="B93" s="7">
        <v>10</v>
      </c>
      <c r="C93" s="7">
        <v>10</v>
      </c>
      <c r="D93" s="7">
        <v>0.1</v>
      </c>
      <c r="E93" s="7">
        <v>0.05</v>
      </c>
      <c r="F93" s="7">
        <v>0.3038898209434801</v>
      </c>
      <c r="G93" s="7">
        <v>-9.69611017905652</v>
      </c>
      <c r="H93" s="7" t="b">
        <v>0</v>
      </c>
    </row>
    <row r="94" spans="1:8">
      <c r="A94" s="7">
        <v>0.02</v>
      </c>
      <c r="B94" s="7">
        <v>10</v>
      </c>
      <c r="C94" s="7">
        <v>10</v>
      </c>
      <c r="D94" s="7">
        <v>0.1</v>
      </c>
      <c r="E94" s="7">
        <v>0.15</v>
      </c>
      <c r="F94" s="7">
        <v>4.048145704086932</v>
      </c>
      <c r="G94" s="7">
        <v>-5.951854295913068</v>
      </c>
      <c r="H94" s="7" t="b">
        <v>0</v>
      </c>
    </row>
    <row r="95" spans="1:8">
      <c r="A95" s="7">
        <v>0.02</v>
      </c>
      <c r="B95" s="7">
        <v>20</v>
      </c>
      <c r="C95" s="7">
        <v>1</v>
      </c>
      <c r="D95" s="7">
        <v>0</v>
      </c>
      <c r="E95" s="7">
        <v>0</v>
      </c>
      <c r="F95" s="7">
        <v>-0.5285635817258253</v>
      </c>
      <c r="G95" s="7">
        <v>-1.528563581725825</v>
      </c>
      <c r="H95" s="7" t="b">
        <v>0</v>
      </c>
    </row>
    <row r="96" spans="1:8">
      <c r="A96" s="7">
        <v>0.02</v>
      </c>
      <c r="B96" s="7">
        <v>20</v>
      </c>
      <c r="C96" s="7">
        <v>1</v>
      </c>
      <c r="D96" s="7">
        <v>0</v>
      </c>
      <c r="E96" s="7">
        <v>0.05</v>
      </c>
      <c r="F96" s="7">
        <v>1.343564359845901</v>
      </c>
      <c r="G96" s="7">
        <v>0.3435643598459006</v>
      </c>
      <c r="H96" s="7" t="b">
        <v>1</v>
      </c>
    </row>
    <row r="97" spans="1:8">
      <c r="A97" s="7">
        <v>0.02</v>
      </c>
      <c r="B97" s="7">
        <v>20</v>
      </c>
      <c r="C97" s="7">
        <v>1</v>
      </c>
      <c r="D97" s="7">
        <v>0</v>
      </c>
      <c r="E97" s="7">
        <v>0.15</v>
      </c>
      <c r="F97" s="7">
        <v>5.087820242989352</v>
      </c>
      <c r="G97" s="7">
        <v>4.087820242989352</v>
      </c>
      <c r="H97" s="7" t="b">
        <v>1</v>
      </c>
    </row>
    <row r="98" spans="1:8">
      <c r="A98" s="7">
        <v>0.02</v>
      </c>
      <c r="B98" s="7">
        <v>20</v>
      </c>
      <c r="C98" s="7">
        <v>1</v>
      </c>
      <c r="D98" s="7">
        <v>0.1</v>
      </c>
      <c r="E98" s="7">
        <v>0</v>
      </c>
      <c r="F98" s="7">
        <v>0.05760290833146533</v>
      </c>
      <c r="G98" s="7">
        <v>-0.9423970916685347</v>
      </c>
      <c r="H98" s="7" t="b">
        <v>0</v>
      </c>
    </row>
    <row r="99" spans="1:8">
      <c r="A99" s="7">
        <v>0.02</v>
      </c>
      <c r="B99" s="7">
        <v>20</v>
      </c>
      <c r="C99" s="7">
        <v>1</v>
      </c>
      <c r="D99" s="7">
        <v>0.1</v>
      </c>
      <c r="E99" s="7">
        <v>0.05</v>
      </c>
      <c r="F99" s="7">
        <v>1.929730849903191</v>
      </c>
      <c r="G99" s="7">
        <v>0.9297308499031913</v>
      </c>
      <c r="H99" s="7" t="b">
        <v>1</v>
      </c>
    </row>
    <row r="100" spans="1:8">
      <c r="A100" s="7">
        <v>0.02</v>
      </c>
      <c r="B100" s="7">
        <v>20</v>
      </c>
      <c r="C100" s="7">
        <v>1</v>
      </c>
      <c r="D100" s="7">
        <v>0.1</v>
      </c>
      <c r="E100" s="7">
        <v>0.15</v>
      </c>
      <c r="F100" s="7">
        <v>5.673986733046643</v>
      </c>
      <c r="G100" s="7">
        <v>4.673986733046643</v>
      </c>
      <c r="H100" s="7" t="b">
        <v>1</v>
      </c>
    </row>
    <row r="101" spans="1:8">
      <c r="A101" s="7">
        <v>0.02</v>
      </c>
      <c r="B101" s="7">
        <v>20</v>
      </c>
      <c r="C101" s="7">
        <v>4</v>
      </c>
      <c r="D101" s="7">
        <v>0</v>
      </c>
      <c r="E101" s="7">
        <v>0</v>
      </c>
      <c r="F101" s="7">
        <v>-0.5285635817258253</v>
      </c>
      <c r="G101" s="7">
        <v>-4.528563581725825</v>
      </c>
      <c r="H101" s="7" t="b">
        <v>0</v>
      </c>
    </row>
    <row r="102" spans="1:8">
      <c r="A102" s="7">
        <v>0.02</v>
      </c>
      <c r="B102" s="7">
        <v>20</v>
      </c>
      <c r="C102" s="7">
        <v>4</v>
      </c>
      <c r="D102" s="7">
        <v>0</v>
      </c>
      <c r="E102" s="7">
        <v>0.05</v>
      </c>
      <c r="F102" s="7">
        <v>1.343564359845901</v>
      </c>
      <c r="G102" s="7">
        <v>-2.6564356401541</v>
      </c>
      <c r="H102" s="7" t="b">
        <v>0</v>
      </c>
    </row>
    <row r="103" spans="1:8">
      <c r="A103" s="7">
        <v>0.02</v>
      </c>
      <c r="B103" s="7">
        <v>20</v>
      </c>
      <c r="C103" s="7">
        <v>4</v>
      </c>
      <c r="D103" s="7">
        <v>0</v>
      </c>
      <c r="E103" s="7">
        <v>0.15</v>
      </c>
      <c r="F103" s="7">
        <v>5.087820242989352</v>
      </c>
      <c r="G103" s="7">
        <v>1.087820242989352</v>
      </c>
      <c r="H103" s="7" t="b">
        <v>1</v>
      </c>
    </row>
    <row r="104" spans="1:8">
      <c r="A104" s="7">
        <v>0.02</v>
      </c>
      <c r="B104" s="7">
        <v>20</v>
      </c>
      <c r="C104" s="7">
        <v>4</v>
      </c>
      <c r="D104" s="7">
        <v>0.1</v>
      </c>
      <c r="E104" s="7">
        <v>0</v>
      </c>
      <c r="F104" s="7">
        <v>0.05760290833146533</v>
      </c>
      <c r="G104" s="7">
        <v>-3.942397091668535</v>
      </c>
      <c r="H104" s="7" t="b">
        <v>0</v>
      </c>
    </row>
    <row r="105" spans="1:8">
      <c r="A105" s="7">
        <v>0.02</v>
      </c>
      <c r="B105" s="7">
        <v>20</v>
      </c>
      <c r="C105" s="7">
        <v>4</v>
      </c>
      <c r="D105" s="7">
        <v>0.1</v>
      </c>
      <c r="E105" s="7">
        <v>0.05</v>
      </c>
      <c r="F105" s="7">
        <v>1.929730849903191</v>
      </c>
      <c r="G105" s="7">
        <v>-2.070269150096808</v>
      </c>
      <c r="H105" s="7" t="b">
        <v>0</v>
      </c>
    </row>
    <row r="106" spans="1:8">
      <c r="A106" s="7">
        <v>0.02</v>
      </c>
      <c r="B106" s="7">
        <v>20</v>
      </c>
      <c r="C106" s="7">
        <v>4</v>
      </c>
      <c r="D106" s="7">
        <v>0.1</v>
      </c>
      <c r="E106" s="7">
        <v>0.15</v>
      </c>
      <c r="F106" s="7">
        <v>5.673986733046643</v>
      </c>
      <c r="G106" s="7">
        <v>1.673986733046643</v>
      </c>
      <c r="H106" s="7" t="b">
        <v>1</v>
      </c>
    </row>
    <row r="107" spans="1:8">
      <c r="A107" s="7">
        <v>0.02</v>
      </c>
      <c r="B107" s="7">
        <v>20</v>
      </c>
      <c r="C107" s="7">
        <v>10</v>
      </c>
      <c r="D107" s="7">
        <v>0</v>
      </c>
      <c r="E107" s="7">
        <v>0</v>
      </c>
      <c r="F107" s="7">
        <v>-0.5285635817258253</v>
      </c>
      <c r="G107" s="7">
        <v>-10.52856358172582</v>
      </c>
      <c r="H107" s="7" t="b">
        <v>0</v>
      </c>
    </row>
    <row r="108" spans="1:8">
      <c r="A108" s="7">
        <v>0.02</v>
      </c>
      <c r="B108" s="7">
        <v>20</v>
      </c>
      <c r="C108" s="7">
        <v>10</v>
      </c>
      <c r="D108" s="7">
        <v>0</v>
      </c>
      <c r="E108" s="7">
        <v>0.05</v>
      </c>
      <c r="F108" s="7">
        <v>1.343564359845901</v>
      </c>
      <c r="G108" s="7">
        <v>-8.656435640154099</v>
      </c>
      <c r="H108" s="7" t="b">
        <v>0</v>
      </c>
    </row>
    <row r="109" spans="1:8">
      <c r="A109" s="7">
        <v>0.02</v>
      </c>
      <c r="B109" s="7">
        <v>20</v>
      </c>
      <c r="C109" s="7">
        <v>10</v>
      </c>
      <c r="D109" s="7">
        <v>0</v>
      </c>
      <c r="E109" s="7">
        <v>0.15</v>
      </c>
      <c r="F109" s="7">
        <v>5.087820242989352</v>
      </c>
      <c r="G109" s="7">
        <v>-4.912179757010648</v>
      </c>
      <c r="H109" s="7" t="b">
        <v>0</v>
      </c>
    </row>
    <row r="110" spans="1:8">
      <c r="A110" s="7">
        <v>0.02</v>
      </c>
      <c r="B110" s="7">
        <v>20</v>
      </c>
      <c r="C110" s="7">
        <v>10</v>
      </c>
      <c r="D110" s="7">
        <v>0.1</v>
      </c>
      <c r="E110" s="7">
        <v>0</v>
      </c>
      <c r="F110" s="7">
        <v>0.05760290833146533</v>
      </c>
      <c r="G110" s="7">
        <v>-9.942397091668534</v>
      </c>
      <c r="H110" s="7" t="b">
        <v>0</v>
      </c>
    </row>
    <row r="111" spans="1:8">
      <c r="A111" s="7">
        <v>0.02</v>
      </c>
      <c r="B111" s="7">
        <v>20</v>
      </c>
      <c r="C111" s="7">
        <v>10</v>
      </c>
      <c r="D111" s="7">
        <v>0.1</v>
      </c>
      <c r="E111" s="7">
        <v>0.05</v>
      </c>
      <c r="F111" s="7">
        <v>1.929730849903191</v>
      </c>
      <c r="G111" s="7">
        <v>-8.070269150096809</v>
      </c>
      <c r="H111" s="7" t="b">
        <v>0</v>
      </c>
    </row>
    <row r="112" spans="1:8">
      <c r="A112" s="7">
        <v>0.02</v>
      </c>
      <c r="B112" s="7">
        <v>20</v>
      </c>
      <c r="C112" s="7">
        <v>10</v>
      </c>
      <c r="D112" s="7">
        <v>0.1</v>
      </c>
      <c r="E112" s="7">
        <v>0.15</v>
      </c>
      <c r="F112" s="7">
        <v>5.673986733046643</v>
      </c>
      <c r="G112" s="7">
        <v>-4.326013266953357</v>
      </c>
      <c r="H112" s="7" t="b">
        <v>0</v>
      </c>
    </row>
    <row r="113" spans="1:8">
      <c r="A113" s="7">
        <v>0.02</v>
      </c>
      <c r="B113" s="7">
        <v>40</v>
      </c>
      <c r="C113" s="7">
        <v>1</v>
      </c>
      <c r="D113" s="7">
        <v>0</v>
      </c>
      <c r="E113" s="7">
        <v>0</v>
      </c>
      <c r="F113" s="7">
        <v>2.447060276948411</v>
      </c>
      <c r="G113" s="7">
        <v>1.447060276948411</v>
      </c>
      <c r="H113" s="7" t="b">
        <v>1</v>
      </c>
    </row>
    <row r="114" spans="1:8">
      <c r="A114" s="7">
        <v>0.02</v>
      </c>
      <c r="B114" s="7">
        <v>40</v>
      </c>
      <c r="C114" s="7">
        <v>1</v>
      </c>
      <c r="D114" s="7">
        <v>0</v>
      </c>
      <c r="E114" s="7">
        <v>0.05</v>
      </c>
      <c r="F114" s="7">
        <v>4.319188218520137</v>
      </c>
      <c r="G114" s="7">
        <v>3.319188218520137</v>
      </c>
      <c r="H114" s="7" t="b">
        <v>1</v>
      </c>
    </row>
    <row r="115" spans="1:8">
      <c r="A115" s="7">
        <v>0.02</v>
      </c>
      <c r="B115" s="7">
        <v>40</v>
      </c>
      <c r="C115" s="7">
        <v>1</v>
      </c>
      <c r="D115" s="7">
        <v>0</v>
      </c>
      <c r="E115" s="7">
        <v>0.15</v>
      </c>
      <c r="F115" s="7">
        <v>8.063444101663588</v>
      </c>
      <c r="G115" s="7">
        <v>7.063444101663588</v>
      </c>
      <c r="H115" s="7" t="b">
        <v>1</v>
      </c>
    </row>
    <row r="116" spans="1:8">
      <c r="A116" s="7">
        <v>0.02</v>
      </c>
      <c r="B116" s="7">
        <v>40</v>
      </c>
      <c r="C116" s="7">
        <v>1</v>
      </c>
      <c r="D116" s="7">
        <v>0.1</v>
      </c>
      <c r="E116" s="7">
        <v>0</v>
      </c>
      <c r="F116" s="7">
        <v>3.309284966250888</v>
      </c>
      <c r="G116" s="7">
        <v>2.309284966250888</v>
      </c>
      <c r="H116" s="7" t="b">
        <v>1</v>
      </c>
    </row>
    <row r="117" spans="1:8">
      <c r="A117" s="7">
        <v>0.02</v>
      </c>
      <c r="B117" s="7">
        <v>40</v>
      </c>
      <c r="C117" s="7">
        <v>1</v>
      </c>
      <c r="D117" s="7">
        <v>0.1</v>
      </c>
      <c r="E117" s="7">
        <v>0.05</v>
      </c>
      <c r="F117" s="7">
        <v>5.181412907822613</v>
      </c>
      <c r="G117" s="7">
        <v>4.181412907822613</v>
      </c>
      <c r="H117" s="7" t="b">
        <v>1</v>
      </c>
    </row>
    <row r="118" spans="1:8">
      <c r="A118" s="7">
        <v>0.02</v>
      </c>
      <c r="B118" s="7">
        <v>40</v>
      </c>
      <c r="C118" s="7">
        <v>1</v>
      </c>
      <c r="D118" s="7">
        <v>0.1</v>
      </c>
      <c r="E118" s="7">
        <v>0.15</v>
      </c>
      <c r="F118" s="7">
        <v>8.925668790966066</v>
      </c>
      <c r="G118" s="7">
        <v>7.925668790966066</v>
      </c>
      <c r="H118" s="7" t="b">
        <v>1</v>
      </c>
    </row>
    <row r="119" spans="1:8">
      <c r="A119" s="7">
        <v>0.02</v>
      </c>
      <c r="B119" s="7">
        <v>40</v>
      </c>
      <c r="C119" s="7">
        <v>4</v>
      </c>
      <c r="D119" s="7">
        <v>0</v>
      </c>
      <c r="E119" s="7">
        <v>0</v>
      </c>
      <c r="F119" s="7">
        <v>2.447060276948411</v>
      </c>
      <c r="G119" s="7">
        <v>-1.552939723051589</v>
      </c>
      <c r="H119" s="7" t="b">
        <v>0</v>
      </c>
    </row>
    <row r="120" spans="1:8">
      <c r="A120" s="7">
        <v>0.02</v>
      </c>
      <c r="B120" s="7">
        <v>40</v>
      </c>
      <c r="C120" s="7">
        <v>4</v>
      </c>
      <c r="D120" s="7">
        <v>0</v>
      </c>
      <c r="E120" s="7">
        <v>0.05</v>
      </c>
      <c r="F120" s="7">
        <v>4.319188218520137</v>
      </c>
      <c r="G120" s="7">
        <v>0.3191882185201367</v>
      </c>
      <c r="H120" s="7" t="b">
        <v>1</v>
      </c>
    </row>
    <row r="121" spans="1:8">
      <c r="A121" s="7">
        <v>0.02</v>
      </c>
      <c r="B121" s="7">
        <v>40</v>
      </c>
      <c r="C121" s="7">
        <v>4</v>
      </c>
      <c r="D121" s="7">
        <v>0</v>
      </c>
      <c r="E121" s="7">
        <v>0.15</v>
      </c>
      <c r="F121" s="7">
        <v>8.063444101663588</v>
      </c>
      <c r="G121" s="7">
        <v>4.063444101663588</v>
      </c>
      <c r="H121" s="7" t="b">
        <v>1</v>
      </c>
    </row>
    <row r="122" spans="1:8">
      <c r="A122" s="7">
        <v>0.02</v>
      </c>
      <c r="B122" s="7">
        <v>40</v>
      </c>
      <c r="C122" s="7">
        <v>4</v>
      </c>
      <c r="D122" s="7">
        <v>0.1</v>
      </c>
      <c r="E122" s="7">
        <v>0</v>
      </c>
      <c r="F122" s="7">
        <v>3.309284966250888</v>
      </c>
      <c r="G122" s="7">
        <v>-0.6907150337491124</v>
      </c>
      <c r="H122" s="7" t="b">
        <v>0</v>
      </c>
    </row>
    <row r="123" spans="1:8">
      <c r="A123" s="7">
        <v>0.02</v>
      </c>
      <c r="B123" s="7">
        <v>40</v>
      </c>
      <c r="C123" s="7">
        <v>4</v>
      </c>
      <c r="D123" s="7">
        <v>0.1</v>
      </c>
      <c r="E123" s="7">
        <v>0.05</v>
      </c>
      <c r="F123" s="7">
        <v>5.181412907822613</v>
      </c>
      <c r="G123" s="7">
        <v>1.181412907822613</v>
      </c>
      <c r="H123" s="7" t="b">
        <v>1</v>
      </c>
    </row>
    <row r="124" spans="1:8">
      <c r="A124" s="7">
        <v>0.02</v>
      </c>
      <c r="B124" s="7">
        <v>40</v>
      </c>
      <c r="C124" s="7">
        <v>4</v>
      </c>
      <c r="D124" s="7">
        <v>0.1</v>
      </c>
      <c r="E124" s="7">
        <v>0.15</v>
      </c>
      <c r="F124" s="7">
        <v>8.925668790966066</v>
      </c>
      <c r="G124" s="7">
        <v>4.925668790966066</v>
      </c>
      <c r="H124" s="7" t="b">
        <v>1</v>
      </c>
    </row>
    <row r="125" spans="1:8">
      <c r="A125" s="7">
        <v>0.02</v>
      </c>
      <c r="B125" s="7">
        <v>40</v>
      </c>
      <c r="C125" s="7">
        <v>10</v>
      </c>
      <c r="D125" s="7">
        <v>0</v>
      </c>
      <c r="E125" s="7">
        <v>0</v>
      </c>
      <c r="F125" s="7">
        <v>2.447060276948411</v>
      </c>
      <c r="G125" s="7">
        <v>-7.552939723051589</v>
      </c>
      <c r="H125" s="7" t="b">
        <v>0</v>
      </c>
    </row>
    <row r="126" spans="1:8">
      <c r="A126" s="7">
        <v>0.02</v>
      </c>
      <c r="B126" s="7">
        <v>40</v>
      </c>
      <c r="C126" s="7">
        <v>10</v>
      </c>
      <c r="D126" s="7">
        <v>0</v>
      </c>
      <c r="E126" s="7">
        <v>0.05</v>
      </c>
      <c r="F126" s="7">
        <v>4.319188218520137</v>
      </c>
      <c r="G126" s="7">
        <v>-5.680811781479863</v>
      </c>
      <c r="H126" s="7" t="b">
        <v>0</v>
      </c>
    </row>
    <row r="127" spans="1:8">
      <c r="A127" s="7">
        <v>0.02</v>
      </c>
      <c r="B127" s="7">
        <v>40</v>
      </c>
      <c r="C127" s="7">
        <v>10</v>
      </c>
      <c r="D127" s="7">
        <v>0</v>
      </c>
      <c r="E127" s="7">
        <v>0.15</v>
      </c>
      <c r="F127" s="7">
        <v>8.063444101663588</v>
      </c>
      <c r="G127" s="7">
        <v>-1.936555898336412</v>
      </c>
      <c r="H127" s="7" t="b">
        <v>0</v>
      </c>
    </row>
    <row r="128" spans="1:8">
      <c r="A128" s="7">
        <v>0.02</v>
      </c>
      <c r="B128" s="7">
        <v>40</v>
      </c>
      <c r="C128" s="7">
        <v>10</v>
      </c>
      <c r="D128" s="7">
        <v>0.1</v>
      </c>
      <c r="E128" s="7">
        <v>0</v>
      </c>
      <c r="F128" s="7">
        <v>3.309284966250888</v>
      </c>
      <c r="G128" s="7">
        <v>-6.690715033749113</v>
      </c>
      <c r="H128" s="7" t="b">
        <v>0</v>
      </c>
    </row>
    <row r="129" spans="1:8">
      <c r="A129" s="7">
        <v>0.02</v>
      </c>
      <c r="B129" s="7">
        <v>40</v>
      </c>
      <c r="C129" s="7">
        <v>10</v>
      </c>
      <c r="D129" s="7">
        <v>0.1</v>
      </c>
      <c r="E129" s="7">
        <v>0.05</v>
      </c>
      <c r="F129" s="7">
        <v>5.181412907822613</v>
      </c>
      <c r="G129" s="7">
        <v>-4.818587092177387</v>
      </c>
      <c r="H129" s="7" t="b">
        <v>0</v>
      </c>
    </row>
    <row r="130" spans="1:8">
      <c r="A130" s="7">
        <v>0.02</v>
      </c>
      <c r="B130" s="7">
        <v>40</v>
      </c>
      <c r="C130" s="7">
        <v>10</v>
      </c>
      <c r="D130" s="7">
        <v>0.1</v>
      </c>
      <c r="E130" s="7">
        <v>0.15</v>
      </c>
      <c r="F130" s="7">
        <v>8.925668790966066</v>
      </c>
      <c r="G130" s="7">
        <v>-1.074331209033934</v>
      </c>
      <c r="H130" s="7" t="b">
        <v>0</v>
      </c>
    </row>
    <row r="131" spans="1:8">
      <c r="A131" s="7">
        <v>0.02</v>
      </c>
      <c r="B131" s="7">
        <v>80</v>
      </c>
      <c r="C131" s="7">
        <v>1</v>
      </c>
      <c r="D131" s="7">
        <v>0</v>
      </c>
      <c r="E131" s="7">
        <v>0</v>
      </c>
      <c r="F131" s="7">
        <v>8.398307994296884</v>
      </c>
      <c r="G131" s="7">
        <v>7.398307994296884</v>
      </c>
      <c r="H131" s="7" t="b">
        <v>1</v>
      </c>
    </row>
    <row r="132" spans="1:8">
      <c r="A132" s="7">
        <v>0.02</v>
      </c>
      <c r="B132" s="7">
        <v>80</v>
      </c>
      <c r="C132" s="7">
        <v>1</v>
      </c>
      <c r="D132" s="7">
        <v>0</v>
      </c>
      <c r="E132" s="7">
        <v>0.05</v>
      </c>
      <c r="F132" s="7">
        <v>10.27043593586861</v>
      </c>
      <c r="G132" s="7">
        <v>9.27043593586861</v>
      </c>
      <c r="H132" s="7" t="b">
        <v>1</v>
      </c>
    </row>
    <row r="133" spans="1:8">
      <c r="A133" s="7">
        <v>0.02</v>
      </c>
      <c r="B133" s="7">
        <v>80</v>
      </c>
      <c r="C133" s="7">
        <v>1</v>
      </c>
      <c r="D133" s="7">
        <v>0</v>
      </c>
      <c r="E133" s="7">
        <v>0.15</v>
      </c>
      <c r="F133" s="7">
        <v>14.01469181901206</v>
      </c>
      <c r="G133" s="7">
        <v>13.01469181901206</v>
      </c>
      <c r="H133" s="7" t="b">
        <v>1</v>
      </c>
    </row>
    <row r="134" spans="1:8">
      <c r="A134" s="7">
        <v>0.02</v>
      </c>
      <c r="B134" s="7">
        <v>80</v>
      </c>
      <c r="C134" s="7">
        <v>1</v>
      </c>
      <c r="D134" s="7">
        <v>0.1</v>
      </c>
      <c r="E134" s="7">
        <v>0</v>
      </c>
      <c r="F134" s="7">
        <v>9.812649082089733</v>
      </c>
      <c r="G134" s="7">
        <v>8.812649082089733</v>
      </c>
      <c r="H134" s="7" t="b">
        <v>1</v>
      </c>
    </row>
    <row r="135" spans="1:8">
      <c r="A135" s="7">
        <v>0.02</v>
      </c>
      <c r="B135" s="7">
        <v>80</v>
      </c>
      <c r="C135" s="7">
        <v>1</v>
      </c>
      <c r="D135" s="7">
        <v>0.1</v>
      </c>
      <c r="E135" s="7">
        <v>0.05</v>
      </c>
      <c r="F135" s="7">
        <v>11.68477702366146</v>
      </c>
      <c r="G135" s="7">
        <v>10.68477702366146</v>
      </c>
      <c r="H135" s="7" t="b">
        <v>1</v>
      </c>
    </row>
    <row r="136" spans="1:8">
      <c r="A136" s="7">
        <v>0.02</v>
      </c>
      <c r="B136" s="7">
        <v>80</v>
      </c>
      <c r="C136" s="7">
        <v>1</v>
      </c>
      <c r="D136" s="7">
        <v>0.1</v>
      </c>
      <c r="E136" s="7">
        <v>0.15</v>
      </c>
      <c r="F136" s="7">
        <v>15.42903290680491</v>
      </c>
      <c r="G136" s="7">
        <v>14.42903290680491</v>
      </c>
      <c r="H136" s="7" t="b">
        <v>1</v>
      </c>
    </row>
    <row r="137" spans="1:8">
      <c r="A137" s="7">
        <v>0.02</v>
      </c>
      <c r="B137" s="7">
        <v>80</v>
      </c>
      <c r="C137" s="7">
        <v>4</v>
      </c>
      <c r="D137" s="7">
        <v>0</v>
      </c>
      <c r="E137" s="7">
        <v>0</v>
      </c>
      <c r="F137" s="7">
        <v>8.398307994296884</v>
      </c>
      <c r="G137" s="7">
        <v>4.398307994296884</v>
      </c>
      <c r="H137" s="7" t="b">
        <v>1</v>
      </c>
    </row>
    <row r="138" spans="1:8">
      <c r="A138" s="7">
        <v>0.02</v>
      </c>
      <c r="B138" s="7">
        <v>80</v>
      </c>
      <c r="C138" s="7">
        <v>4</v>
      </c>
      <c r="D138" s="7">
        <v>0</v>
      </c>
      <c r="E138" s="7">
        <v>0.05</v>
      </c>
      <c r="F138" s="7">
        <v>10.27043593586861</v>
      </c>
      <c r="G138" s="7">
        <v>6.27043593586861</v>
      </c>
      <c r="H138" s="7" t="b">
        <v>1</v>
      </c>
    </row>
    <row r="139" spans="1:8">
      <c r="A139" s="7">
        <v>0.02</v>
      </c>
      <c r="B139" s="7">
        <v>80</v>
      </c>
      <c r="C139" s="7">
        <v>4</v>
      </c>
      <c r="D139" s="7">
        <v>0</v>
      </c>
      <c r="E139" s="7">
        <v>0.15</v>
      </c>
      <c r="F139" s="7">
        <v>14.01469181901206</v>
      </c>
      <c r="G139" s="7">
        <v>10.01469181901206</v>
      </c>
      <c r="H139" s="7" t="b">
        <v>1</v>
      </c>
    </row>
    <row r="140" spans="1:8">
      <c r="A140" s="7">
        <v>0.02</v>
      </c>
      <c r="B140" s="7">
        <v>80</v>
      </c>
      <c r="C140" s="7">
        <v>4</v>
      </c>
      <c r="D140" s="7">
        <v>0.1</v>
      </c>
      <c r="E140" s="7">
        <v>0</v>
      </c>
      <c r="F140" s="7">
        <v>9.812649082089733</v>
      </c>
      <c r="G140" s="7">
        <v>5.812649082089733</v>
      </c>
      <c r="H140" s="7" t="b">
        <v>1</v>
      </c>
    </row>
    <row r="141" spans="1:8">
      <c r="A141" s="7">
        <v>0.02</v>
      </c>
      <c r="B141" s="7">
        <v>80</v>
      </c>
      <c r="C141" s="7">
        <v>4</v>
      </c>
      <c r="D141" s="7">
        <v>0.1</v>
      </c>
      <c r="E141" s="7">
        <v>0.05</v>
      </c>
      <c r="F141" s="7">
        <v>11.68477702366146</v>
      </c>
      <c r="G141" s="7">
        <v>7.684777023661459</v>
      </c>
      <c r="H141" s="7" t="b">
        <v>1</v>
      </c>
    </row>
    <row r="142" spans="1:8">
      <c r="A142" s="7">
        <v>0.02</v>
      </c>
      <c r="B142" s="7">
        <v>80</v>
      </c>
      <c r="C142" s="7">
        <v>4</v>
      </c>
      <c r="D142" s="7">
        <v>0.1</v>
      </c>
      <c r="E142" s="7">
        <v>0.15</v>
      </c>
      <c r="F142" s="7">
        <v>15.42903290680491</v>
      </c>
      <c r="G142" s="7">
        <v>11.42903290680491</v>
      </c>
      <c r="H142" s="7" t="b">
        <v>1</v>
      </c>
    </row>
    <row r="143" spans="1:8">
      <c r="A143" s="7">
        <v>0.02</v>
      </c>
      <c r="B143" s="7">
        <v>80</v>
      </c>
      <c r="C143" s="7">
        <v>10</v>
      </c>
      <c r="D143" s="7">
        <v>0</v>
      </c>
      <c r="E143" s="7">
        <v>0</v>
      </c>
      <c r="F143" s="7">
        <v>8.398307994296884</v>
      </c>
      <c r="G143" s="7">
        <v>-1.601692005703116</v>
      </c>
      <c r="H143" s="7" t="b">
        <v>0</v>
      </c>
    </row>
    <row r="144" spans="1:8">
      <c r="A144" s="7">
        <v>0.02</v>
      </c>
      <c r="B144" s="7">
        <v>80</v>
      </c>
      <c r="C144" s="7">
        <v>10</v>
      </c>
      <c r="D144" s="7">
        <v>0</v>
      </c>
      <c r="E144" s="7">
        <v>0.05</v>
      </c>
      <c r="F144" s="7">
        <v>10.27043593586861</v>
      </c>
      <c r="G144" s="7">
        <v>0.2704359358686101</v>
      </c>
      <c r="H144" s="7" t="b">
        <v>1</v>
      </c>
    </row>
    <row r="145" spans="1:8">
      <c r="A145" s="7">
        <v>0.02</v>
      </c>
      <c r="B145" s="7">
        <v>80</v>
      </c>
      <c r="C145" s="7">
        <v>10</v>
      </c>
      <c r="D145" s="7">
        <v>0</v>
      </c>
      <c r="E145" s="7">
        <v>0.15</v>
      </c>
      <c r="F145" s="7">
        <v>14.01469181901206</v>
      </c>
      <c r="G145" s="7">
        <v>4.014691819012061</v>
      </c>
      <c r="H145" s="7" t="b">
        <v>1</v>
      </c>
    </row>
    <row r="146" spans="1:8">
      <c r="A146" s="7">
        <v>0.02</v>
      </c>
      <c r="B146" s="7">
        <v>80</v>
      </c>
      <c r="C146" s="7">
        <v>10</v>
      </c>
      <c r="D146" s="7">
        <v>0.1</v>
      </c>
      <c r="E146" s="7">
        <v>0</v>
      </c>
      <c r="F146" s="7">
        <v>9.812649082089733</v>
      </c>
      <c r="G146" s="7">
        <v>-0.1873509179102673</v>
      </c>
      <c r="H146" s="7" t="b">
        <v>0</v>
      </c>
    </row>
    <row r="147" spans="1:8">
      <c r="A147" s="7">
        <v>0.02</v>
      </c>
      <c r="B147" s="7">
        <v>80</v>
      </c>
      <c r="C147" s="7">
        <v>10</v>
      </c>
      <c r="D147" s="7">
        <v>0.1</v>
      </c>
      <c r="E147" s="7">
        <v>0.05</v>
      </c>
      <c r="F147" s="7">
        <v>11.68477702366146</v>
      </c>
      <c r="G147" s="7">
        <v>1.684777023661459</v>
      </c>
      <c r="H147" s="7" t="b">
        <v>1</v>
      </c>
    </row>
    <row r="148" spans="1:8">
      <c r="A148" s="7">
        <v>0.02</v>
      </c>
      <c r="B148" s="7">
        <v>80</v>
      </c>
      <c r="C148" s="7">
        <v>10</v>
      </c>
      <c r="D148" s="7">
        <v>0.1</v>
      </c>
      <c r="E148" s="7">
        <v>0.15</v>
      </c>
      <c r="F148" s="7">
        <v>15.42903290680491</v>
      </c>
      <c r="G148" s="7">
        <v>5.42903290680491</v>
      </c>
      <c r="H148" s="7" t="b">
        <v>1</v>
      </c>
    </row>
    <row r="149" spans="1:8">
      <c r="A149" s="7">
        <v>0.05</v>
      </c>
      <c r="B149" s="7">
        <v>10</v>
      </c>
      <c r="C149" s="7">
        <v>1</v>
      </c>
      <c r="D149" s="7">
        <v>0</v>
      </c>
      <c r="E149" s="7">
        <v>0</v>
      </c>
      <c r="F149" s="7">
        <v>-1.306778096044038</v>
      </c>
      <c r="G149" s="7">
        <v>-2.306778096044038</v>
      </c>
      <c r="H149" s="7" t="b">
        <v>0</v>
      </c>
    </row>
    <row r="150" spans="1:8">
      <c r="A150" s="7">
        <v>0.05</v>
      </c>
      <c r="B150" s="7">
        <v>10</v>
      </c>
      <c r="C150" s="7">
        <v>1</v>
      </c>
      <c r="D150" s="7">
        <v>0</v>
      </c>
      <c r="E150" s="7">
        <v>0.05</v>
      </c>
      <c r="F150" s="7">
        <v>0.5653498455276883</v>
      </c>
      <c r="G150" s="7">
        <v>-0.4346501544723117</v>
      </c>
      <c r="H150" s="7" t="b">
        <v>0</v>
      </c>
    </row>
    <row r="151" spans="1:8">
      <c r="A151" s="7">
        <v>0.05</v>
      </c>
      <c r="B151" s="7">
        <v>10</v>
      </c>
      <c r="C151" s="7">
        <v>1</v>
      </c>
      <c r="D151" s="7">
        <v>0</v>
      </c>
      <c r="E151" s="7">
        <v>0.15</v>
      </c>
      <c r="F151" s="7">
        <v>4.309605728671141</v>
      </c>
      <c r="G151" s="7">
        <v>3.309605728671141</v>
      </c>
      <c r="H151" s="7" t="b">
        <v>1</v>
      </c>
    </row>
    <row r="152" spans="1:8">
      <c r="A152" s="7">
        <v>0.05</v>
      </c>
      <c r="B152" s="7">
        <v>10</v>
      </c>
      <c r="C152" s="7">
        <v>1</v>
      </c>
      <c r="D152" s="7">
        <v>0.1</v>
      </c>
      <c r="E152" s="7">
        <v>0</v>
      </c>
      <c r="F152" s="7">
        <v>-0.06280048923957934</v>
      </c>
      <c r="G152" s="7">
        <v>-1.062800489239579</v>
      </c>
      <c r="H152" s="7" t="b">
        <v>0</v>
      </c>
    </row>
    <row r="153" spans="1:8">
      <c r="A153" s="7">
        <v>0.05</v>
      </c>
      <c r="B153" s="7">
        <v>10</v>
      </c>
      <c r="C153" s="7">
        <v>1</v>
      </c>
      <c r="D153" s="7">
        <v>0.1</v>
      </c>
      <c r="E153" s="7">
        <v>0.05</v>
      </c>
      <c r="F153" s="7">
        <v>1.809327452332147</v>
      </c>
      <c r="G153" s="7">
        <v>0.8093274523321465</v>
      </c>
      <c r="H153" s="7" t="b">
        <v>1</v>
      </c>
    </row>
    <row r="154" spans="1:8">
      <c r="A154" s="7">
        <v>0.05</v>
      </c>
      <c r="B154" s="7">
        <v>10</v>
      </c>
      <c r="C154" s="7">
        <v>1</v>
      </c>
      <c r="D154" s="7">
        <v>0.1</v>
      </c>
      <c r="E154" s="7">
        <v>0.15</v>
      </c>
      <c r="F154" s="7">
        <v>5.553583335475598</v>
      </c>
      <c r="G154" s="7">
        <v>4.553583335475598</v>
      </c>
      <c r="H154" s="7" t="b">
        <v>1</v>
      </c>
    </row>
    <row r="155" spans="1:8">
      <c r="A155" s="7">
        <v>0.05</v>
      </c>
      <c r="B155" s="7">
        <v>10</v>
      </c>
      <c r="C155" s="7">
        <v>4</v>
      </c>
      <c r="D155" s="7">
        <v>0</v>
      </c>
      <c r="E155" s="7">
        <v>0</v>
      </c>
      <c r="F155" s="7">
        <v>-1.306778096044038</v>
      </c>
      <c r="G155" s="7">
        <v>-5.306778096044038</v>
      </c>
      <c r="H155" s="7" t="b">
        <v>0</v>
      </c>
    </row>
    <row r="156" spans="1:8">
      <c r="A156" s="7">
        <v>0.05</v>
      </c>
      <c r="B156" s="7">
        <v>10</v>
      </c>
      <c r="C156" s="7">
        <v>4</v>
      </c>
      <c r="D156" s="7">
        <v>0</v>
      </c>
      <c r="E156" s="7">
        <v>0.05</v>
      </c>
      <c r="F156" s="7">
        <v>0.5653498455276883</v>
      </c>
      <c r="G156" s="7">
        <v>-3.434650154472312</v>
      </c>
      <c r="H156" s="7" t="b">
        <v>0</v>
      </c>
    </row>
    <row r="157" spans="1:8">
      <c r="A157" s="7">
        <v>0.05</v>
      </c>
      <c r="B157" s="7">
        <v>10</v>
      </c>
      <c r="C157" s="7">
        <v>4</v>
      </c>
      <c r="D157" s="7">
        <v>0</v>
      </c>
      <c r="E157" s="7">
        <v>0.15</v>
      </c>
      <c r="F157" s="7">
        <v>4.309605728671141</v>
      </c>
      <c r="G157" s="7">
        <v>0.3096057286711407</v>
      </c>
      <c r="H157" s="7" t="b">
        <v>1</v>
      </c>
    </row>
    <row r="158" spans="1:8">
      <c r="A158" s="7">
        <v>0.05</v>
      </c>
      <c r="B158" s="7">
        <v>10</v>
      </c>
      <c r="C158" s="7">
        <v>4</v>
      </c>
      <c r="D158" s="7">
        <v>0.1</v>
      </c>
      <c r="E158" s="7">
        <v>0</v>
      </c>
      <c r="F158" s="7">
        <v>-0.06280048923957934</v>
      </c>
      <c r="G158" s="7">
        <v>-4.06280048923958</v>
      </c>
      <c r="H158" s="7" t="b">
        <v>0</v>
      </c>
    </row>
    <row r="159" spans="1:8">
      <c r="A159" s="7">
        <v>0.05</v>
      </c>
      <c r="B159" s="7">
        <v>10</v>
      </c>
      <c r="C159" s="7">
        <v>4</v>
      </c>
      <c r="D159" s="7">
        <v>0.1</v>
      </c>
      <c r="E159" s="7">
        <v>0.05</v>
      </c>
      <c r="F159" s="7">
        <v>1.809327452332147</v>
      </c>
      <c r="G159" s="7">
        <v>-2.190672547667853</v>
      </c>
      <c r="H159" s="7" t="b">
        <v>0</v>
      </c>
    </row>
    <row r="160" spans="1:8">
      <c r="A160" s="7">
        <v>0.05</v>
      </c>
      <c r="B160" s="7">
        <v>10</v>
      </c>
      <c r="C160" s="7">
        <v>4</v>
      </c>
      <c r="D160" s="7">
        <v>0.1</v>
      </c>
      <c r="E160" s="7">
        <v>0.15</v>
      </c>
      <c r="F160" s="7">
        <v>5.553583335475598</v>
      </c>
      <c r="G160" s="7">
        <v>1.553583335475598</v>
      </c>
      <c r="H160" s="7" t="b">
        <v>1</v>
      </c>
    </row>
    <row r="161" spans="1:8">
      <c r="A161" s="7">
        <v>0.05</v>
      </c>
      <c r="B161" s="7">
        <v>10</v>
      </c>
      <c r="C161" s="7">
        <v>10</v>
      </c>
      <c r="D161" s="7">
        <v>0</v>
      </c>
      <c r="E161" s="7">
        <v>0</v>
      </c>
      <c r="F161" s="7">
        <v>-1.306778096044038</v>
      </c>
      <c r="G161" s="7">
        <v>-11.30677809604404</v>
      </c>
      <c r="H161" s="7" t="b">
        <v>0</v>
      </c>
    </row>
    <row r="162" spans="1:8">
      <c r="A162" s="7">
        <v>0.05</v>
      </c>
      <c r="B162" s="7">
        <v>10</v>
      </c>
      <c r="C162" s="7">
        <v>10</v>
      </c>
      <c r="D162" s="7">
        <v>0</v>
      </c>
      <c r="E162" s="7">
        <v>0.05</v>
      </c>
      <c r="F162" s="7">
        <v>0.5653498455276883</v>
      </c>
      <c r="G162" s="7">
        <v>-9.434650154472312</v>
      </c>
      <c r="H162" s="7" t="b">
        <v>0</v>
      </c>
    </row>
    <row r="163" spans="1:8">
      <c r="A163" s="7">
        <v>0.05</v>
      </c>
      <c r="B163" s="7">
        <v>10</v>
      </c>
      <c r="C163" s="7">
        <v>10</v>
      </c>
      <c r="D163" s="7">
        <v>0</v>
      </c>
      <c r="E163" s="7">
        <v>0.15</v>
      </c>
      <c r="F163" s="7">
        <v>4.309605728671141</v>
      </c>
      <c r="G163" s="7">
        <v>-5.690394271328859</v>
      </c>
      <c r="H163" s="7" t="b">
        <v>0</v>
      </c>
    </row>
    <row r="164" spans="1:8">
      <c r="A164" s="7">
        <v>0.05</v>
      </c>
      <c r="B164" s="7">
        <v>10</v>
      </c>
      <c r="C164" s="7">
        <v>10</v>
      </c>
      <c r="D164" s="7">
        <v>0.1</v>
      </c>
      <c r="E164" s="7">
        <v>0</v>
      </c>
      <c r="F164" s="7">
        <v>-0.06280048923957934</v>
      </c>
      <c r="G164" s="7">
        <v>-10.06280048923958</v>
      </c>
      <c r="H164" s="7" t="b">
        <v>0</v>
      </c>
    </row>
    <row r="165" spans="1:8">
      <c r="A165" s="7">
        <v>0.05</v>
      </c>
      <c r="B165" s="7">
        <v>10</v>
      </c>
      <c r="C165" s="7">
        <v>10</v>
      </c>
      <c r="D165" s="7">
        <v>0.1</v>
      </c>
      <c r="E165" s="7">
        <v>0.05</v>
      </c>
      <c r="F165" s="7">
        <v>1.809327452332147</v>
      </c>
      <c r="G165" s="7">
        <v>-8.190672547667853</v>
      </c>
      <c r="H165" s="7" t="b">
        <v>0</v>
      </c>
    </row>
    <row r="166" spans="1:8">
      <c r="A166" s="7">
        <v>0.05</v>
      </c>
      <c r="B166" s="7">
        <v>10</v>
      </c>
      <c r="C166" s="7">
        <v>10</v>
      </c>
      <c r="D166" s="7">
        <v>0.1</v>
      </c>
      <c r="E166" s="7">
        <v>0.15</v>
      </c>
      <c r="F166" s="7">
        <v>5.553583335475598</v>
      </c>
      <c r="G166" s="7">
        <v>-4.446416664524402</v>
      </c>
      <c r="H166" s="7" t="b">
        <v>0</v>
      </c>
    </row>
    <row r="167" spans="1:8">
      <c r="A167" s="7">
        <v>0.05</v>
      </c>
      <c r="B167" s="7">
        <v>20</v>
      </c>
      <c r="C167" s="7">
        <v>1</v>
      </c>
      <c r="D167" s="7">
        <v>0</v>
      </c>
      <c r="E167" s="7">
        <v>0</v>
      </c>
      <c r="F167" s="7">
        <v>1.780693767615221</v>
      </c>
      <c r="G167" s="7">
        <v>0.7806937676152208</v>
      </c>
      <c r="H167" s="7" t="b">
        <v>1</v>
      </c>
    </row>
    <row r="168" spans="1:8">
      <c r="A168" s="7">
        <v>0.05</v>
      </c>
      <c r="B168" s="7">
        <v>20</v>
      </c>
      <c r="C168" s="7">
        <v>1</v>
      </c>
      <c r="D168" s="7">
        <v>0</v>
      </c>
      <c r="E168" s="7">
        <v>0.05</v>
      </c>
      <c r="F168" s="7">
        <v>3.652821709186947</v>
      </c>
      <c r="G168" s="7">
        <v>2.652821709186947</v>
      </c>
      <c r="H168" s="7" t="b">
        <v>1</v>
      </c>
    </row>
    <row r="169" spans="1:8">
      <c r="A169" s="7">
        <v>0.05</v>
      </c>
      <c r="B169" s="7">
        <v>20</v>
      </c>
      <c r="C169" s="7">
        <v>1</v>
      </c>
      <c r="D169" s="7">
        <v>0</v>
      </c>
      <c r="E169" s="7">
        <v>0.15</v>
      </c>
      <c r="F169" s="7">
        <v>7.397077592330398</v>
      </c>
      <c r="G169" s="7">
        <v>6.397077592330398</v>
      </c>
      <c r="H169" s="7" t="b">
        <v>1</v>
      </c>
    </row>
    <row r="170" spans="1:8">
      <c r="A170" s="7">
        <v>0.05</v>
      </c>
      <c r="B170" s="7">
        <v>20</v>
      </c>
      <c r="C170" s="7">
        <v>1</v>
      </c>
      <c r="D170" s="7">
        <v>0.1</v>
      </c>
      <c r="E170" s="7">
        <v>0</v>
      </c>
      <c r="F170" s="7">
        <v>3.702725931583806</v>
      </c>
      <c r="G170" s="7">
        <v>2.702725931583806</v>
      </c>
      <c r="H170" s="7" t="b">
        <v>1</v>
      </c>
    </row>
    <row r="171" spans="1:8">
      <c r="A171" s="7">
        <v>0.05</v>
      </c>
      <c r="B171" s="7">
        <v>20</v>
      </c>
      <c r="C171" s="7">
        <v>1</v>
      </c>
      <c r="D171" s="7">
        <v>0.1</v>
      </c>
      <c r="E171" s="7">
        <v>0.05</v>
      </c>
      <c r="F171" s="7">
        <v>5.574853873155532</v>
      </c>
      <c r="G171" s="7">
        <v>4.574853873155532</v>
      </c>
      <c r="H171" s="7" t="b">
        <v>1</v>
      </c>
    </row>
    <row r="172" spans="1:8">
      <c r="A172" s="7">
        <v>0.05</v>
      </c>
      <c r="B172" s="7">
        <v>20</v>
      </c>
      <c r="C172" s="7">
        <v>1</v>
      </c>
      <c r="D172" s="7">
        <v>0.1</v>
      </c>
      <c r="E172" s="7">
        <v>0.15</v>
      </c>
      <c r="F172" s="7">
        <v>9.319109756298984</v>
      </c>
      <c r="G172" s="7">
        <v>8.319109756298984</v>
      </c>
      <c r="H172" s="7" t="b">
        <v>1</v>
      </c>
    </row>
    <row r="173" spans="1:8">
      <c r="A173" s="7">
        <v>0.05</v>
      </c>
      <c r="B173" s="7">
        <v>20</v>
      </c>
      <c r="C173" s="7">
        <v>4</v>
      </c>
      <c r="D173" s="7">
        <v>0</v>
      </c>
      <c r="E173" s="7">
        <v>0</v>
      </c>
      <c r="F173" s="7">
        <v>1.780693767615221</v>
      </c>
      <c r="G173" s="7">
        <v>-2.219306232384779</v>
      </c>
      <c r="H173" s="7" t="b">
        <v>0</v>
      </c>
    </row>
    <row r="174" spans="1:8">
      <c r="A174" s="7">
        <v>0.05</v>
      </c>
      <c r="B174" s="7">
        <v>20</v>
      </c>
      <c r="C174" s="7">
        <v>4</v>
      </c>
      <c r="D174" s="7">
        <v>0</v>
      </c>
      <c r="E174" s="7">
        <v>0.05</v>
      </c>
      <c r="F174" s="7">
        <v>3.652821709186947</v>
      </c>
      <c r="G174" s="7">
        <v>-0.3471782908130532</v>
      </c>
      <c r="H174" s="7" t="b">
        <v>0</v>
      </c>
    </row>
    <row r="175" spans="1:8">
      <c r="A175" s="7">
        <v>0.05</v>
      </c>
      <c r="B175" s="7">
        <v>20</v>
      </c>
      <c r="C175" s="7">
        <v>4</v>
      </c>
      <c r="D175" s="7">
        <v>0</v>
      </c>
      <c r="E175" s="7">
        <v>0.15</v>
      </c>
      <c r="F175" s="7">
        <v>7.397077592330398</v>
      </c>
      <c r="G175" s="7">
        <v>3.397077592330398</v>
      </c>
      <c r="H175" s="7" t="b">
        <v>1</v>
      </c>
    </row>
    <row r="176" spans="1:8">
      <c r="A176" s="7">
        <v>0.05</v>
      </c>
      <c r="B176" s="7">
        <v>20</v>
      </c>
      <c r="C176" s="7">
        <v>4</v>
      </c>
      <c r="D176" s="7">
        <v>0.1</v>
      </c>
      <c r="E176" s="7">
        <v>0</v>
      </c>
      <c r="F176" s="7">
        <v>3.702725931583806</v>
      </c>
      <c r="G176" s="7">
        <v>-0.2972740684161943</v>
      </c>
      <c r="H176" s="7" t="b">
        <v>0</v>
      </c>
    </row>
    <row r="177" spans="1:8">
      <c r="A177" s="7">
        <v>0.05</v>
      </c>
      <c r="B177" s="7">
        <v>20</v>
      </c>
      <c r="C177" s="7">
        <v>4</v>
      </c>
      <c r="D177" s="7">
        <v>0.1</v>
      </c>
      <c r="E177" s="7">
        <v>0.05</v>
      </c>
      <c r="F177" s="7">
        <v>5.574853873155532</v>
      </c>
      <c r="G177" s="7">
        <v>1.574853873155532</v>
      </c>
      <c r="H177" s="7" t="b">
        <v>1</v>
      </c>
    </row>
    <row r="178" spans="1:8">
      <c r="A178" s="7">
        <v>0.05</v>
      </c>
      <c r="B178" s="7">
        <v>20</v>
      </c>
      <c r="C178" s="7">
        <v>4</v>
      </c>
      <c r="D178" s="7">
        <v>0.1</v>
      </c>
      <c r="E178" s="7">
        <v>0.15</v>
      </c>
      <c r="F178" s="7">
        <v>9.319109756298984</v>
      </c>
      <c r="G178" s="7">
        <v>5.319109756298984</v>
      </c>
      <c r="H178" s="7" t="b">
        <v>1</v>
      </c>
    </row>
    <row r="179" spans="1:8">
      <c r="A179" s="7">
        <v>0.05</v>
      </c>
      <c r="B179" s="7">
        <v>20</v>
      </c>
      <c r="C179" s="7">
        <v>10</v>
      </c>
      <c r="D179" s="7">
        <v>0</v>
      </c>
      <c r="E179" s="7">
        <v>0</v>
      </c>
      <c r="F179" s="7">
        <v>1.780693767615221</v>
      </c>
      <c r="G179" s="7">
        <v>-8.219306232384779</v>
      </c>
      <c r="H179" s="7" t="b">
        <v>0</v>
      </c>
    </row>
    <row r="180" spans="1:8">
      <c r="A180" s="7">
        <v>0.05</v>
      </c>
      <c r="B180" s="7">
        <v>20</v>
      </c>
      <c r="C180" s="7">
        <v>10</v>
      </c>
      <c r="D180" s="7">
        <v>0</v>
      </c>
      <c r="E180" s="7">
        <v>0.05</v>
      </c>
      <c r="F180" s="7">
        <v>3.652821709186947</v>
      </c>
      <c r="G180" s="7">
        <v>-6.347178290813053</v>
      </c>
      <c r="H180" s="7" t="b">
        <v>0</v>
      </c>
    </row>
    <row r="181" spans="1:8">
      <c r="A181" s="7">
        <v>0.05</v>
      </c>
      <c r="B181" s="7">
        <v>20</v>
      </c>
      <c r="C181" s="7">
        <v>10</v>
      </c>
      <c r="D181" s="7">
        <v>0</v>
      </c>
      <c r="E181" s="7">
        <v>0.15</v>
      </c>
      <c r="F181" s="7">
        <v>7.397077592330398</v>
      </c>
      <c r="G181" s="7">
        <v>-2.602922407669602</v>
      </c>
      <c r="H181" s="7" t="b">
        <v>0</v>
      </c>
    </row>
    <row r="182" spans="1:8">
      <c r="A182" s="7">
        <v>0.05</v>
      </c>
      <c r="B182" s="7">
        <v>20</v>
      </c>
      <c r="C182" s="7">
        <v>10</v>
      </c>
      <c r="D182" s="7">
        <v>0.1</v>
      </c>
      <c r="E182" s="7">
        <v>0</v>
      </c>
      <c r="F182" s="7">
        <v>3.702725931583806</v>
      </c>
      <c r="G182" s="7">
        <v>-6.297274068416194</v>
      </c>
      <c r="H182" s="7" t="b">
        <v>0</v>
      </c>
    </row>
    <row r="183" spans="1:8">
      <c r="A183" s="7">
        <v>0.05</v>
      </c>
      <c r="B183" s="7">
        <v>20</v>
      </c>
      <c r="C183" s="7">
        <v>10</v>
      </c>
      <c r="D183" s="7">
        <v>0.1</v>
      </c>
      <c r="E183" s="7">
        <v>0.05</v>
      </c>
      <c r="F183" s="7">
        <v>5.574853873155532</v>
      </c>
      <c r="G183" s="7">
        <v>-4.425146126844468</v>
      </c>
      <c r="H183" s="7" t="b">
        <v>0</v>
      </c>
    </row>
    <row r="184" spans="1:8">
      <c r="A184" s="7">
        <v>0.05</v>
      </c>
      <c r="B184" s="7">
        <v>20</v>
      </c>
      <c r="C184" s="7">
        <v>10</v>
      </c>
      <c r="D184" s="7">
        <v>0.1</v>
      </c>
      <c r="E184" s="7">
        <v>0.15</v>
      </c>
      <c r="F184" s="7">
        <v>9.319109756298984</v>
      </c>
      <c r="G184" s="7">
        <v>-0.6808902437010165</v>
      </c>
      <c r="H184" s="7" t="b">
        <v>0</v>
      </c>
    </row>
    <row r="185" spans="1:8">
      <c r="A185" s="7">
        <v>0.05</v>
      </c>
      <c r="B185" s="7">
        <v>40</v>
      </c>
      <c r="C185" s="7">
        <v>1</v>
      </c>
      <c r="D185" s="7">
        <v>0</v>
      </c>
      <c r="E185" s="7">
        <v>0</v>
      </c>
      <c r="F185" s="7">
        <v>7.955637494933738</v>
      </c>
      <c r="G185" s="7">
        <v>6.955637494933738</v>
      </c>
      <c r="H185" s="7" t="b">
        <v>1</v>
      </c>
    </row>
    <row r="186" spans="1:8">
      <c r="A186" s="7">
        <v>0.05</v>
      </c>
      <c r="B186" s="7">
        <v>40</v>
      </c>
      <c r="C186" s="7">
        <v>1</v>
      </c>
      <c r="D186" s="7">
        <v>0</v>
      </c>
      <c r="E186" s="7">
        <v>0.05</v>
      </c>
      <c r="F186" s="7">
        <v>9.827765436505464</v>
      </c>
      <c r="G186" s="7">
        <v>8.827765436505464</v>
      </c>
      <c r="H186" s="7" t="b">
        <v>1</v>
      </c>
    </row>
    <row r="187" spans="1:8">
      <c r="A187" s="7">
        <v>0.05</v>
      </c>
      <c r="B187" s="7">
        <v>40</v>
      </c>
      <c r="C187" s="7">
        <v>1</v>
      </c>
      <c r="D187" s="7">
        <v>0</v>
      </c>
      <c r="E187" s="7">
        <v>0.15</v>
      </c>
      <c r="F187" s="7">
        <v>13.57202131964891</v>
      </c>
      <c r="G187" s="7">
        <v>12.57202131964891</v>
      </c>
      <c r="H187" s="7" t="b">
        <v>1</v>
      </c>
    </row>
    <row r="188" spans="1:8">
      <c r="A188" s="7">
        <v>0.05</v>
      </c>
      <c r="B188" s="7">
        <v>40</v>
      </c>
      <c r="C188" s="7">
        <v>1</v>
      </c>
      <c r="D188" s="7">
        <v>0.1</v>
      </c>
      <c r="E188" s="7">
        <v>0</v>
      </c>
      <c r="F188" s="7">
        <v>11.23377877323058</v>
      </c>
      <c r="G188" s="7">
        <v>10.23377877323058</v>
      </c>
      <c r="H188" s="7" t="b">
        <v>1</v>
      </c>
    </row>
    <row r="189" spans="1:8">
      <c r="A189" s="7">
        <v>0.05</v>
      </c>
      <c r="B189" s="7">
        <v>40</v>
      </c>
      <c r="C189" s="7">
        <v>1</v>
      </c>
      <c r="D189" s="7">
        <v>0.1</v>
      </c>
      <c r="E189" s="7">
        <v>0.05</v>
      </c>
      <c r="F189" s="7">
        <v>13.1059067148023</v>
      </c>
      <c r="G189" s="7">
        <v>12.1059067148023</v>
      </c>
      <c r="H189" s="7" t="b">
        <v>1</v>
      </c>
    </row>
    <row r="190" spans="1:8">
      <c r="A190" s="7">
        <v>0.05</v>
      </c>
      <c r="B190" s="7">
        <v>40</v>
      </c>
      <c r="C190" s="7">
        <v>1</v>
      </c>
      <c r="D190" s="7">
        <v>0.1</v>
      </c>
      <c r="E190" s="7">
        <v>0.15</v>
      </c>
      <c r="F190" s="7">
        <v>16.85016259794575</v>
      </c>
      <c r="G190" s="7">
        <v>15.85016259794575</v>
      </c>
      <c r="H190" s="7" t="b">
        <v>1</v>
      </c>
    </row>
    <row r="191" spans="1:8">
      <c r="A191" s="7">
        <v>0.05</v>
      </c>
      <c r="B191" s="7">
        <v>40</v>
      </c>
      <c r="C191" s="7">
        <v>4</v>
      </c>
      <c r="D191" s="7">
        <v>0</v>
      </c>
      <c r="E191" s="7">
        <v>0</v>
      </c>
      <c r="F191" s="7">
        <v>7.955637494933738</v>
      </c>
      <c r="G191" s="7">
        <v>3.955637494933738</v>
      </c>
      <c r="H191" s="7" t="b">
        <v>1</v>
      </c>
    </row>
    <row r="192" spans="1:8">
      <c r="A192" s="7">
        <v>0.05</v>
      </c>
      <c r="B192" s="7">
        <v>40</v>
      </c>
      <c r="C192" s="7">
        <v>4</v>
      </c>
      <c r="D192" s="7">
        <v>0</v>
      </c>
      <c r="E192" s="7">
        <v>0.05</v>
      </c>
      <c r="F192" s="7">
        <v>9.827765436505464</v>
      </c>
      <c r="G192" s="7">
        <v>5.827765436505464</v>
      </c>
      <c r="H192" s="7" t="b">
        <v>1</v>
      </c>
    </row>
    <row r="193" spans="1:8">
      <c r="A193" s="7">
        <v>0.05</v>
      </c>
      <c r="B193" s="7">
        <v>40</v>
      </c>
      <c r="C193" s="7">
        <v>4</v>
      </c>
      <c r="D193" s="7">
        <v>0</v>
      </c>
      <c r="E193" s="7">
        <v>0.15</v>
      </c>
      <c r="F193" s="7">
        <v>13.57202131964891</v>
      </c>
      <c r="G193" s="7">
        <v>9.572021319648915</v>
      </c>
      <c r="H193" s="7" t="b">
        <v>1</v>
      </c>
    </row>
    <row r="194" spans="1:8">
      <c r="A194" s="7">
        <v>0.05</v>
      </c>
      <c r="B194" s="7">
        <v>40</v>
      </c>
      <c r="C194" s="7">
        <v>4</v>
      </c>
      <c r="D194" s="7">
        <v>0.1</v>
      </c>
      <c r="E194" s="7">
        <v>0</v>
      </c>
      <c r="F194" s="7">
        <v>11.23377877323058</v>
      </c>
      <c r="G194" s="7">
        <v>7.233778773230576</v>
      </c>
      <c r="H194" s="7" t="b">
        <v>1</v>
      </c>
    </row>
    <row r="195" spans="1:8">
      <c r="A195" s="7">
        <v>0.05</v>
      </c>
      <c r="B195" s="7">
        <v>40</v>
      </c>
      <c r="C195" s="7">
        <v>4</v>
      </c>
      <c r="D195" s="7">
        <v>0.1</v>
      </c>
      <c r="E195" s="7">
        <v>0.05</v>
      </c>
      <c r="F195" s="7">
        <v>13.1059067148023</v>
      </c>
      <c r="G195" s="7">
        <v>9.105906714802302</v>
      </c>
      <c r="H195" s="7" t="b">
        <v>1</v>
      </c>
    </row>
    <row r="196" spans="1:8">
      <c r="A196" s="7">
        <v>0.05</v>
      </c>
      <c r="B196" s="7">
        <v>40</v>
      </c>
      <c r="C196" s="7">
        <v>4</v>
      </c>
      <c r="D196" s="7">
        <v>0.1</v>
      </c>
      <c r="E196" s="7">
        <v>0.15</v>
      </c>
      <c r="F196" s="7">
        <v>16.85016259794575</v>
      </c>
      <c r="G196" s="7">
        <v>12.85016259794575</v>
      </c>
      <c r="H196" s="7" t="b">
        <v>1</v>
      </c>
    </row>
    <row r="197" spans="1:8">
      <c r="A197" s="7">
        <v>0.05</v>
      </c>
      <c r="B197" s="7">
        <v>40</v>
      </c>
      <c r="C197" s="7">
        <v>10</v>
      </c>
      <c r="D197" s="7">
        <v>0</v>
      </c>
      <c r="E197" s="7">
        <v>0</v>
      </c>
      <c r="F197" s="7">
        <v>7.955637494933738</v>
      </c>
      <c r="G197" s="7">
        <v>-2.044362505066262</v>
      </c>
      <c r="H197" s="7" t="b">
        <v>0</v>
      </c>
    </row>
    <row r="198" spans="1:8">
      <c r="A198" s="7">
        <v>0.05</v>
      </c>
      <c r="B198" s="7">
        <v>40</v>
      </c>
      <c r="C198" s="7">
        <v>10</v>
      </c>
      <c r="D198" s="7">
        <v>0</v>
      </c>
      <c r="E198" s="7">
        <v>0.05</v>
      </c>
      <c r="F198" s="7">
        <v>9.827765436505464</v>
      </c>
      <c r="G198" s="7">
        <v>-0.1722345634945359</v>
      </c>
      <c r="H198" s="7" t="b">
        <v>0</v>
      </c>
    </row>
    <row r="199" spans="1:8">
      <c r="A199" s="7">
        <v>0.05</v>
      </c>
      <c r="B199" s="7">
        <v>40</v>
      </c>
      <c r="C199" s="7">
        <v>10</v>
      </c>
      <c r="D199" s="7">
        <v>0</v>
      </c>
      <c r="E199" s="7">
        <v>0.15</v>
      </c>
      <c r="F199" s="7">
        <v>13.57202131964891</v>
      </c>
      <c r="G199" s="7">
        <v>3.572021319648915</v>
      </c>
      <c r="H199" s="7" t="b">
        <v>1</v>
      </c>
    </row>
    <row r="200" spans="1:8">
      <c r="A200" s="7">
        <v>0.05</v>
      </c>
      <c r="B200" s="7">
        <v>40</v>
      </c>
      <c r="C200" s="7">
        <v>10</v>
      </c>
      <c r="D200" s="7">
        <v>0.1</v>
      </c>
      <c r="E200" s="7">
        <v>0</v>
      </c>
      <c r="F200" s="7">
        <v>11.23377877323058</v>
      </c>
      <c r="G200" s="7">
        <v>1.233778773230576</v>
      </c>
      <c r="H200" s="7" t="b">
        <v>1</v>
      </c>
    </row>
    <row r="201" spans="1:8">
      <c r="A201" s="7">
        <v>0.05</v>
      </c>
      <c r="B201" s="7">
        <v>40</v>
      </c>
      <c r="C201" s="7">
        <v>10</v>
      </c>
      <c r="D201" s="7">
        <v>0.1</v>
      </c>
      <c r="E201" s="7">
        <v>0.05</v>
      </c>
      <c r="F201" s="7">
        <v>13.1059067148023</v>
      </c>
      <c r="G201" s="7">
        <v>3.105906714802302</v>
      </c>
      <c r="H201" s="7" t="b">
        <v>1</v>
      </c>
    </row>
    <row r="202" spans="1:8">
      <c r="A202" s="7">
        <v>0.05</v>
      </c>
      <c r="B202" s="7">
        <v>40</v>
      </c>
      <c r="C202" s="7">
        <v>10</v>
      </c>
      <c r="D202" s="7">
        <v>0.1</v>
      </c>
      <c r="E202" s="7">
        <v>0.15</v>
      </c>
      <c r="F202" s="7">
        <v>16.85016259794575</v>
      </c>
      <c r="G202" s="7">
        <v>6.850162597945754</v>
      </c>
      <c r="H202" s="7" t="b">
        <v>1</v>
      </c>
    </row>
    <row r="203" spans="1:8">
      <c r="A203" s="7">
        <v>0.05</v>
      </c>
      <c r="B203" s="7">
        <v>80</v>
      </c>
      <c r="C203" s="7">
        <v>1</v>
      </c>
      <c r="D203" s="7">
        <v>0</v>
      </c>
      <c r="E203" s="7">
        <v>0</v>
      </c>
      <c r="F203" s="7">
        <v>20.30552494957077</v>
      </c>
      <c r="G203" s="7">
        <v>19.30552494957077</v>
      </c>
      <c r="H203" s="7" t="b">
        <v>1</v>
      </c>
    </row>
    <row r="204" spans="1:8">
      <c r="A204" s="7">
        <v>0.05</v>
      </c>
      <c r="B204" s="7">
        <v>80</v>
      </c>
      <c r="C204" s="7">
        <v>1</v>
      </c>
      <c r="D204" s="7">
        <v>0</v>
      </c>
      <c r="E204" s="7">
        <v>0.05</v>
      </c>
      <c r="F204" s="7">
        <v>22.1776528911425</v>
      </c>
      <c r="G204" s="7">
        <v>21.1776528911425</v>
      </c>
      <c r="H204" s="7" t="b">
        <v>1</v>
      </c>
    </row>
    <row r="205" spans="1:8">
      <c r="A205" s="7">
        <v>0.05</v>
      </c>
      <c r="B205" s="7">
        <v>80</v>
      </c>
      <c r="C205" s="7">
        <v>1</v>
      </c>
      <c r="D205" s="7">
        <v>0</v>
      </c>
      <c r="E205" s="7">
        <v>0.15</v>
      </c>
      <c r="F205" s="7">
        <v>25.92190877428595</v>
      </c>
      <c r="G205" s="7">
        <v>24.92190877428595</v>
      </c>
      <c r="H205" s="7" t="b">
        <v>1</v>
      </c>
    </row>
    <row r="206" spans="1:8">
      <c r="A206" s="7">
        <v>0.05</v>
      </c>
      <c r="B206" s="7">
        <v>80</v>
      </c>
      <c r="C206" s="7">
        <v>1</v>
      </c>
      <c r="D206" s="7">
        <v>0.1</v>
      </c>
      <c r="E206" s="7">
        <v>0</v>
      </c>
      <c r="F206" s="7">
        <v>26.29588445652411</v>
      </c>
      <c r="G206" s="7">
        <v>25.29588445652411</v>
      </c>
      <c r="H206" s="7" t="b">
        <v>1</v>
      </c>
    </row>
    <row r="207" spans="1:8">
      <c r="A207" s="7">
        <v>0.05</v>
      </c>
      <c r="B207" s="7">
        <v>80</v>
      </c>
      <c r="C207" s="7">
        <v>1</v>
      </c>
      <c r="D207" s="7">
        <v>0.1</v>
      </c>
      <c r="E207" s="7">
        <v>0.05</v>
      </c>
      <c r="F207" s="7">
        <v>28.16801239809584</v>
      </c>
      <c r="G207" s="7">
        <v>27.16801239809584</v>
      </c>
      <c r="H207" s="7" t="b">
        <v>1</v>
      </c>
    </row>
    <row r="208" spans="1:8">
      <c r="A208" s="7">
        <v>0.05</v>
      </c>
      <c r="B208" s="7">
        <v>80</v>
      </c>
      <c r="C208" s="7">
        <v>1</v>
      </c>
      <c r="D208" s="7">
        <v>0.1</v>
      </c>
      <c r="E208" s="7">
        <v>0.15</v>
      </c>
      <c r="F208" s="7">
        <v>31.9122682812393</v>
      </c>
      <c r="G208" s="7">
        <v>30.9122682812393</v>
      </c>
      <c r="H208" s="7" t="b">
        <v>1</v>
      </c>
    </row>
    <row r="209" spans="1:8">
      <c r="A209" s="7">
        <v>0.05</v>
      </c>
      <c r="B209" s="7">
        <v>80</v>
      </c>
      <c r="C209" s="7">
        <v>4</v>
      </c>
      <c r="D209" s="7">
        <v>0</v>
      </c>
      <c r="E209" s="7">
        <v>0</v>
      </c>
      <c r="F209" s="7">
        <v>20.30552494957077</v>
      </c>
      <c r="G209" s="7">
        <v>16.30552494957077</v>
      </c>
      <c r="H209" s="7" t="b">
        <v>1</v>
      </c>
    </row>
    <row r="210" spans="1:8">
      <c r="A210" s="7">
        <v>0.05</v>
      </c>
      <c r="B210" s="7">
        <v>80</v>
      </c>
      <c r="C210" s="7">
        <v>4</v>
      </c>
      <c r="D210" s="7">
        <v>0</v>
      </c>
      <c r="E210" s="7">
        <v>0.05</v>
      </c>
      <c r="F210" s="7">
        <v>22.1776528911425</v>
      </c>
      <c r="G210" s="7">
        <v>18.1776528911425</v>
      </c>
      <c r="H210" s="7" t="b">
        <v>1</v>
      </c>
    </row>
    <row r="211" spans="1:8">
      <c r="A211" s="7">
        <v>0.05</v>
      </c>
      <c r="B211" s="7">
        <v>80</v>
      </c>
      <c r="C211" s="7">
        <v>4</v>
      </c>
      <c r="D211" s="7">
        <v>0</v>
      </c>
      <c r="E211" s="7">
        <v>0.15</v>
      </c>
      <c r="F211" s="7">
        <v>25.92190877428595</v>
      </c>
      <c r="G211" s="7">
        <v>21.92190877428595</v>
      </c>
      <c r="H211" s="7" t="b">
        <v>1</v>
      </c>
    </row>
    <row r="212" spans="1:8">
      <c r="A212" s="7">
        <v>0.05</v>
      </c>
      <c r="B212" s="7">
        <v>80</v>
      </c>
      <c r="C212" s="7">
        <v>4</v>
      </c>
      <c r="D212" s="7">
        <v>0.1</v>
      </c>
      <c r="E212" s="7">
        <v>0</v>
      </c>
      <c r="F212" s="7">
        <v>26.29588445652411</v>
      </c>
      <c r="G212" s="7">
        <v>22.29588445652411</v>
      </c>
      <c r="H212" s="7" t="b">
        <v>1</v>
      </c>
    </row>
    <row r="213" spans="1:8">
      <c r="A213" s="7">
        <v>0.05</v>
      </c>
      <c r="B213" s="7">
        <v>80</v>
      </c>
      <c r="C213" s="7">
        <v>4</v>
      </c>
      <c r="D213" s="7">
        <v>0.1</v>
      </c>
      <c r="E213" s="7">
        <v>0.05</v>
      </c>
      <c r="F213" s="7">
        <v>28.16801239809584</v>
      </c>
      <c r="G213" s="7">
        <v>24.16801239809584</v>
      </c>
      <c r="H213" s="7" t="b">
        <v>1</v>
      </c>
    </row>
    <row r="214" spans="1:8">
      <c r="A214" s="7">
        <v>0.05</v>
      </c>
      <c r="B214" s="7">
        <v>80</v>
      </c>
      <c r="C214" s="7">
        <v>4</v>
      </c>
      <c r="D214" s="7">
        <v>0.1</v>
      </c>
      <c r="E214" s="7">
        <v>0.15</v>
      </c>
      <c r="F214" s="7">
        <v>31.9122682812393</v>
      </c>
      <c r="G214" s="7">
        <v>27.9122682812393</v>
      </c>
      <c r="H214" s="7" t="b">
        <v>1</v>
      </c>
    </row>
    <row r="215" spans="1:8">
      <c r="A215" s="7">
        <v>0.05</v>
      </c>
      <c r="B215" s="7">
        <v>80</v>
      </c>
      <c r="C215" s="7">
        <v>10</v>
      </c>
      <c r="D215" s="7">
        <v>0</v>
      </c>
      <c r="E215" s="7">
        <v>0</v>
      </c>
      <c r="F215" s="7">
        <v>20.30552494957077</v>
      </c>
      <c r="G215" s="7">
        <v>10.30552494957077</v>
      </c>
      <c r="H215" s="7" t="b">
        <v>1</v>
      </c>
    </row>
    <row r="216" spans="1:8">
      <c r="A216" s="7">
        <v>0.05</v>
      </c>
      <c r="B216" s="7">
        <v>80</v>
      </c>
      <c r="C216" s="7">
        <v>10</v>
      </c>
      <c r="D216" s="7">
        <v>0</v>
      </c>
      <c r="E216" s="7">
        <v>0.05</v>
      </c>
      <c r="F216" s="7">
        <v>22.1776528911425</v>
      </c>
      <c r="G216" s="7">
        <v>12.1776528911425</v>
      </c>
      <c r="H216" s="7" t="b">
        <v>1</v>
      </c>
    </row>
    <row r="217" spans="1:8">
      <c r="A217" s="7">
        <v>0.05</v>
      </c>
      <c r="B217" s="7">
        <v>80</v>
      </c>
      <c r="C217" s="7">
        <v>10</v>
      </c>
      <c r="D217" s="7">
        <v>0</v>
      </c>
      <c r="E217" s="7">
        <v>0.15</v>
      </c>
      <c r="F217" s="7">
        <v>25.92190877428595</v>
      </c>
      <c r="G217" s="7">
        <v>15.92190877428595</v>
      </c>
      <c r="H217" s="7" t="b">
        <v>1</v>
      </c>
    </row>
    <row r="218" spans="1:8">
      <c r="A218" s="7">
        <v>0.05</v>
      </c>
      <c r="B218" s="7">
        <v>80</v>
      </c>
      <c r="C218" s="7">
        <v>10</v>
      </c>
      <c r="D218" s="7">
        <v>0.1</v>
      </c>
      <c r="E218" s="7">
        <v>0</v>
      </c>
      <c r="F218" s="7">
        <v>26.29588445652411</v>
      </c>
      <c r="G218" s="7">
        <v>16.29588445652411</v>
      </c>
      <c r="H218" s="7" t="b">
        <v>1</v>
      </c>
    </row>
    <row r="219" spans="1:8">
      <c r="A219" s="7">
        <v>0.05</v>
      </c>
      <c r="B219" s="7">
        <v>80</v>
      </c>
      <c r="C219" s="7">
        <v>10</v>
      </c>
      <c r="D219" s="7">
        <v>0.1</v>
      </c>
      <c r="E219" s="7">
        <v>0.05</v>
      </c>
      <c r="F219" s="7">
        <v>28.16801239809584</v>
      </c>
      <c r="G219" s="7">
        <v>18.16801239809584</v>
      </c>
      <c r="H219" s="7" t="b">
        <v>1</v>
      </c>
    </row>
    <row r="220" spans="1:8">
      <c r="A220" s="7">
        <v>0.05</v>
      </c>
      <c r="B220" s="7">
        <v>80</v>
      </c>
      <c r="C220" s="7">
        <v>10</v>
      </c>
      <c r="D220" s="7">
        <v>0.1</v>
      </c>
      <c r="E220" s="7">
        <v>0.15</v>
      </c>
      <c r="F220" s="7">
        <v>31.9122682812393</v>
      </c>
      <c r="G220" s="7">
        <v>21.9122682812393</v>
      </c>
      <c r="H220" s="7" t="b">
        <v>1</v>
      </c>
    </row>
    <row r="221" spans="1:8">
      <c r="A221" s="7">
        <v>0.1</v>
      </c>
      <c r="B221" s="7">
        <v>10</v>
      </c>
      <c r="C221" s="7">
        <v>1</v>
      </c>
      <c r="D221" s="7">
        <v>0</v>
      </c>
      <c r="E221" s="7">
        <v>0</v>
      </c>
      <c r="F221" s="7">
        <v>-0.5921902998439497</v>
      </c>
      <c r="G221" s="7">
        <v>-1.59219029984395</v>
      </c>
      <c r="H221" s="7" t="b">
        <v>0</v>
      </c>
    </row>
    <row r="222" spans="1:8">
      <c r="A222" s="7">
        <v>0.1</v>
      </c>
      <c r="B222" s="7">
        <v>10</v>
      </c>
      <c r="C222" s="7">
        <v>1</v>
      </c>
      <c r="D222" s="7">
        <v>0</v>
      </c>
      <c r="E222" s="7">
        <v>0.05</v>
      </c>
      <c r="F222" s="7">
        <v>1.279937641727777</v>
      </c>
      <c r="G222" s="7">
        <v>0.2799376417277766</v>
      </c>
      <c r="H222" s="7" t="b">
        <v>1</v>
      </c>
    </row>
    <row r="223" spans="1:8">
      <c r="A223" s="7">
        <v>0.1</v>
      </c>
      <c r="B223" s="7">
        <v>10</v>
      </c>
      <c r="C223" s="7">
        <v>1</v>
      </c>
      <c r="D223" s="7">
        <v>0</v>
      </c>
      <c r="E223" s="7">
        <v>0.15</v>
      </c>
      <c r="F223" s="7">
        <v>5.024193524871228</v>
      </c>
      <c r="G223" s="7">
        <v>4.024193524871228</v>
      </c>
      <c r="H223" s="7" t="b">
        <v>1</v>
      </c>
    </row>
    <row r="224" spans="1:8">
      <c r="A224" s="7">
        <v>0.1</v>
      </c>
      <c r="B224" s="7">
        <v>10</v>
      </c>
      <c r="C224" s="7">
        <v>1</v>
      </c>
      <c r="D224" s="7">
        <v>0.1</v>
      </c>
      <c r="E224" s="7">
        <v>0</v>
      </c>
      <c r="F224" s="7">
        <v>2.012037191148102</v>
      </c>
      <c r="G224" s="7">
        <v>1.012037191148102</v>
      </c>
      <c r="H224" s="7" t="b">
        <v>1</v>
      </c>
    </row>
    <row r="225" spans="1:8">
      <c r="A225" s="7">
        <v>0.1</v>
      </c>
      <c r="B225" s="7">
        <v>10</v>
      </c>
      <c r="C225" s="7">
        <v>1</v>
      </c>
      <c r="D225" s="7">
        <v>0.1</v>
      </c>
      <c r="E225" s="7">
        <v>0.05</v>
      </c>
      <c r="F225" s="7">
        <v>3.884165132719828</v>
      </c>
      <c r="G225" s="7">
        <v>2.884165132719828</v>
      </c>
      <c r="H225" s="7" t="b">
        <v>1</v>
      </c>
    </row>
    <row r="226" spans="1:8">
      <c r="A226" s="7">
        <v>0.1</v>
      </c>
      <c r="B226" s="7">
        <v>10</v>
      </c>
      <c r="C226" s="7">
        <v>1</v>
      </c>
      <c r="D226" s="7">
        <v>0.1</v>
      </c>
      <c r="E226" s="7">
        <v>0.15</v>
      </c>
      <c r="F226" s="7">
        <v>7.62842101586328</v>
      </c>
      <c r="G226" s="7">
        <v>6.62842101586328</v>
      </c>
      <c r="H226" s="7" t="b">
        <v>1</v>
      </c>
    </row>
    <row r="227" spans="1:8">
      <c r="A227" s="7">
        <v>0.1</v>
      </c>
      <c r="B227" s="7">
        <v>10</v>
      </c>
      <c r="C227" s="7">
        <v>4</v>
      </c>
      <c r="D227" s="7">
        <v>0</v>
      </c>
      <c r="E227" s="7">
        <v>0</v>
      </c>
      <c r="F227" s="7">
        <v>-0.5921902998439497</v>
      </c>
      <c r="G227" s="7">
        <v>-4.592190299843949</v>
      </c>
      <c r="H227" s="7" t="b">
        <v>0</v>
      </c>
    </row>
    <row r="228" spans="1:8">
      <c r="A228" s="7">
        <v>0.1</v>
      </c>
      <c r="B228" s="7">
        <v>10</v>
      </c>
      <c r="C228" s="7">
        <v>4</v>
      </c>
      <c r="D228" s="7">
        <v>0</v>
      </c>
      <c r="E228" s="7">
        <v>0.05</v>
      </c>
      <c r="F228" s="7">
        <v>1.279937641727777</v>
      </c>
      <c r="G228" s="7">
        <v>-2.720062358272223</v>
      </c>
      <c r="H228" s="7" t="b">
        <v>0</v>
      </c>
    </row>
    <row r="229" spans="1:8">
      <c r="A229" s="7">
        <v>0.1</v>
      </c>
      <c r="B229" s="7">
        <v>10</v>
      </c>
      <c r="C229" s="7">
        <v>4</v>
      </c>
      <c r="D229" s="7">
        <v>0</v>
      </c>
      <c r="E229" s="7">
        <v>0.15</v>
      </c>
      <c r="F229" s="7">
        <v>5.024193524871228</v>
      </c>
      <c r="G229" s="7">
        <v>1.024193524871228</v>
      </c>
      <c r="H229" s="7" t="b">
        <v>1</v>
      </c>
    </row>
    <row r="230" spans="1:8">
      <c r="A230" s="7">
        <v>0.1</v>
      </c>
      <c r="B230" s="7">
        <v>10</v>
      </c>
      <c r="C230" s="7">
        <v>4</v>
      </c>
      <c r="D230" s="7">
        <v>0.1</v>
      </c>
      <c r="E230" s="7">
        <v>0</v>
      </c>
      <c r="F230" s="7">
        <v>2.012037191148102</v>
      </c>
      <c r="G230" s="7">
        <v>-1.987962808851898</v>
      </c>
      <c r="H230" s="7" t="b">
        <v>0</v>
      </c>
    </row>
    <row r="231" spans="1:8">
      <c r="A231" s="7">
        <v>0.1</v>
      </c>
      <c r="B231" s="7">
        <v>10</v>
      </c>
      <c r="C231" s="7">
        <v>4</v>
      </c>
      <c r="D231" s="7">
        <v>0.1</v>
      </c>
      <c r="E231" s="7">
        <v>0.05</v>
      </c>
      <c r="F231" s="7">
        <v>3.884165132719828</v>
      </c>
      <c r="G231" s="7">
        <v>-0.1158348672801721</v>
      </c>
      <c r="H231" s="7" t="b">
        <v>0</v>
      </c>
    </row>
    <row r="232" spans="1:8">
      <c r="A232" s="7">
        <v>0.1</v>
      </c>
      <c r="B232" s="7">
        <v>10</v>
      </c>
      <c r="C232" s="7">
        <v>4</v>
      </c>
      <c r="D232" s="7">
        <v>0.1</v>
      </c>
      <c r="E232" s="7">
        <v>0.15</v>
      </c>
      <c r="F232" s="7">
        <v>7.62842101586328</v>
      </c>
      <c r="G232" s="7">
        <v>3.62842101586328</v>
      </c>
      <c r="H232" s="7" t="b">
        <v>1</v>
      </c>
    </row>
    <row r="233" spans="1:8">
      <c r="A233" s="7">
        <v>0.1</v>
      </c>
      <c r="B233" s="7">
        <v>10</v>
      </c>
      <c r="C233" s="7">
        <v>10</v>
      </c>
      <c r="D233" s="7">
        <v>0</v>
      </c>
      <c r="E233" s="7">
        <v>0</v>
      </c>
      <c r="F233" s="7">
        <v>-0.5921902998439497</v>
      </c>
      <c r="G233" s="7">
        <v>-10.59219029984395</v>
      </c>
      <c r="H233" s="7" t="b">
        <v>0</v>
      </c>
    </row>
    <row r="234" spans="1:8">
      <c r="A234" s="7">
        <v>0.1</v>
      </c>
      <c r="B234" s="7">
        <v>10</v>
      </c>
      <c r="C234" s="7">
        <v>10</v>
      </c>
      <c r="D234" s="7">
        <v>0</v>
      </c>
      <c r="E234" s="7">
        <v>0.05</v>
      </c>
      <c r="F234" s="7">
        <v>1.279937641727777</v>
      </c>
      <c r="G234" s="7">
        <v>-8.720062358272223</v>
      </c>
      <c r="H234" s="7" t="b">
        <v>0</v>
      </c>
    </row>
    <row r="235" spans="1:8">
      <c r="A235" s="7">
        <v>0.1</v>
      </c>
      <c r="B235" s="7">
        <v>10</v>
      </c>
      <c r="C235" s="7">
        <v>10</v>
      </c>
      <c r="D235" s="7">
        <v>0</v>
      </c>
      <c r="E235" s="7">
        <v>0.15</v>
      </c>
      <c r="F235" s="7">
        <v>5.024193524871228</v>
      </c>
      <c r="G235" s="7">
        <v>-4.975806475128772</v>
      </c>
      <c r="H235" s="7" t="b">
        <v>0</v>
      </c>
    </row>
    <row r="236" spans="1:8">
      <c r="A236" s="7">
        <v>0.1</v>
      </c>
      <c r="B236" s="7">
        <v>10</v>
      </c>
      <c r="C236" s="7">
        <v>10</v>
      </c>
      <c r="D236" s="7">
        <v>0.1</v>
      </c>
      <c r="E236" s="7">
        <v>0</v>
      </c>
      <c r="F236" s="7">
        <v>2.012037191148102</v>
      </c>
      <c r="G236" s="7">
        <v>-7.987962808851898</v>
      </c>
      <c r="H236" s="7" t="b">
        <v>0</v>
      </c>
    </row>
    <row r="237" spans="1:8">
      <c r="A237" s="7">
        <v>0.1</v>
      </c>
      <c r="B237" s="7">
        <v>10</v>
      </c>
      <c r="C237" s="7">
        <v>10</v>
      </c>
      <c r="D237" s="7">
        <v>0.1</v>
      </c>
      <c r="E237" s="7">
        <v>0.05</v>
      </c>
      <c r="F237" s="7">
        <v>3.884165132719828</v>
      </c>
      <c r="G237" s="7">
        <v>-6.115834867280173</v>
      </c>
      <c r="H237" s="7" t="b">
        <v>0</v>
      </c>
    </row>
    <row r="238" spans="1:8">
      <c r="A238" s="7">
        <v>0.1</v>
      </c>
      <c r="B238" s="7">
        <v>10</v>
      </c>
      <c r="C238" s="7">
        <v>10</v>
      </c>
      <c r="D238" s="7">
        <v>0.1</v>
      </c>
      <c r="E238" s="7">
        <v>0.15</v>
      </c>
      <c r="F238" s="7">
        <v>7.62842101586328</v>
      </c>
      <c r="G238" s="7">
        <v>-2.37157898413672</v>
      </c>
      <c r="H238" s="7" t="b">
        <v>0</v>
      </c>
    </row>
    <row r="239" spans="1:8">
      <c r="A239" s="7">
        <v>0.1</v>
      </c>
      <c r="B239" s="7">
        <v>20</v>
      </c>
      <c r="C239" s="7">
        <v>1</v>
      </c>
      <c r="D239" s="7">
        <v>0</v>
      </c>
      <c r="E239" s="7">
        <v>0</v>
      </c>
      <c r="F239" s="7">
        <v>4.203607909217481</v>
      </c>
      <c r="G239" s="7">
        <v>3.203607909217481</v>
      </c>
      <c r="H239" s="7" t="b">
        <v>1</v>
      </c>
    </row>
    <row r="240" spans="1:8">
      <c r="A240" s="7">
        <v>0.1</v>
      </c>
      <c r="B240" s="7">
        <v>20</v>
      </c>
      <c r="C240" s="7">
        <v>1</v>
      </c>
      <c r="D240" s="7">
        <v>0</v>
      </c>
      <c r="E240" s="7">
        <v>0.05</v>
      </c>
      <c r="F240" s="7">
        <v>6.075735850789207</v>
      </c>
      <c r="G240" s="7">
        <v>5.075735850789207</v>
      </c>
      <c r="H240" s="7" t="b">
        <v>1</v>
      </c>
    </row>
    <row r="241" spans="1:8">
      <c r="A241" s="7">
        <v>0.1</v>
      </c>
      <c r="B241" s="7">
        <v>20</v>
      </c>
      <c r="C241" s="7">
        <v>1</v>
      </c>
      <c r="D241" s="7">
        <v>0</v>
      </c>
      <c r="E241" s="7">
        <v>0.15</v>
      </c>
      <c r="F241" s="7">
        <v>9.819991733932659</v>
      </c>
      <c r="G241" s="7">
        <v>8.819991733932659</v>
      </c>
      <c r="H241" s="7" t="b">
        <v>1</v>
      </c>
    </row>
    <row r="242" spans="1:8">
      <c r="A242" s="7">
        <v>0.1</v>
      </c>
      <c r="B242" s="7">
        <v>20</v>
      </c>
      <c r="C242" s="7">
        <v>1</v>
      </c>
      <c r="D242" s="7">
        <v>0.1</v>
      </c>
      <c r="E242" s="7">
        <v>0</v>
      </c>
      <c r="F242" s="7">
        <v>8.723089763994682</v>
      </c>
      <c r="G242" s="7">
        <v>7.723089763994682</v>
      </c>
      <c r="H242" s="7" t="b">
        <v>1</v>
      </c>
    </row>
    <row r="243" spans="1:8">
      <c r="A243" s="7">
        <v>0.1</v>
      </c>
      <c r="B243" s="7">
        <v>20</v>
      </c>
      <c r="C243" s="7">
        <v>1</v>
      </c>
      <c r="D243" s="7">
        <v>0.1</v>
      </c>
      <c r="E243" s="7">
        <v>0.05</v>
      </c>
      <c r="F243" s="7">
        <v>10.59521770556641</v>
      </c>
      <c r="G243" s="7">
        <v>9.595217705566409</v>
      </c>
      <c r="H243" s="7" t="b">
        <v>1</v>
      </c>
    </row>
    <row r="244" spans="1:8">
      <c r="A244" s="7">
        <v>0.1</v>
      </c>
      <c r="B244" s="7">
        <v>20</v>
      </c>
      <c r="C244" s="7">
        <v>1</v>
      </c>
      <c r="D244" s="7">
        <v>0.1</v>
      </c>
      <c r="E244" s="7">
        <v>0.15</v>
      </c>
      <c r="F244" s="7">
        <v>14.33947358870986</v>
      </c>
      <c r="G244" s="7">
        <v>13.33947358870986</v>
      </c>
      <c r="H244" s="7" t="b">
        <v>1</v>
      </c>
    </row>
    <row r="245" spans="1:8">
      <c r="A245" s="7">
        <v>0.1</v>
      </c>
      <c r="B245" s="7">
        <v>20</v>
      </c>
      <c r="C245" s="7">
        <v>4</v>
      </c>
      <c r="D245" s="7">
        <v>0</v>
      </c>
      <c r="E245" s="7">
        <v>0</v>
      </c>
      <c r="F245" s="7">
        <v>4.203607909217481</v>
      </c>
      <c r="G245" s="7">
        <v>0.2036079092174807</v>
      </c>
      <c r="H245" s="7" t="b">
        <v>1</v>
      </c>
    </row>
    <row r="246" spans="1:8">
      <c r="A246" s="7">
        <v>0.1</v>
      </c>
      <c r="B246" s="7">
        <v>20</v>
      </c>
      <c r="C246" s="7">
        <v>4</v>
      </c>
      <c r="D246" s="7">
        <v>0</v>
      </c>
      <c r="E246" s="7">
        <v>0.05</v>
      </c>
      <c r="F246" s="7">
        <v>6.075735850789207</v>
      </c>
      <c r="G246" s="7">
        <v>2.075735850789207</v>
      </c>
      <c r="H246" s="7" t="b">
        <v>1</v>
      </c>
    </row>
    <row r="247" spans="1:8">
      <c r="A247" s="7">
        <v>0.1</v>
      </c>
      <c r="B247" s="7">
        <v>20</v>
      </c>
      <c r="C247" s="7">
        <v>4</v>
      </c>
      <c r="D247" s="7">
        <v>0</v>
      </c>
      <c r="E247" s="7">
        <v>0.15</v>
      </c>
      <c r="F247" s="7">
        <v>9.819991733932659</v>
      </c>
      <c r="G247" s="7">
        <v>5.819991733932659</v>
      </c>
      <c r="H247" s="7" t="b">
        <v>1</v>
      </c>
    </row>
    <row r="248" spans="1:8">
      <c r="A248" s="7">
        <v>0.1</v>
      </c>
      <c r="B248" s="7">
        <v>20</v>
      </c>
      <c r="C248" s="7">
        <v>4</v>
      </c>
      <c r="D248" s="7">
        <v>0.1</v>
      </c>
      <c r="E248" s="7">
        <v>0</v>
      </c>
      <c r="F248" s="7">
        <v>8.723089763994682</v>
      </c>
      <c r="G248" s="7">
        <v>4.723089763994682</v>
      </c>
      <c r="H248" s="7" t="b">
        <v>1</v>
      </c>
    </row>
    <row r="249" spans="1:8">
      <c r="A249" s="7">
        <v>0.1</v>
      </c>
      <c r="B249" s="7">
        <v>20</v>
      </c>
      <c r="C249" s="7">
        <v>4</v>
      </c>
      <c r="D249" s="7">
        <v>0.1</v>
      </c>
      <c r="E249" s="7">
        <v>0.05</v>
      </c>
      <c r="F249" s="7">
        <v>10.59521770556641</v>
      </c>
      <c r="G249" s="7">
        <v>6.595217705566409</v>
      </c>
      <c r="H249" s="7" t="b">
        <v>1</v>
      </c>
    </row>
    <row r="250" spans="1:8">
      <c r="A250" s="7">
        <v>0.1</v>
      </c>
      <c r="B250" s="7">
        <v>20</v>
      </c>
      <c r="C250" s="7">
        <v>4</v>
      </c>
      <c r="D250" s="7">
        <v>0.1</v>
      </c>
      <c r="E250" s="7">
        <v>0.15</v>
      </c>
      <c r="F250" s="7">
        <v>14.33947358870986</v>
      </c>
      <c r="G250" s="7">
        <v>10.33947358870986</v>
      </c>
      <c r="H250" s="7" t="b">
        <v>1</v>
      </c>
    </row>
    <row r="251" spans="1:8">
      <c r="A251" s="7">
        <v>0.1</v>
      </c>
      <c r="B251" s="7">
        <v>20</v>
      </c>
      <c r="C251" s="7">
        <v>10</v>
      </c>
      <c r="D251" s="7">
        <v>0</v>
      </c>
      <c r="E251" s="7">
        <v>0</v>
      </c>
      <c r="F251" s="7">
        <v>4.203607909217481</v>
      </c>
      <c r="G251" s="7">
        <v>-5.796392090782519</v>
      </c>
      <c r="H251" s="7" t="b">
        <v>0</v>
      </c>
    </row>
    <row r="252" spans="1:8">
      <c r="A252" s="7">
        <v>0.1</v>
      </c>
      <c r="B252" s="7">
        <v>20</v>
      </c>
      <c r="C252" s="7">
        <v>10</v>
      </c>
      <c r="D252" s="7">
        <v>0</v>
      </c>
      <c r="E252" s="7">
        <v>0.05</v>
      </c>
      <c r="F252" s="7">
        <v>6.075735850789207</v>
      </c>
      <c r="G252" s="7">
        <v>-3.924264149210793</v>
      </c>
      <c r="H252" s="7" t="b">
        <v>0</v>
      </c>
    </row>
    <row r="253" spans="1:8">
      <c r="A253" s="7">
        <v>0.1</v>
      </c>
      <c r="B253" s="7">
        <v>20</v>
      </c>
      <c r="C253" s="7">
        <v>10</v>
      </c>
      <c r="D253" s="7">
        <v>0</v>
      </c>
      <c r="E253" s="7">
        <v>0.15</v>
      </c>
      <c r="F253" s="7">
        <v>9.819991733932659</v>
      </c>
      <c r="G253" s="7">
        <v>-0.1800082660673414</v>
      </c>
      <c r="H253" s="7" t="b">
        <v>0</v>
      </c>
    </row>
    <row r="254" spans="1:8">
      <c r="A254" s="7">
        <v>0.1</v>
      </c>
      <c r="B254" s="7">
        <v>20</v>
      </c>
      <c r="C254" s="7">
        <v>10</v>
      </c>
      <c r="D254" s="7">
        <v>0.1</v>
      </c>
      <c r="E254" s="7">
        <v>0</v>
      </c>
      <c r="F254" s="7">
        <v>8.723089763994682</v>
      </c>
      <c r="G254" s="7">
        <v>-1.276910236005318</v>
      </c>
      <c r="H254" s="7" t="b">
        <v>0</v>
      </c>
    </row>
    <row r="255" spans="1:8">
      <c r="A255" s="7">
        <v>0.1</v>
      </c>
      <c r="B255" s="7">
        <v>20</v>
      </c>
      <c r="C255" s="7">
        <v>10</v>
      </c>
      <c r="D255" s="7">
        <v>0.1</v>
      </c>
      <c r="E255" s="7">
        <v>0.05</v>
      </c>
      <c r="F255" s="7">
        <v>10.59521770556641</v>
      </c>
      <c r="G255" s="7">
        <v>0.5952177055664087</v>
      </c>
      <c r="H255" s="7" t="b">
        <v>1</v>
      </c>
    </row>
    <row r="256" spans="1:8">
      <c r="A256" s="7">
        <v>0.1</v>
      </c>
      <c r="B256" s="7">
        <v>20</v>
      </c>
      <c r="C256" s="7">
        <v>10</v>
      </c>
      <c r="D256" s="7">
        <v>0.1</v>
      </c>
      <c r="E256" s="7">
        <v>0.15</v>
      </c>
      <c r="F256" s="7">
        <v>14.33947358870986</v>
      </c>
      <c r="G256" s="7">
        <v>4.339473588709859</v>
      </c>
      <c r="H256" s="7" t="b">
        <v>1</v>
      </c>
    </row>
    <row r="257" spans="1:8">
      <c r="A257" s="7">
        <v>0.1</v>
      </c>
      <c r="B257" s="7">
        <v>40</v>
      </c>
      <c r="C257" s="7">
        <v>1</v>
      </c>
      <c r="D257" s="7">
        <v>0</v>
      </c>
      <c r="E257" s="7">
        <v>0</v>
      </c>
      <c r="F257" s="7">
        <v>13.79520432734034</v>
      </c>
      <c r="G257" s="7">
        <v>12.79520432734034</v>
      </c>
      <c r="H257" s="7" t="b">
        <v>1</v>
      </c>
    </row>
    <row r="258" spans="1:8">
      <c r="A258" s="7">
        <v>0.1</v>
      </c>
      <c r="B258" s="7">
        <v>40</v>
      </c>
      <c r="C258" s="7">
        <v>1</v>
      </c>
      <c r="D258" s="7">
        <v>0</v>
      </c>
      <c r="E258" s="7">
        <v>0.05</v>
      </c>
      <c r="F258" s="7">
        <v>15.66733226891207</v>
      </c>
      <c r="G258" s="7">
        <v>14.66733226891207</v>
      </c>
      <c r="H258" s="7" t="b">
        <v>1</v>
      </c>
    </row>
    <row r="259" spans="1:8">
      <c r="A259" s="7">
        <v>0.1</v>
      </c>
      <c r="B259" s="7">
        <v>40</v>
      </c>
      <c r="C259" s="7">
        <v>1</v>
      </c>
      <c r="D259" s="7">
        <v>0</v>
      </c>
      <c r="E259" s="7">
        <v>0.15</v>
      </c>
      <c r="F259" s="7">
        <v>19.41158815205552</v>
      </c>
      <c r="G259" s="7">
        <v>18.41158815205552</v>
      </c>
      <c r="H259" s="7" t="b">
        <v>1</v>
      </c>
    </row>
    <row r="260" spans="1:8">
      <c r="A260" s="7">
        <v>0.1</v>
      </c>
      <c r="B260" s="7">
        <v>40</v>
      </c>
      <c r="C260" s="7">
        <v>1</v>
      </c>
      <c r="D260" s="7">
        <v>0.1</v>
      </c>
      <c r="E260" s="7">
        <v>0</v>
      </c>
      <c r="F260" s="7">
        <v>22.14519490968784</v>
      </c>
      <c r="G260" s="7">
        <v>21.14519490968784</v>
      </c>
      <c r="H260" s="7" t="b">
        <v>1</v>
      </c>
    </row>
    <row r="261" spans="1:8">
      <c r="A261" s="7">
        <v>0.1</v>
      </c>
      <c r="B261" s="7">
        <v>40</v>
      </c>
      <c r="C261" s="7">
        <v>1</v>
      </c>
      <c r="D261" s="7">
        <v>0.1</v>
      </c>
      <c r="E261" s="7">
        <v>0.05</v>
      </c>
      <c r="F261" s="7">
        <v>24.01732285125957</v>
      </c>
      <c r="G261" s="7">
        <v>23.01732285125957</v>
      </c>
      <c r="H261" s="7" t="b">
        <v>1</v>
      </c>
    </row>
    <row r="262" spans="1:8">
      <c r="A262" s="7">
        <v>0.1</v>
      </c>
      <c r="B262" s="7">
        <v>40</v>
      </c>
      <c r="C262" s="7">
        <v>1</v>
      </c>
      <c r="D262" s="7">
        <v>0.1</v>
      </c>
      <c r="E262" s="7">
        <v>0.15</v>
      </c>
      <c r="F262" s="7">
        <v>27.76157873440302</v>
      </c>
      <c r="G262" s="7">
        <v>26.76157873440302</v>
      </c>
      <c r="H262" s="7" t="b">
        <v>1</v>
      </c>
    </row>
    <row r="263" spans="1:8">
      <c r="A263" s="7">
        <v>0.1</v>
      </c>
      <c r="B263" s="7">
        <v>40</v>
      </c>
      <c r="C263" s="7">
        <v>4</v>
      </c>
      <c r="D263" s="7">
        <v>0</v>
      </c>
      <c r="E263" s="7">
        <v>0</v>
      </c>
      <c r="F263" s="7">
        <v>13.79520432734034</v>
      </c>
      <c r="G263" s="7">
        <v>9.795204327340343</v>
      </c>
      <c r="H263" s="7" t="b">
        <v>1</v>
      </c>
    </row>
    <row r="264" spans="1:8">
      <c r="A264" s="7">
        <v>0.1</v>
      </c>
      <c r="B264" s="7">
        <v>40</v>
      </c>
      <c r="C264" s="7">
        <v>4</v>
      </c>
      <c r="D264" s="7">
        <v>0</v>
      </c>
      <c r="E264" s="7">
        <v>0.05</v>
      </c>
      <c r="F264" s="7">
        <v>15.66733226891207</v>
      </c>
      <c r="G264" s="7">
        <v>11.66733226891207</v>
      </c>
      <c r="H264" s="7" t="b">
        <v>1</v>
      </c>
    </row>
    <row r="265" spans="1:8">
      <c r="A265" s="7">
        <v>0.1</v>
      </c>
      <c r="B265" s="7">
        <v>40</v>
      </c>
      <c r="C265" s="7">
        <v>4</v>
      </c>
      <c r="D265" s="7">
        <v>0</v>
      </c>
      <c r="E265" s="7">
        <v>0.15</v>
      </c>
      <c r="F265" s="7">
        <v>19.41158815205552</v>
      </c>
      <c r="G265" s="7">
        <v>15.41158815205552</v>
      </c>
      <c r="H265" s="7" t="b">
        <v>1</v>
      </c>
    </row>
    <row r="266" spans="1:8">
      <c r="A266" s="7">
        <v>0.1</v>
      </c>
      <c r="B266" s="7">
        <v>40</v>
      </c>
      <c r="C266" s="7">
        <v>4</v>
      </c>
      <c r="D266" s="7">
        <v>0.1</v>
      </c>
      <c r="E266" s="7">
        <v>0</v>
      </c>
      <c r="F266" s="7">
        <v>22.14519490968784</v>
      </c>
      <c r="G266" s="7">
        <v>18.14519490968784</v>
      </c>
      <c r="H266" s="7" t="b">
        <v>1</v>
      </c>
    </row>
    <row r="267" spans="1:8">
      <c r="A267" s="7">
        <v>0.1</v>
      </c>
      <c r="B267" s="7">
        <v>40</v>
      </c>
      <c r="C267" s="7">
        <v>4</v>
      </c>
      <c r="D267" s="7">
        <v>0.1</v>
      </c>
      <c r="E267" s="7">
        <v>0.05</v>
      </c>
      <c r="F267" s="7">
        <v>24.01732285125957</v>
      </c>
      <c r="G267" s="7">
        <v>20.01732285125957</v>
      </c>
      <c r="H267" s="7" t="b">
        <v>1</v>
      </c>
    </row>
    <row r="268" spans="1:8">
      <c r="A268" s="7">
        <v>0.1</v>
      </c>
      <c r="B268" s="7">
        <v>40</v>
      </c>
      <c r="C268" s="7">
        <v>4</v>
      </c>
      <c r="D268" s="7">
        <v>0.1</v>
      </c>
      <c r="E268" s="7">
        <v>0.15</v>
      </c>
      <c r="F268" s="7">
        <v>27.76157873440302</v>
      </c>
      <c r="G268" s="7">
        <v>23.76157873440302</v>
      </c>
      <c r="H268" s="7" t="b">
        <v>1</v>
      </c>
    </row>
    <row r="269" spans="1:8">
      <c r="A269" s="7">
        <v>0.1</v>
      </c>
      <c r="B269" s="7">
        <v>40</v>
      </c>
      <c r="C269" s="7">
        <v>10</v>
      </c>
      <c r="D269" s="7">
        <v>0</v>
      </c>
      <c r="E269" s="7">
        <v>0</v>
      </c>
      <c r="F269" s="7">
        <v>13.79520432734034</v>
      </c>
      <c r="G269" s="7">
        <v>3.795204327340343</v>
      </c>
      <c r="H269" s="7" t="b">
        <v>1</v>
      </c>
    </row>
    <row r="270" spans="1:8">
      <c r="A270" s="7">
        <v>0.1</v>
      </c>
      <c r="B270" s="7">
        <v>40</v>
      </c>
      <c r="C270" s="7">
        <v>10</v>
      </c>
      <c r="D270" s="7">
        <v>0</v>
      </c>
      <c r="E270" s="7">
        <v>0.05</v>
      </c>
      <c r="F270" s="7">
        <v>15.66733226891207</v>
      </c>
      <c r="G270" s="7">
        <v>5.667332268912068</v>
      </c>
      <c r="H270" s="7" t="b">
        <v>1</v>
      </c>
    </row>
    <row r="271" spans="1:8">
      <c r="A271" s="7">
        <v>0.1</v>
      </c>
      <c r="B271" s="7">
        <v>40</v>
      </c>
      <c r="C271" s="7">
        <v>10</v>
      </c>
      <c r="D271" s="7">
        <v>0</v>
      </c>
      <c r="E271" s="7">
        <v>0.15</v>
      </c>
      <c r="F271" s="7">
        <v>19.41158815205552</v>
      </c>
      <c r="G271" s="7">
        <v>9.411588152055522</v>
      </c>
      <c r="H271" s="7" t="b">
        <v>1</v>
      </c>
    </row>
    <row r="272" spans="1:8">
      <c r="A272" s="7">
        <v>0.1</v>
      </c>
      <c r="B272" s="7">
        <v>40</v>
      </c>
      <c r="C272" s="7">
        <v>10</v>
      </c>
      <c r="D272" s="7">
        <v>0.1</v>
      </c>
      <c r="E272" s="7">
        <v>0</v>
      </c>
      <c r="F272" s="7">
        <v>22.14519490968784</v>
      </c>
      <c r="G272" s="7">
        <v>12.14519490968784</v>
      </c>
      <c r="H272" s="7" t="b">
        <v>1</v>
      </c>
    </row>
    <row r="273" spans="1:8">
      <c r="A273" s="7">
        <v>0.1</v>
      </c>
      <c r="B273" s="7">
        <v>40</v>
      </c>
      <c r="C273" s="7">
        <v>10</v>
      </c>
      <c r="D273" s="7">
        <v>0.1</v>
      </c>
      <c r="E273" s="7">
        <v>0.05</v>
      </c>
      <c r="F273" s="7">
        <v>24.01732285125957</v>
      </c>
      <c r="G273" s="7">
        <v>14.01732285125957</v>
      </c>
      <c r="H273" s="7" t="b">
        <v>1</v>
      </c>
    </row>
    <row r="274" spans="1:8">
      <c r="A274" s="7">
        <v>0.1</v>
      </c>
      <c r="B274" s="7">
        <v>40</v>
      </c>
      <c r="C274" s="7">
        <v>10</v>
      </c>
      <c r="D274" s="7">
        <v>0.1</v>
      </c>
      <c r="E274" s="7">
        <v>0.15</v>
      </c>
      <c r="F274" s="7">
        <v>27.76157873440302</v>
      </c>
      <c r="G274" s="7">
        <v>17.76157873440302</v>
      </c>
      <c r="H274" s="7" t="b">
        <v>1</v>
      </c>
    </row>
    <row r="275" spans="1:8">
      <c r="A275" s="7">
        <v>0.1</v>
      </c>
      <c r="B275" s="7">
        <v>80</v>
      </c>
      <c r="C275" s="7">
        <v>1</v>
      </c>
      <c r="D275" s="7">
        <v>0</v>
      </c>
      <c r="E275" s="7">
        <v>0</v>
      </c>
      <c r="F275" s="7">
        <v>32.97839716358607</v>
      </c>
      <c r="G275" s="7">
        <v>31.97839716358607</v>
      </c>
      <c r="H275" s="7" t="b">
        <v>1</v>
      </c>
    </row>
    <row r="276" spans="1:8">
      <c r="A276" s="7">
        <v>0.1</v>
      </c>
      <c r="B276" s="7">
        <v>80</v>
      </c>
      <c r="C276" s="7">
        <v>1</v>
      </c>
      <c r="D276" s="7">
        <v>0</v>
      </c>
      <c r="E276" s="7">
        <v>0.05</v>
      </c>
      <c r="F276" s="7">
        <v>34.85052510515779</v>
      </c>
      <c r="G276" s="7">
        <v>33.85052510515779</v>
      </c>
      <c r="H276" s="7" t="b">
        <v>1</v>
      </c>
    </row>
    <row r="277" spans="1:8">
      <c r="A277" s="7">
        <v>0.1</v>
      </c>
      <c r="B277" s="7">
        <v>80</v>
      </c>
      <c r="C277" s="7">
        <v>1</v>
      </c>
      <c r="D277" s="7">
        <v>0</v>
      </c>
      <c r="E277" s="7">
        <v>0.15</v>
      </c>
      <c r="F277" s="7">
        <v>38.59478098830125</v>
      </c>
      <c r="G277" s="7">
        <v>37.59478098830125</v>
      </c>
      <c r="H277" s="7" t="b">
        <v>1</v>
      </c>
    </row>
    <row r="278" spans="1:8">
      <c r="A278" s="7">
        <v>0.1</v>
      </c>
      <c r="B278" s="7">
        <v>80</v>
      </c>
      <c r="C278" s="7">
        <v>1</v>
      </c>
      <c r="D278" s="7">
        <v>0.1</v>
      </c>
      <c r="E278" s="7">
        <v>0</v>
      </c>
      <c r="F278" s="7">
        <v>48.98940520107416</v>
      </c>
      <c r="G278" s="7">
        <v>47.98940520107416</v>
      </c>
      <c r="H278" s="7" t="b">
        <v>1</v>
      </c>
    </row>
    <row r="279" spans="1:8">
      <c r="A279" s="7">
        <v>0.1</v>
      </c>
      <c r="B279" s="7">
        <v>80</v>
      </c>
      <c r="C279" s="7">
        <v>1</v>
      </c>
      <c r="D279" s="7">
        <v>0.1</v>
      </c>
      <c r="E279" s="7">
        <v>0.05</v>
      </c>
      <c r="F279" s="7">
        <v>50.86153314264589</v>
      </c>
      <c r="G279" s="7">
        <v>49.86153314264589</v>
      </c>
      <c r="H279" s="7" t="b">
        <v>1</v>
      </c>
    </row>
    <row r="280" spans="1:8">
      <c r="A280" s="7">
        <v>0.1</v>
      </c>
      <c r="B280" s="7">
        <v>80</v>
      </c>
      <c r="C280" s="7">
        <v>1</v>
      </c>
      <c r="D280" s="7">
        <v>0.1</v>
      </c>
      <c r="E280" s="7">
        <v>0.15</v>
      </c>
      <c r="F280" s="7">
        <v>54.60578902578934</v>
      </c>
      <c r="G280" s="7">
        <v>53.60578902578934</v>
      </c>
      <c r="H280" s="7" t="b">
        <v>1</v>
      </c>
    </row>
    <row r="281" spans="1:8">
      <c r="A281" s="7">
        <v>0.1</v>
      </c>
      <c r="B281" s="7">
        <v>80</v>
      </c>
      <c r="C281" s="7">
        <v>4</v>
      </c>
      <c r="D281" s="7">
        <v>0</v>
      </c>
      <c r="E281" s="7">
        <v>0</v>
      </c>
      <c r="F281" s="7">
        <v>32.97839716358607</v>
      </c>
      <c r="G281" s="7">
        <v>28.97839716358607</v>
      </c>
      <c r="H281" s="7" t="b">
        <v>1</v>
      </c>
    </row>
    <row r="282" spans="1:8">
      <c r="A282" s="7">
        <v>0.1</v>
      </c>
      <c r="B282" s="7">
        <v>80</v>
      </c>
      <c r="C282" s="7">
        <v>4</v>
      </c>
      <c r="D282" s="7">
        <v>0</v>
      </c>
      <c r="E282" s="7">
        <v>0.05</v>
      </c>
      <c r="F282" s="7">
        <v>34.85052510515779</v>
      </c>
      <c r="G282" s="7">
        <v>30.85052510515779</v>
      </c>
      <c r="H282" s="7" t="b">
        <v>1</v>
      </c>
    </row>
    <row r="283" spans="1:8">
      <c r="A283" s="7">
        <v>0.1</v>
      </c>
      <c r="B283" s="7">
        <v>80</v>
      </c>
      <c r="C283" s="7">
        <v>4</v>
      </c>
      <c r="D283" s="7">
        <v>0</v>
      </c>
      <c r="E283" s="7">
        <v>0.15</v>
      </c>
      <c r="F283" s="7">
        <v>38.59478098830125</v>
      </c>
      <c r="G283" s="7">
        <v>34.59478098830125</v>
      </c>
      <c r="H283" s="7" t="b">
        <v>1</v>
      </c>
    </row>
    <row r="284" spans="1:8">
      <c r="A284" s="7">
        <v>0.1</v>
      </c>
      <c r="B284" s="7">
        <v>80</v>
      </c>
      <c r="C284" s="7">
        <v>4</v>
      </c>
      <c r="D284" s="7">
        <v>0.1</v>
      </c>
      <c r="E284" s="7">
        <v>0</v>
      </c>
      <c r="F284" s="7">
        <v>48.98940520107416</v>
      </c>
      <c r="G284" s="7">
        <v>44.98940520107416</v>
      </c>
      <c r="H284" s="7" t="b">
        <v>1</v>
      </c>
    </row>
    <row r="285" spans="1:8">
      <c r="A285" s="7">
        <v>0.1</v>
      </c>
      <c r="B285" s="7">
        <v>80</v>
      </c>
      <c r="C285" s="7">
        <v>4</v>
      </c>
      <c r="D285" s="7">
        <v>0.1</v>
      </c>
      <c r="E285" s="7">
        <v>0.05</v>
      </c>
      <c r="F285" s="7">
        <v>50.86153314264589</v>
      </c>
      <c r="G285" s="7">
        <v>46.86153314264589</v>
      </c>
      <c r="H285" s="7" t="b">
        <v>1</v>
      </c>
    </row>
    <row r="286" spans="1:8">
      <c r="A286" s="7">
        <v>0.1</v>
      </c>
      <c r="B286" s="7">
        <v>80</v>
      </c>
      <c r="C286" s="7">
        <v>4</v>
      </c>
      <c r="D286" s="7">
        <v>0.1</v>
      </c>
      <c r="E286" s="7">
        <v>0.15</v>
      </c>
      <c r="F286" s="7">
        <v>54.60578902578934</v>
      </c>
      <c r="G286" s="7">
        <v>50.60578902578934</v>
      </c>
      <c r="H286" s="7" t="b">
        <v>1</v>
      </c>
    </row>
    <row r="287" spans="1:8">
      <c r="A287" s="7">
        <v>0.1</v>
      </c>
      <c r="B287" s="7">
        <v>80</v>
      </c>
      <c r="C287" s="7">
        <v>10</v>
      </c>
      <c r="D287" s="7">
        <v>0</v>
      </c>
      <c r="E287" s="7">
        <v>0</v>
      </c>
      <c r="F287" s="7">
        <v>32.97839716358607</v>
      </c>
      <c r="G287" s="7">
        <v>22.97839716358607</v>
      </c>
      <c r="H287" s="7" t="b">
        <v>1</v>
      </c>
    </row>
    <row r="288" spans="1:8">
      <c r="A288" s="7">
        <v>0.1</v>
      </c>
      <c r="B288" s="7">
        <v>80</v>
      </c>
      <c r="C288" s="7">
        <v>10</v>
      </c>
      <c r="D288" s="7">
        <v>0</v>
      </c>
      <c r="E288" s="7">
        <v>0.05</v>
      </c>
      <c r="F288" s="7">
        <v>34.85052510515779</v>
      </c>
      <c r="G288" s="7">
        <v>24.85052510515779</v>
      </c>
      <c r="H288" s="7" t="b">
        <v>1</v>
      </c>
    </row>
    <row r="289" spans="1:8">
      <c r="A289" s="7">
        <v>0.1</v>
      </c>
      <c r="B289" s="7">
        <v>80</v>
      </c>
      <c r="C289" s="7">
        <v>10</v>
      </c>
      <c r="D289" s="7">
        <v>0</v>
      </c>
      <c r="E289" s="7">
        <v>0.15</v>
      </c>
      <c r="F289" s="7">
        <v>38.59478098830125</v>
      </c>
      <c r="G289" s="7">
        <v>28.59478098830125</v>
      </c>
      <c r="H289" s="7" t="b">
        <v>1</v>
      </c>
    </row>
    <row r="290" spans="1:8">
      <c r="A290" s="7">
        <v>0.1</v>
      </c>
      <c r="B290" s="7">
        <v>80</v>
      </c>
      <c r="C290" s="7">
        <v>10</v>
      </c>
      <c r="D290" s="7">
        <v>0.1</v>
      </c>
      <c r="E290" s="7">
        <v>0</v>
      </c>
      <c r="F290" s="7">
        <v>48.98940520107416</v>
      </c>
      <c r="G290" s="7">
        <v>38.98940520107416</v>
      </c>
      <c r="H290" s="7" t="b">
        <v>1</v>
      </c>
    </row>
    <row r="291" spans="1:8">
      <c r="A291" s="7">
        <v>0.1</v>
      </c>
      <c r="B291" s="7">
        <v>80</v>
      </c>
      <c r="C291" s="7">
        <v>10</v>
      </c>
      <c r="D291" s="7">
        <v>0.1</v>
      </c>
      <c r="E291" s="7">
        <v>0.05</v>
      </c>
      <c r="F291" s="7">
        <v>50.86153314264589</v>
      </c>
      <c r="G291" s="7">
        <v>40.86153314264589</v>
      </c>
      <c r="H291" s="7" t="b">
        <v>1</v>
      </c>
    </row>
    <row r="292" spans="1:8">
      <c r="A292" s="7">
        <v>0.1</v>
      </c>
      <c r="B292" s="7">
        <v>80</v>
      </c>
      <c r="C292" s="7">
        <v>10</v>
      </c>
      <c r="D292" s="7">
        <v>0.1</v>
      </c>
      <c r="E292" s="7">
        <v>0.15</v>
      </c>
      <c r="F292" s="7">
        <v>54.60578902578934</v>
      </c>
      <c r="G292" s="7">
        <v>44.60578902578934</v>
      </c>
      <c r="H292" s="7" t="b">
        <v>1</v>
      </c>
    </row>
    <row r="293" spans="1:8">
      <c r="A293" s="7">
        <v>0.2</v>
      </c>
      <c r="B293" s="7">
        <v>10</v>
      </c>
      <c r="C293" s="7">
        <v>1</v>
      </c>
      <c r="D293" s="7">
        <v>0</v>
      </c>
      <c r="E293" s="7">
        <v>0</v>
      </c>
      <c r="F293" s="7">
        <v>0.1281986446837032</v>
      </c>
      <c r="G293" s="7">
        <v>-0.8718013553162968</v>
      </c>
      <c r="H293" s="7" t="b">
        <v>0</v>
      </c>
    </row>
    <row r="294" spans="1:8">
      <c r="A294" s="7">
        <v>0.2</v>
      </c>
      <c r="B294" s="7">
        <v>10</v>
      </c>
      <c r="C294" s="7">
        <v>1</v>
      </c>
      <c r="D294" s="7">
        <v>0</v>
      </c>
      <c r="E294" s="7">
        <v>0.05</v>
      </c>
      <c r="F294" s="7">
        <v>2.000326586255429</v>
      </c>
      <c r="G294" s="7">
        <v>1.000326586255429</v>
      </c>
      <c r="H294" s="7" t="b">
        <v>1</v>
      </c>
    </row>
    <row r="295" spans="1:8">
      <c r="A295" s="7">
        <v>0.2</v>
      </c>
      <c r="B295" s="7">
        <v>10</v>
      </c>
      <c r="C295" s="7">
        <v>1</v>
      </c>
      <c r="D295" s="7">
        <v>0</v>
      </c>
      <c r="E295" s="7">
        <v>0.15</v>
      </c>
      <c r="F295" s="7">
        <v>5.744582469398881</v>
      </c>
      <c r="G295" s="7">
        <v>4.744582469398881</v>
      </c>
      <c r="H295" s="7" t="b">
        <v>1</v>
      </c>
    </row>
    <row r="296" spans="1:8">
      <c r="A296" s="7">
        <v>0.2</v>
      </c>
      <c r="B296" s="7">
        <v>10</v>
      </c>
      <c r="C296" s="7">
        <v>1</v>
      </c>
      <c r="D296" s="7">
        <v>0.1</v>
      </c>
      <c r="E296" s="7">
        <v>0</v>
      </c>
      <c r="F296" s="7">
        <v>5.058349081766903</v>
      </c>
      <c r="G296" s="7">
        <v>4.058349081766903</v>
      </c>
      <c r="H296" s="7" t="b">
        <v>1</v>
      </c>
    </row>
    <row r="297" spans="1:8">
      <c r="A297" s="7">
        <v>0.2</v>
      </c>
      <c r="B297" s="7">
        <v>10</v>
      </c>
      <c r="C297" s="7">
        <v>1</v>
      </c>
      <c r="D297" s="7">
        <v>0.1</v>
      </c>
      <c r="E297" s="7">
        <v>0.05</v>
      </c>
      <c r="F297" s="7">
        <v>6.930477023338629</v>
      </c>
      <c r="G297" s="7">
        <v>5.930477023338629</v>
      </c>
      <c r="H297" s="7" t="b">
        <v>1</v>
      </c>
    </row>
    <row r="298" spans="1:8">
      <c r="A298" s="7">
        <v>0.2</v>
      </c>
      <c r="B298" s="7">
        <v>10</v>
      </c>
      <c r="C298" s="7">
        <v>1</v>
      </c>
      <c r="D298" s="7">
        <v>0.1</v>
      </c>
      <c r="E298" s="7">
        <v>0.15</v>
      </c>
      <c r="F298" s="7">
        <v>10.67473290648208</v>
      </c>
      <c r="G298" s="7">
        <v>9.674732906482081</v>
      </c>
      <c r="H298" s="7" t="b">
        <v>1</v>
      </c>
    </row>
    <row r="299" spans="1:8">
      <c r="A299" s="7">
        <v>0.2</v>
      </c>
      <c r="B299" s="7">
        <v>10</v>
      </c>
      <c r="C299" s="7">
        <v>4</v>
      </c>
      <c r="D299" s="7">
        <v>0</v>
      </c>
      <c r="E299" s="7">
        <v>0</v>
      </c>
      <c r="F299" s="7">
        <v>0.1281986446837032</v>
      </c>
      <c r="G299" s="7">
        <v>-3.871801355316297</v>
      </c>
      <c r="H299" s="7" t="b">
        <v>0</v>
      </c>
    </row>
    <row r="300" spans="1:8">
      <c r="A300" s="7">
        <v>0.2</v>
      </c>
      <c r="B300" s="7">
        <v>10</v>
      </c>
      <c r="C300" s="7">
        <v>4</v>
      </c>
      <c r="D300" s="7">
        <v>0</v>
      </c>
      <c r="E300" s="7">
        <v>0.05</v>
      </c>
      <c r="F300" s="7">
        <v>2.000326586255429</v>
      </c>
      <c r="G300" s="7">
        <v>-1.999673413744571</v>
      </c>
      <c r="H300" s="7" t="b">
        <v>0</v>
      </c>
    </row>
    <row r="301" spans="1:8">
      <c r="A301" s="7">
        <v>0.2</v>
      </c>
      <c r="B301" s="7">
        <v>10</v>
      </c>
      <c r="C301" s="7">
        <v>4</v>
      </c>
      <c r="D301" s="7">
        <v>0</v>
      </c>
      <c r="E301" s="7">
        <v>0.15</v>
      </c>
      <c r="F301" s="7">
        <v>5.744582469398881</v>
      </c>
      <c r="G301" s="7">
        <v>1.744582469398881</v>
      </c>
      <c r="H301" s="7" t="b">
        <v>1</v>
      </c>
    </row>
    <row r="302" spans="1:8">
      <c r="A302" s="7">
        <v>0.2</v>
      </c>
      <c r="B302" s="7">
        <v>10</v>
      </c>
      <c r="C302" s="7">
        <v>4</v>
      </c>
      <c r="D302" s="7">
        <v>0.1</v>
      </c>
      <c r="E302" s="7">
        <v>0</v>
      </c>
      <c r="F302" s="7">
        <v>5.058349081766903</v>
      </c>
      <c r="G302" s="7">
        <v>1.058349081766903</v>
      </c>
      <c r="H302" s="7" t="b">
        <v>1</v>
      </c>
    </row>
    <row r="303" spans="1:8">
      <c r="A303" s="7">
        <v>0.2</v>
      </c>
      <c r="B303" s="7">
        <v>10</v>
      </c>
      <c r="C303" s="7">
        <v>4</v>
      </c>
      <c r="D303" s="7">
        <v>0.1</v>
      </c>
      <c r="E303" s="7">
        <v>0.05</v>
      </c>
      <c r="F303" s="7">
        <v>6.930477023338629</v>
      </c>
      <c r="G303" s="7">
        <v>2.930477023338629</v>
      </c>
      <c r="H303" s="7" t="b">
        <v>1</v>
      </c>
    </row>
    <row r="304" spans="1:8">
      <c r="A304" s="7">
        <v>0.2</v>
      </c>
      <c r="B304" s="7">
        <v>10</v>
      </c>
      <c r="C304" s="7">
        <v>4</v>
      </c>
      <c r="D304" s="7">
        <v>0.1</v>
      </c>
      <c r="E304" s="7">
        <v>0.15</v>
      </c>
      <c r="F304" s="7">
        <v>10.67473290648208</v>
      </c>
      <c r="G304" s="7">
        <v>6.674732906482081</v>
      </c>
      <c r="H304" s="7" t="b">
        <v>1</v>
      </c>
    </row>
    <row r="305" spans="1:8">
      <c r="A305" s="7">
        <v>0.2</v>
      </c>
      <c r="B305" s="7">
        <v>10</v>
      </c>
      <c r="C305" s="7">
        <v>10</v>
      </c>
      <c r="D305" s="7">
        <v>0</v>
      </c>
      <c r="E305" s="7">
        <v>0</v>
      </c>
      <c r="F305" s="7">
        <v>0.1281986446837032</v>
      </c>
      <c r="G305" s="7">
        <v>-9.871801355316297</v>
      </c>
      <c r="H305" s="7" t="b">
        <v>0</v>
      </c>
    </row>
    <row r="306" spans="1:8">
      <c r="A306" s="7">
        <v>0.2</v>
      </c>
      <c r="B306" s="7">
        <v>10</v>
      </c>
      <c r="C306" s="7">
        <v>10</v>
      </c>
      <c r="D306" s="7">
        <v>0</v>
      </c>
      <c r="E306" s="7">
        <v>0.05</v>
      </c>
      <c r="F306" s="7">
        <v>2.000326586255429</v>
      </c>
      <c r="G306" s="7">
        <v>-7.999673413744571</v>
      </c>
      <c r="H306" s="7" t="b">
        <v>0</v>
      </c>
    </row>
    <row r="307" spans="1:8">
      <c r="A307" s="7">
        <v>0.2</v>
      </c>
      <c r="B307" s="7">
        <v>10</v>
      </c>
      <c r="C307" s="7">
        <v>10</v>
      </c>
      <c r="D307" s="7">
        <v>0</v>
      </c>
      <c r="E307" s="7">
        <v>0.15</v>
      </c>
      <c r="F307" s="7">
        <v>5.744582469398881</v>
      </c>
      <c r="G307" s="7">
        <v>-4.255417530601119</v>
      </c>
      <c r="H307" s="7" t="b">
        <v>0</v>
      </c>
    </row>
    <row r="308" spans="1:8">
      <c r="A308" s="7">
        <v>0.2</v>
      </c>
      <c r="B308" s="7">
        <v>10</v>
      </c>
      <c r="C308" s="7">
        <v>10</v>
      </c>
      <c r="D308" s="7">
        <v>0.1</v>
      </c>
      <c r="E308" s="7">
        <v>0</v>
      </c>
      <c r="F308" s="7">
        <v>5.058349081766903</v>
      </c>
      <c r="G308" s="7">
        <v>-4.941650918233097</v>
      </c>
      <c r="H308" s="7" t="b">
        <v>0</v>
      </c>
    </row>
    <row r="309" spans="1:8">
      <c r="A309" s="7">
        <v>0.2</v>
      </c>
      <c r="B309" s="7">
        <v>10</v>
      </c>
      <c r="C309" s="7">
        <v>10</v>
      </c>
      <c r="D309" s="7">
        <v>0.1</v>
      </c>
      <c r="E309" s="7">
        <v>0.05</v>
      </c>
      <c r="F309" s="7">
        <v>6.930477023338629</v>
      </c>
      <c r="G309" s="7">
        <v>-3.069522976661371</v>
      </c>
      <c r="H309" s="7" t="b">
        <v>0</v>
      </c>
    </row>
    <row r="310" spans="1:8">
      <c r="A310" s="7">
        <v>0.2</v>
      </c>
      <c r="B310" s="7">
        <v>10</v>
      </c>
      <c r="C310" s="7">
        <v>10</v>
      </c>
      <c r="D310" s="7">
        <v>0.1</v>
      </c>
      <c r="E310" s="7">
        <v>0.15</v>
      </c>
      <c r="F310" s="7">
        <v>10.67473290648208</v>
      </c>
      <c r="G310" s="7">
        <v>0.6747329064820811</v>
      </c>
      <c r="H310" s="7" t="b">
        <v>1</v>
      </c>
    </row>
    <row r="311" spans="1:8">
      <c r="A311" s="7">
        <v>0.2</v>
      </c>
      <c r="B311" s="7">
        <v>20</v>
      </c>
      <c r="C311" s="7">
        <v>1</v>
      </c>
      <c r="D311" s="7">
        <v>0</v>
      </c>
      <c r="E311" s="7">
        <v>0</v>
      </c>
      <c r="F311" s="7">
        <v>6.745406211485506</v>
      </c>
      <c r="G311" s="7">
        <v>5.745406211485506</v>
      </c>
      <c r="H311" s="7" t="b">
        <v>1</v>
      </c>
    </row>
    <row r="312" spans="1:8">
      <c r="A312" s="7">
        <v>0.2</v>
      </c>
      <c r="B312" s="7">
        <v>20</v>
      </c>
      <c r="C312" s="7">
        <v>1</v>
      </c>
      <c r="D312" s="7">
        <v>0</v>
      </c>
      <c r="E312" s="7">
        <v>0.05</v>
      </c>
      <c r="F312" s="7">
        <v>8.617534153057232</v>
      </c>
      <c r="G312" s="7">
        <v>7.617534153057232</v>
      </c>
      <c r="H312" s="7" t="b">
        <v>1</v>
      </c>
    </row>
    <row r="313" spans="1:8">
      <c r="A313" s="7">
        <v>0.2</v>
      </c>
      <c r="B313" s="7">
        <v>20</v>
      </c>
      <c r="C313" s="7">
        <v>1</v>
      </c>
      <c r="D313" s="7">
        <v>0</v>
      </c>
      <c r="E313" s="7">
        <v>0.15</v>
      </c>
      <c r="F313" s="7">
        <v>12.36179003620068</v>
      </c>
      <c r="G313" s="7">
        <v>11.36179003620068</v>
      </c>
      <c r="H313" s="7" t="b">
        <v>1</v>
      </c>
    </row>
    <row r="314" spans="1:8">
      <c r="A314" s="7">
        <v>0.2</v>
      </c>
      <c r="B314" s="7">
        <v>20</v>
      </c>
      <c r="C314" s="7">
        <v>1</v>
      </c>
      <c r="D314" s="7">
        <v>0.1</v>
      </c>
      <c r="E314" s="7">
        <v>0</v>
      </c>
      <c r="F314" s="7">
        <v>16.08720741452838</v>
      </c>
      <c r="G314" s="7">
        <v>15.08720741452838</v>
      </c>
      <c r="H314" s="7" t="b">
        <v>1</v>
      </c>
    </row>
    <row r="315" spans="1:8">
      <c r="A315" s="7">
        <v>0.2</v>
      </c>
      <c r="B315" s="7">
        <v>20</v>
      </c>
      <c r="C315" s="7">
        <v>1</v>
      </c>
      <c r="D315" s="7">
        <v>0.1</v>
      </c>
      <c r="E315" s="7">
        <v>0.05</v>
      </c>
      <c r="F315" s="7">
        <v>17.9593353561001</v>
      </c>
      <c r="G315" s="7">
        <v>16.9593353561001</v>
      </c>
      <c r="H315" s="7" t="b">
        <v>1</v>
      </c>
    </row>
    <row r="316" spans="1:8">
      <c r="A316" s="7">
        <v>0.2</v>
      </c>
      <c r="B316" s="7">
        <v>20</v>
      </c>
      <c r="C316" s="7">
        <v>1</v>
      </c>
      <c r="D316" s="7">
        <v>0.1</v>
      </c>
      <c r="E316" s="7">
        <v>0.15</v>
      </c>
      <c r="F316" s="7">
        <v>21.70359123924355</v>
      </c>
      <c r="G316" s="7">
        <v>20.70359123924355</v>
      </c>
      <c r="H316" s="7" t="b">
        <v>1</v>
      </c>
    </row>
    <row r="317" spans="1:8">
      <c r="A317" s="7">
        <v>0.2</v>
      </c>
      <c r="B317" s="7">
        <v>20</v>
      </c>
      <c r="C317" s="7">
        <v>4</v>
      </c>
      <c r="D317" s="7">
        <v>0</v>
      </c>
      <c r="E317" s="7">
        <v>0</v>
      </c>
      <c r="F317" s="7">
        <v>6.745406211485506</v>
      </c>
      <c r="G317" s="7">
        <v>2.745406211485506</v>
      </c>
      <c r="H317" s="7" t="b">
        <v>1</v>
      </c>
    </row>
    <row r="318" spans="1:8">
      <c r="A318" s="7">
        <v>0.2</v>
      </c>
      <c r="B318" s="7">
        <v>20</v>
      </c>
      <c r="C318" s="7">
        <v>4</v>
      </c>
      <c r="D318" s="7">
        <v>0</v>
      </c>
      <c r="E318" s="7">
        <v>0.05</v>
      </c>
      <c r="F318" s="7">
        <v>8.617534153057232</v>
      </c>
      <c r="G318" s="7">
        <v>4.617534153057232</v>
      </c>
      <c r="H318" s="7" t="b">
        <v>1</v>
      </c>
    </row>
    <row r="319" spans="1:8">
      <c r="A319" s="7">
        <v>0.2</v>
      </c>
      <c r="B319" s="7">
        <v>20</v>
      </c>
      <c r="C319" s="7">
        <v>4</v>
      </c>
      <c r="D319" s="7">
        <v>0</v>
      </c>
      <c r="E319" s="7">
        <v>0.15</v>
      </c>
      <c r="F319" s="7">
        <v>12.36179003620068</v>
      </c>
      <c r="G319" s="7">
        <v>8.361790036200684</v>
      </c>
      <c r="H319" s="7" t="b">
        <v>1</v>
      </c>
    </row>
    <row r="320" spans="1:8">
      <c r="A320" s="7">
        <v>0.2</v>
      </c>
      <c r="B320" s="7">
        <v>20</v>
      </c>
      <c r="C320" s="7">
        <v>4</v>
      </c>
      <c r="D320" s="7">
        <v>0.1</v>
      </c>
      <c r="E320" s="7">
        <v>0</v>
      </c>
      <c r="F320" s="7">
        <v>16.08720741452838</v>
      </c>
      <c r="G320" s="7">
        <v>12.08720741452838</v>
      </c>
      <c r="H320" s="7" t="b">
        <v>1</v>
      </c>
    </row>
    <row r="321" spans="1:8">
      <c r="A321" s="7">
        <v>0.2</v>
      </c>
      <c r="B321" s="7">
        <v>20</v>
      </c>
      <c r="C321" s="7">
        <v>4</v>
      </c>
      <c r="D321" s="7">
        <v>0.1</v>
      </c>
      <c r="E321" s="7">
        <v>0.05</v>
      </c>
      <c r="F321" s="7">
        <v>17.9593353561001</v>
      </c>
      <c r="G321" s="7">
        <v>13.9593353561001</v>
      </c>
      <c r="H321" s="7" t="b">
        <v>1</v>
      </c>
    </row>
    <row r="322" spans="1:8">
      <c r="A322" s="7">
        <v>0.2</v>
      </c>
      <c r="B322" s="7">
        <v>20</v>
      </c>
      <c r="C322" s="7">
        <v>4</v>
      </c>
      <c r="D322" s="7">
        <v>0.1</v>
      </c>
      <c r="E322" s="7">
        <v>0.15</v>
      </c>
      <c r="F322" s="7">
        <v>21.70359123924355</v>
      </c>
      <c r="G322" s="7">
        <v>17.70359123924355</v>
      </c>
      <c r="H322" s="7" t="b">
        <v>1</v>
      </c>
    </row>
    <row r="323" spans="1:8">
      <c r="A323" s="7">
        <v>0.2</v>
      </c>
      <c r="B323" s="7">
        <v>20</v>
      </c>
      <c r="C323" s="7">
        <v>10</v>
      </c>
      <c r="D323" s="7">
        <v>0</v>
      </c>
      <c r="E323" s="7">
        <v>0</v>
      </c>
      <c r="F323" s="7">
        <v>6.745406211485506</v>
      </c>
      <c r="G323" s="7">
        <v>-3.254593788514494</v>
      </c>
      <c r="H323" s="7" t="b">
        <v>0</v>
      </c>
    </row>
    <row r="324" spans="1:8">
      <c r="A324" s="7">
        <v>0.2</v>
      </c>
      <c r="B324" s="7">
        <v>20</v>
      </c>
      <c r="C324" s="7">
        <v>10</v>
      </c>
      <c r="D324" s="7">
        <v>0</v>
      </c>
      <c r="E324" s="7">
        <v>0.05</v>
      </c>
      <c r="F324" s="7">
        <v>8.617534153057232</v>
      </c>
      <c r="G324" s="7">
        <v>-1.382465846942768</v>
      </c>
      <c r="H324" s="7" t="b">
        <v>0</v>
      </c>
    </row>
    <row r="325" spans="1:8">
      <c r="A325" s="7">
        <v>0.2</v>
      </c>
      <c r="B325" s="7">
        <v>20</v>
      </c>
      <c r="C325" s="7">
        <v>10</v>
      </c>
      <c r="D325" s="7">
        <v>0</v>
      </c>
      <c r="E325" s="7">
        <v>0.15</v>
      </c>
      <c r="F325" s="7">
        <v>12.36179003620068</v>
      </c>
      <c r="G325" s="7">
        <v>2.361790036200684</v>
      </c>
      <c r="H325" s="7" t="b">
        <v>1</v>
      </c>
    </row>
    <row r="326" spans="1:8">
      <c r="A326" s="7">
        <v>0.2</v>
      </c>
      <c r="B326" s="7">
        <v>20</v>
      </c>
      <c r="C326" s="7">
        <v>10</v>
      </c>
      <c r="D326" s="7">
        <v>0.1</v>
      </c>
      <c r="E326" s="7">
        <v>0</v>
      </c>
      <c r="F326" s="7">
        <v>16.08720741452838</v>
      </c>
      <c r="G326" s="7">
        <v>6.087207414528375</v>
      </c>
      <c r="H326" s="7" t="b">
        <v>1</v>
      </c>
    </row>
    <row r="327" spans="1:8">
      <c r="A327" s="7">
        <v>0.2</v>
      </c>
      <c r="B327" s="7">
        <v>20</v>
      </c>
      <c r="C327" s="7">
        <v>10</v>
      </c>
      <c r="D327" s="7">
        <v>0.1</v>
      </c>
      <c r="E327" s="7">
        <v>0.05</v>
      </c>
      <c r="F327" s="7">
        <v>17.9593353561001</v>
      </c>
      <c r="G327" s="7">
        <v>7.959335356100102</v>
      </c>
      <c r="H327" s="7" t="b">
        <v>1</v>
      </c>
    </row>
    <row r="328" spans="1:8">
      <c r="A328" s="7">
        <v>0.2</v>
      </c>
      <c r="B328" s="7">
        <v>20</v>
      </c>
      <c r="C328" s="7">
        <v>10</v>
      </c>
      <c r="D328" s="7">
        <v>0.1</v>
      </c>
      <c r="E328" s="7">
        <v>0.15</v>
      </c>
      <c r="F328" s="7">
        <v>21.70359123924355</v>
      </c>
      <c r="G328" s="7">
        <v>11.70359123924355</v>
      </c>
      <c r="H328" s="7" t="b">
        <v>1</v>
      </c>
    </row>
    <row r="329" spans="1:8">
      <c r="A329" s="7">
        <v>0.2</v>
      </c>
      <c r="B329" s="7">
        <v>40</v>
      </c>
      <c r="C329" s="7">
        <v>1</v>
      </c>
      <c r="D329" s="7">
        <v>0</v>
      </c>
      <c r="E329" s="7">
        <v>0</v>
      </c>
      <c r="F329" s="7">
        <v>19.97982134508911</v>
      </c>
      <c r="G329" s="7">
        <v>18.97982134508911</v>
      </c>
      <c r="H329" s="7" t="b">
        <v>1</v>
      </c>
    </row>
    <row r="330" spans="1:8">
      <c r="A330" s="7">
        <v>0.2</v>
      </c>
      <c r="B330" s="7">
        <v>40</v>
      </c>
      <c r="C330" s="7">
        <v>1</v>
      </c>
      <c r="D330" s="7">
        <v>0</v>
      </c>
      <c r="E330" s="7">
        <v>0.05</v>
      </c>
      <c r="F330" s="7">
        <v>21.85194928666084</v>
      </c>
      <c r="G330" s="7">
        <v>20.85194928666084</v>
      </c>
      <c r="H330" s="7" t="b">
        <v>1</v>
      </c>
    </row>
    <row r="331" spans="1:8">
      <c r="A331" s="7">
        <v>0.2</v>
      </c>
      <c r="B331" s="7">
        <v>40</v>
      </c>
      <c r="C331" s="7">
        <v>1</v>
      </c>
      <c r="D331" s="7">
        <v>0</v>
      </c>
      <c r="E331" s="7">
        <v>0.15</v>
      </c>
      <c r="F331" s="7">
        <v>25.59620516980429</v>
      </c>
      <c r="G331" s="7">
        <v>24.59620516980429</v>
      </c>
      <c r="H331" s="7" t="b">
        <v>1</v>
      </c>
    </row>
    <row r="332" spans="1:8">
      <c r="A332" s="7">
        <v>0.2</v>
      </c>
      <c r="B332" s="7">
        <v>40</v>
      </c>
      <c r="C332" s="7">
        <v>1</v>
      </c>
      <c r="D332" s="7">
        <v>0.1</v>
      </c>
      <c r="E332" s="7">
        <v>0</v>
      </c>
      <c r="F332" s="7">
        <v>38.14492408005133</v>
      </c>
      <c r="G332" s="7">
        <v>37.14492408005133</v>
      </c>
      <c r="H332" s="7" t="b">
        <v>1</v>
      </c>
    </row>
    <row r="333" spans="1:8">
      <c r="A333" s="7">
        <v>0.2</v>
      </c>
      <c r="B333" s="7">
        <v>40</v>
      </c>
      <c r="C333" s="7">
        <v>1</v>
      </c>
      <c r="D333" s="7">
        <v>0.1</v>
      </c>
      <c r="E333" s="7">
        <v>0.05</v>
      </c>
      <c r="F333" s="7">
        <v>40.01705202162304</v>
      </c>
      <c r="G333" s="7">
        <v>39.01705202162304</v>
      </c>
      <c r="H333" s="7" t="b">
        <v>1</v>
      </c>
    </row>
    <row r="334" spans="1:8">
      <c r="A334" s="7">
        <v>0.2</v>
      </c>
      <c r="B334" s="7">
        <v>40</v>
      </c>
      <c r="C334" s="7">
        <v>1</v>
      </c>
      <c r="D334" s="7">
        <v>0.1</v>
      </c>
      <c r="E334" s="7">
        <v>0.15</v>
      </c>
      <c r="F334" s="7">
        <v>43.7613079047665</v>
      </c>
      <c r="G334" s="7">
        <v>42.7613079047665</v>
      </c>
      <c r="H334" s="7" t="b">
        <v>1</v>
      </c>
    </row>
    <row r="335" spans="1:8">
      <c r="A335" s="7">
        <v>0.2</v>
      </c>
      <c r="B335" s="7">
        <v>40</v>
      </c>
      <c r="C335" s="7">
        <v>4</v>
      </c>
      <c r="D335" s="7">
        <v>0</v>
      </c>
      <c r="E335" s="7">
        <v>0</v>
      </c>
      <c r="F335" s="7">
        <v>19.97982134508911</v>
      </c>
      <c r="G335" s="7">
        <v>15.97982134508911</v>
      </c>
      <c r="H335" s="7" t="b">
        <v>1</v>
      </c>
    </row>
    <row r="336" spans="1:8">
      <c r="A336" s="7">
        <v>0.2</v>
      </c>
      <c r="B336" s="7">
        <v>40</v>
      </c>
      <c r="C336" s="7">
        <v>4</v>
      </c>
      <c r="D336" s="7">
        <v>0</v>
      </c>
      <c r="E336" s="7">
        <v>0.05</v>
      </c>
      <c r="F336" s="7">
        <v>21.85194928666084</v>
      </c>
      <c r="G336" s="7">
        <v>17.85194928666084</v>
      </c>
      <c r="H336" s="7" t="b">
        <v>1</v>
      </c>
    </row>
    <row r="337" spans="1:8">
      <c r="A337" s="7">
        <v>0.2</v>
      </c>
      <c r="B337" s="7">
        <v>40</v>
      </c>
      <c r="C337" s="7">
        <v>4</v>
      </c>
      <c r="D337" s="7">
        <v>0</v>
      </c>
      <c r="E337" s="7">
        <v>0.15</v>
      </c>
      <c r="F337" s="7">
        <v>25.59620516980429</v>
      </c>
      <c r="G337" s="7">
        <v>21.59620516980429</v>
      </c>
      <c r="H337" s="7" t="b">
        <v>1</v>
      </c>
    </row>
    <row r="338" spans="1:8">
      <c r="A338" s="7">
        <v>0.2</v>
      </c>
      <c r="B338" s="7">
        <v>40</v>
      </c>
      <c r="C338" s="7">
        <v>4</v>
      </c>
      <c r="D338" s="7">
        <v>0.1</v>
      </c>
      <c r="E338" s="7">
        <v>0</v>
      </c>
      <c r="F338" s="7">
        <v>38.14492408005133</v>
      </c>
      <c r="G338" s="7">
        <v>34.14492408005133</v>
      </c>
      <c r="H338" s="7" t="b">
        <v>1</v>
      </c>
    </row>
    <row r="339" spans="1:8">
      <c r="A339" s="7">
        <v>0.2</v>
      </c>
      <c r="B339" s="7">
        <v>40</v>
      </c>
      <c r="C339" s="7">
        <v>4</v>
      </c>
      <c r="D339" s="7">
        <v>0.1</v>
      </c>
      <c r="E339" s="7">
        <v>0.05</v>
      </c>
      <c r="F339" s="7">
        <v>40.01705202162304</v>
      </c>
      <c r="G339" s="7">
        <v>36.01705202162304</v>
      </c>
      <c r="H339" s="7" t="b">
        <v>1</v>
      </c>
    </row>
    <row r="340" spans="1:8">
      <c r="A340" s="7">
        <v>0.2</v>
      </c>
      <c r="B340" s="7">
        <v>40</v>
      </c>
      <c r="C340" s="7">
        <v>4</v>
      </c>
      <c r="D340" s="7">
        <v>0.1</v>
      </c>
      <c r="E340" s="7">
        <v>0.15</v>
      </c>
      <c r="F340" s="7">
        <v>43.7613079047665</v>
      </c>
      <c r="G340" s="7">
        <v>39.7613079047665</v>
      </c>
      <c r="H340" s="7" t="b">
        <v>1</v>
      </c>
    </row>
    <row r="341" spans="1:8">
      <c r="A341" s="7">
        <v>0.2</v>
      </c>
      <c r="B341" s="7">
        <v>40</v>
      </c>
      <c r="C341" s="7">
        <v>10</v>
      </c>
      <c r="D341" s="7">
        <v>0</v>
      </c>
      <c r="E341" s="7">
        <v>0</v>
      </c>
      <c r="F341" s="7">
        <v>19.97982134508911</v>
      </c>
      <c r="G341" s="7">
        <v>9.97982134508911</v>
      </c>
      <c r="H341" s="7" t="b">
        <v>1</v>
      </c>
    </row>
    <row r="342" spans="1:8">
      <c r="A342" s="7">
        <v>0.2</v>
      </c>
      <c r="B342" s="7">
        <v>40</v>
      </c>
      <c r="C342" s="7">
        <v>10</v>
      </c>
      <c r="D342" s="7">
        <v>0</v>
      </c>
      <c r="E342" s="7">
        <v>0.05</v>
      </c>
      <c r="F342" s="7">
        <v>21.85194928666084</v>
      </c>
      <c r="G342" s="7">
        <v>11.85194928666084</v>
      </c>
      <c r="H342" s="7" t="b">
        <v>1</v>
      </c>
    </row>
    <row r="343" spans="1:8">
      <c r="A343" s="7">
        <v>0.2</v>
      </c>
      <c r="B343" s="7">
        <v>40</v>
      </c>
      <c r="C343" s="7">
        <v>10</v>
      </c>
      <c r="D343" s="7">
        <v>0</v>
      </c>
      <c r="E343" s="7">
        <v>0.15</v>
      </c>
      <c r="F343" s="7">
        <v>25.59620516980429</v>
      </c>
      <c r="G343" s="7">
        <v>15.59620516980429</v>
      </c>
      <c r="H343" s="7" t="b">
        <v>1</v>
      </c>
    </row>
    <row r="344" spans="1:8">
      <c r="A344" s="7">
        <v>0.2</v>
      </c>
      <c r="B344" s="7">
        <v>40</v>
      </c>
      <c r="C344" s="7">
        <v>10</v>
      </c>
      <c r="D344" s="7">
        <v>0.1</v>
      </c>
      <c r="E344" s="7">
        <v>0</v>
      </c>
      <c r="F344" s="7">
        <v>38.14492408005133</v>
      </c>
      <c r="G344" s="7">
        <v>28.14492408005133</v>
      </c>
      <c r="H344" s="7" t="b">
        <v>1</v>
      </c>
    </row>
    <row r="345" spans="1:8">
      <c r="A345" s="7">
        <v>0.2</v>
      </c>
      <c r="B345" s="7">
        <v>40</v>
      </c>
      <c r="C345" s="7">
        <v>10</v>
      </c>
      <c r="D345" s="7">
        <v>0.1</v>
      </c>
      <c r="E345" s="7">
        <v>0.05</v>
      </c>
      <c r="F345" s="7">
        <v>40.01705202162304</v>
      </c>
      <c r="G345" s="7">
        <v>30.01705202162304</v>
      </c>
      <c r="H345" s="7" t="b">
        <v>1</v>
      </c>
    </row>
    <row r="346" spans="1:8">
      <c r="A346" s="7">
        <v>0.2</v>
      </c>
      <c r="B346" s="7">
        <v>40</v>
      </c>
      <c r="C346" s="7">
        <v>10</v>
      </c>
      <c r="D346" s="7">
        <v>0.1</v>
      </c>
      <c r="E346" s="7">
        <v>0.15</v>
      </c>
      <c r="F346" s="7">
        <v>43.7613079047665</v>
      </c>
      <c r="G346" s="7">
        <v>33.7613079047665</v>
      </c>
      <c r="H346" s="7" t="b">
        <v>1</v>
      </c>
    </row>
    <row r="347" spans="1:8">
      <c r="A347" s="7">
        <v>0.2</v>
      </c>
      <c r="B347" s="7">
        <v>80</v>
      </c>
      <c r="C347" s="7">
        <v>1</v>
      </c>
      <c r="D347" s="7">
        <v>0</v>
      </c>
      <c r="E347" s="7">
        <v>0</v>
      </c>
      <c r="F347" s="7">
        <v>46.44865161229632</v>
      </c>
      <c r="G347" s="7">
        <v>45.44865161229632</v>
      </c>
      <c r="H347" s="7" t="b">
        <v>1</v>
      </c>
    </row>
    <row r="348" spans="1:8">
      <c r="A348" s="7">
        <v>0.2</v>
      </c>
      <c r="B348" s="7">
        <v>80</v>
      </c>
      <c r="C348" s="7">
        <v>1</v>
      </c>
      <c r="D348" s="7">
        <v>0</v>
      </c>
      <c r="E348" s="7">
        <v>0.05</v>
      </c>
      <c r="F348" s="7">
        <v>48.32077955386804</v>
      </c>
      <c r="G348" s="7">
        <v>47.32077955386804</v>
      </c>
      <c r="H348" s="7" t="b">
        <v>1</v>
      </c>
    </row>
    <row r="349" spans="1:8">
      <c r="A349" s="7">
        <v>0.2</v>
      </c>
      <c r="B349" s="7">
        <v>80</v>
      </c>
      <c r="C349" s="7">
        <v>1</v>
      </c>
      <c r="D349" s="7">
        <v>0</v>
      </c>
      <c r="E349" s="7">
        <v>0.15</v>
      </c>
      <c r="F349" s="7">
        <v>52.0650354370115</v>
      </c>
      <c r="G349" s="7">
        <v>51.0650354370115</v>
      </c>
      <c r="H349" s="7" t="b">
        <v>1</v>
      </c>
    </row>
    <row r="350" spans="1:8">
      <c r="A350" s="7">
        <v>0.2</v>
      </c>
      <c r="B350" s="7">
        <v>80</v>
      </c>
      <c r="C350" s="7">
        <v>1</v>
      </c>
      <c r="D350" s="7">
        <v>0.1</v>
      </c>
      <c r="E350" s="7">
        <v>0</v>
      </c>
      <c r="F350" s="7">
        <v>82.26035741109722</v>
      </c>
      <c r="G350" s="7">
        <v>81.26035741109722</v>
      </c>
      <c r="H350" s="7" t="b">
        <v>1</v>
      </c>
    </row>
    <row r="351" spans="1:8">
      <c r="A351" s="7">
        <v>0.2</v>
      </c>
      <c r="B351" s="7">
        <v>80</v>
      </c>
      <c r="C351" s="7">
        <v>1</v>
      </c>
      <c r="D351" s="7">
        <v>0.1</v>
      </c>
      <c r="E351" s="7">
        <v>0.05</v>
      </c>
      <c r="F351" s="7">
        <v>84.13248535266894</v>
      </c>
      <c r="G351" s="7">
        <v>83.13248535266894</v>
      </c>
      <c r="H351" s="7" t="b">
        <v>1</v>
      </c>
    </row>
    <row r="352" spans="1:8">
      <c r="A352" s="7">
        <v>0.2</v>
      </c>
      <c r="B352" s="7">
        <v>80</v>
      </c>
      <c r="C352" s="7">
        <v>1</v>
      </c>
      <c r="D352" s="7">
        <v>0.1</v>
      </c>
      <c r="E352" s="7">
        <v>0.15</v>
      </c>
      <c r="F352" s="7">
        <v>87.87674123581239</v>
      </c>
      <c r="G352" s="7">
        <v>86.87674123581239</v>
      </c>
      <c r="H352" s="7" t="b">
        <v>1</v>
      </c>
    </row>
    <row r="353" spans="1:8">
      <c r="A353" s="7">
        <v>0.2</v>
      </c>
      <c r="B353" s="7">
        <v>80</v>
      </c>
      <c r="C353" s="7">
        <v>4</v>
      </c>
      <c r="D353" s="7">
        <v>0</v>
      </c>
      <c r="E353" s="7">
        <v>0</v>
      </c>
      <c r="F353" s="7">
        <v>46.44865161229632</v>
      </c>
      <c r="G353" s="7">
        <v>42.44865161229632</v>
      </c>
      <c r="H353" s="7" t="b">
        <v>1</v>
      </c>
    </row>
    <row r="354" spans="1:8">
      <c r="A354" s="7">
        <v>0.2</v>
      </c>
      <c r="B354" s="7">
        <v>80</v>
      </c>
      <c r="C354" s="7">
        <v>4</v>
      </c>
      <c r="D354" s="7">
        <v>0</v>
      </c>
      <c r="E354" s="7">
        <v>0.05</v>
      </c>
      <c r="F354" s="7">
        <v>48.32077955386804</v>
      </c>
      <c r="G354" s="7">
        <v>44.32077955386804</v>
      </c>
      <c r="H354" s="7" t="b">
        <v>1</v>
      </c>
    </row>
    <row r="355" spans="1:8">
      <c r="A355" s="7">
        <v>0.2</v>
      </c>
      <c r="B355" s="7">
        <v>80</v>
      </c>
      <c r="C355" s="7">
        <v>4</v>
      </c>
      <c r="D355" s="7">
        <v>0</v>
      </c>
      <c r="E355" s="7">
        <v>0.15</v>
      </c>
      <c r="F355" s="7">
        <v>52.0650354370115</v>
      </c>
      <c r="G355" s="7">
        <v>48.0650354370115</v>
      </c>
      <c r="H355" s="7" t="b">
        <v>1</v>
      </c>
    </row>
    <row r="356" spans="1:8">
      <c r="A356" s="7">
        <v>0.2</v>
      </c>
      <c r="B356" s="7">
        <v>80</v>
      </c>
      <c r="C356" s="7">
        <v>4</v>
      </c>
      <c r="D356" s="7">
        <v>0.1</v>
      </c>
      <c r="E356" s="7">
        <v>0</v>
      </c>
      <c r="F356" s="7">
        <v>82.26035741109722</v>
      </c>
      <c r="G356" s="7">
        <v>78.26035741109722</v>
      </c>
      <c r="H356" s="7" t="b">
        <v>1</v>
      </c>
    </row>
    <row r="357" spans="1:8">
      <c r="A357" s="7">
        <v>0.2</v>
      </c>
      <c r="B357" s="7">
        <v>80</v>
      </c>
      <c r="C357" s="7">
        <v>4</v>
      </c>
      <c r="D357" s="7">
        <v>0.1</v>
      </c>
      <c r="E357" s="7">
        <v>0.05</v>
      </c>
      <c r="F357" s="7">
        <v>84.13248535266894</v>
      </c>
      <c r="G357" s="7">
        <v>80.13248535266894</v>
      </c>
      <c r="H357" s="7" t="b">
        <v>1</v>
      </c>
    </row>
    <row r="358" spans="1:8">
      <c r="A358" s="7">
        <v>0.2</v>
      </c>
      <c r="B358" s="7">
        <v>80</v>
      </c>
      <c r="C358" s="7">
        <v>4</v>
      </c>
      <c r="D358" s="7">
        <v>0.1</v>
      </c>
      <c r="E358" s="7">
        <v>0.15</v>
      </c>
      <c r="F358" s="7">
        <v>87.87674123581239</v>
      </c>
      <c r="G358" s="7">
        <v>83.87674123581239</v>
      </c>
      <c r="H358" s="7" t="b">
        <v>1</v>
      </c>
    </row>
    <row r="359" spans="1:8">
      <c r="A359" s="7">
        <v>0.2</v>
      </c>
      <c r="B359" s="7">
        <v>80</v>
      </c>
      <c r="C359" s="7">
        <v>10</v>
      </c>
      <c r="D359" s="7">
        <v>0</v>
      </c>
      <c r="E359" s="7">
        <v>0</v>
      </c>
      <c r="F359" s="7">
        <v>46.44865161229632</v>
      </c>
      <c r="G359" s="7">
        <v>36.44865161229632</v>
      </c>
      <c r="H359" s="7" t="b">
        <v>1</v>
      </c>
    </row>
    <row r="360" spans="1:8">
      <c r="A360" s="7">
        <v>0.2</v>
      </c>
      <c r="B360" s="7">
        <v>80</v>
      </c>
      <c r="C360" s="7">
        <v>10</v>
      </c>
      <c r="D360" s="7">
        <v>0</v>
      </c>
      <c r="E360" s="7">
        <v>0.05</v>
      </c>
      <c r="F360" s="7">
        <v>48.32077955386804</v>
      </c>
      <c r="G360" s="7">
        <v>38.32077955386804</v>
      </c>
      <c r="H360" s="7" t="b">
        <v>1</v>
      </c>
    </row>
    <row r="361" spans="1:8">
      <c r="A361" s="7">
        <v>0.2</v>
      </c>
      <c r="B361" s="7">
        <v>80</v>
      </c>
      <c r="C361" s="7">
        <v>10</v>
      </c>
      <c r="D361" s="7">
        <v>0</v>
      </c>
      <c r="E361" s="7">
        <v>0.15</v>
      </c>
      <c r="F361" s="7">
        <v>52.0650354370115</v>
      </c>
      <c r="G361" s="7">
        <v>42.0650354370115</v>
      </c>
      <c r="H361" s="7" t="b">
        <v>1</v>
      </c>
    </row>
    <row r="362" spans="1:8">
      <c r="A362" s="7">
        <v>0.2</v>
      </c>
      <c r="B362" s="7">
        <v>80</v>
      </c>
      <c r="C362" s="7">
        <v>10</v>
      </c>
      <c r="D362" s="7">
        <v>0.1</v>
      </c>
      <c r="E362" s="7">
        <v>0</v>
      </c>
      <c r="F362" s="7">
        <v>82.26035741109722</v>
      </c>
      <c r="G362" s="7">
        <v>72.26035741109722</v>
      </c>
      <c r="H362" s="7" t="b">
        <v>1</v>
      </c>
    </row>
    <row r="363" spans="1:8">
      <c r="A363" s="7">
        <v>0.2</v>
      </c>
      <c r="B363" s="7">
        <v>80</v>
      </c>
      <c r="C363" s="7">
        <v>10</v>
      </c>
      <c r="D363" s="7">
        <v>0.1</v>
      </c>
      <c r="E363" s="7">
        <v>0.05</v>
      </c>
      <c r="F363" s="7">
        <v>84.13248535266894</v>
      </c>
      <c r="G363" s="7">
        <v>74.13248535266894</v>
      </c>
      <c r="H363" s="7" t="b">
        <v>1</v>
      </c>
    </row>
    <row r="364" spans="1:8">
      <c r="A364" s="7">
        <v>0.2</v>
      </c>
      <c r="B364" s="7">
        <v>80</v>
      </c>
      <c r="C364" s="7">
        <v>10</v>
      </c>
      <c r="D364" s="7">
        <v>0.1</v>
      </c>
      <c r="E364" s="7">
        <v>0.15</v>
      </c>
      <c r="F364" s="7">
        <v>87.87674123581239</v>
      </c>
      <c r="G364" s="7">
        <v>77.87674123581239</v>
      </c>
      <c r="H364" s="7" t="b">
        <v>1</v>
      </c>
    </row>
  </sheetData>
  <mergeCells count="2">
    <mergeCell ref="A1:H1"/>
    <mergeCell ref="A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Readme</vt:lpstr>
      <vt:lpstr>Parameters</vt:lpstr>
      <vt:lpstr>Summary</vt:lpstr>
      <vt:lpstr>C1</vt:lpstr>
      <vt:lpstr>C2</vt:lpstr>
      <vt:lpstr>C3</vt:lpstr>
      <vt:lpstr>C4</vt:lpstr>
      <vt:lpstr>C5</vt:lpstr>
      <vt:lpstr>C6</vt:lpstr>
      <vt:lpstr>C7</vt:lpstr>
      <vt:lpstr>C8</vt:lpstr>
      <vt:lpstr>C9</vt:lpstr>
      <vt:lpstr>C10</vt:lpstr>
      <vt:lpstr>Sensitivity</vt:lpstr>
      <vt:lpstr>Markets</vt:lpstr>
      <vt:lpstr>LaneInputs</vt:lpstr>
      <vt:lpstr>TeamData</vt:lpstr>
      <vt:lpstr>Sources</vt:lpstr>
      <vt:lpstr>CaseGuide</vt:lpstr>
      <vt:lpstr>Thresholds</vt:lpstr>
      <vt:lpstr>StressGrid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2026-10-13T20:48:43Z</dcterms:created>
  <dcterms:modified xsi:type="dcterms:W3CDTF">2026-10-13T20:48:43Z</dcterms:modified>
</cp:coreProperties>
</file>