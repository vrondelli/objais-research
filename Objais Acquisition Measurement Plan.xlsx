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Channels" sheetId="4" state="visible" r:id="rId4"/>
    <sheet xmlns:r="http://schemas.openxmlformats.org/officeDocument/2006/relationships" name="UX Tasks" sheetId="5" state="visible" r:id="rId5"/>
    <sheet xmlns:r="http://schemas.openxmlformats.org/officeDocument/2006/relationships" name="Experiments" sheetId="6" state="visible" r:id="rId6"/>
    <sheet xmlns:r="http://schemas.openxmlformats.org/officeDocument/2006/relationships" name="Data Requests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Ex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73247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73247"/>
      </patternFill>
    </fill>
    <fill>
      <patternFill patternType="solid">
        <fgColor rgb="00E5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2" fontId="0" fillId="0" borderId="0" pivotButton="0" quotePrefix="0" xfId="0"/>
    <xf numFmtId="2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admeTable" displayName="ReadmeTable" ref="A1:B11" headerRowCount="1">
  <autoFilter ref="A1:B11"/>
  <tableColumns count="2">
    <tableColumn id="1" name="Subject"/>
    <tableColumn id="2" name="Guidance"/>
  </tableColumns>
  <tableStyleInfo name="TableStyleMedium2" showRowStripes="1"/>
</table>
</file>

<file path=xl/tables/table2.xml><?xml version="1.0" encoding="utf-8"?>
<table xmlns="http://schemas.openxmlformats.org/spreadsheetml/2006/main" id="2" name="MetricsTable" displayName="MetricsTable" ref="A1:K39" headerRowCount="1">
  <autoFilter ref="A1:K39"/>
  <tableColumns count="11">
    <tableColumn id="1" name="Metric"/>
    <tableColumn id="2" name="Priority"/>
    <tableColumn id="3" name="Definition"/>
    <tableColumn id="4" name="Counting unit"/>
    <tableColumn id="5" name="Window and exclusions"/>
    <tableColumn id="6" name="Authoritative source"/>
    <tableColumn id="7" name="Owner"/>
    <tableColumn id="8" name="Decision use"/>
    <tableColumn id="9" name="Observed value"/>
    <tableColumn id="10" name="Evidence date"/>
    <tableColumn id="11" name="Evidence reference"/>
  </tableColumns>
  <tableStyleInfo name="TableStyleMedium2" showRowStripes="1"/>
</table>
</file>

<file path=xl/tables/table3.xml><?xml version="1.0" encoding="utf-8"?>
<table xmlns="http://schemas.openxmlformats.org/spreadsheetml/2006/main" id="3" name="EventsTable" displayName="EventsTable" ref="A1:G23" headerRowCount="1">
  <autoFilter ref="A1:G23"/>
  <tableColumns count="7">
    <tableColumn id="1" name="Internal event"/>
    <tableColumn id="2" name="Occurrence definition"/>
    <tableColumn id="3" name="Source"/>
    <tableColumn id="4" name="Identity or deduplication key"/>
    <tableColumn id="5" name="Critical fields"/>
    <tableColumn id="6" name="Advertising export"/>
    <tableColumn id="7" name="Implementation status"/>
  </tableColumns>
  <tableStyleInfo name="TableStyleMedium2" showRowStripes="1"/>
</table>
</file>

<file path=xl/tables/table4.xml><?xml version="1.0" encoding="utf-8"?>
<table xmlns="http://schemas.openxmlformats.org/spreadsheetml/2006/main" id="4" name="ChannelsTable" displayName="ChannelsTable" ref="A1:H8" headerRowCount="1">
  <autoFilter ref="A1:H8"/>
  <tableColumns count="8">
    <tableColumn id="1" name="Channel"/>
    <tableColumn id="2" name="Research hypothesis"/>
    <tableColumn id="3" name="First research action"/>
    <tableColumn id="4" name="Primary commercial measure"/>
    <tableColumn id="5" name="Important constraint"/>
    <tableColumn id="6" name="Priority"/>
    <tableColumn id="7" name="Observed cost"/>
    <tableColumn id="8" name="Evidence reference"/>
  </tableColumns>
  <tableStyleInfo name="TableStyleMedium2" showRowStripes="1"/>
</table>
</file>

<file path=xl/tables/table5.xml><?xml version="1.0" encoding="utf-8"?>
<table xmlns="http://schemas.openxmlformats.org/spreadsheetml/2006/main" id="5" name="UXTasksTable" displayName="UXTasksTable" ref="A1:F11" headerRowCount="1">
  <autoFilter ref="A1:F11"/>
  <tableColumns count="6">
    <tableColumn id="1" name="Task"/>
    <tableColumn id="2" name="Participant instruction"/>
    <tableColumn id="3" name="Observation"/>
    <tableColumn id="4" name="Risk to resolve"/>
    <tableColumn id="5" name="Evidence type"/>
    <tableColumn id="6" name="Findings"/>
  </tableColumns>
  <tableStyleInfo name="TableStyleMedium2" showRowStripes="1"/>
</table>
</file>

<file path=xl/tables/table6.xml><?xml version="1.0" encoding="utf-8"?>
<table xmlns="http://schemas.openxmlformats.org/spreadsheetml/2006/main" id="6" name="ExperimentsTable" displayName="ExperimentsTable" ref="A1:G5" headerRowCount="1">
  <autoFilter ref="A1:G5"/>
  <tableColumns count="7">
    <tableColumn id="1" name="Experiment"/>
    <tableColumn id="2" name="Question"/>
    <tableColumn id="3" name="Design"/>
    <tableColumn id="4" name="Primary outcome"/>
    <tableColumn id="5" name="Guardrails and limitations"/>
    <tableColumn id="6" name="Decision"/>
    <tableColumn id="7" name="Execution status"/>
  </tableColumns>
  <tableStyleInfo name="TableStyleMedium2" showRowStripes="1"/>
</table>
</file>

<file path=xl/tables/table7.xml><?xml version="1.0" encoding="utf-8"?>
<table xmlns="http://schemas.openxmlformats.org/spreadsheetml/2006/main" id="7" name="DataRequestsTable" displayName="DataRequestsTable" ref="A1:F15" headerRowCount="1">
  <autoFilter ref="A1:F15"/>
  <tableColumns count="6">
    <tableColumn id="1" name="Priority"/>
    <tableColumn id="2" name="Request"/>
    <tableColumn id="3" name="Owner"/>
    <tableColumn id="4" name="Purpose"/>
    <tableColumn id="5" name="Status"/>
    <tableColumn id="6" name="Evidence reference"/>
  </tableColumns>
  <tableStyleInfo name="TableStyleMedium2" showRowStripes="1"/>
</table>
</file>

<file path=xl/tables/table8.xml><?xml version="1.0" encoding="utf-8"?>
<table xmlns="http://schemas.openxmlformats.org/spreadsheetml/2006/main" id="8" name="SourcesTable" displayName="SourcesTable" ref="A1:G24" headerRowCount="1">
  <autoFilter ref="A1:G24"/>
  <tableColumns count="7">
    <tableColumn id="1" name="Source"/>
    <tableColumn id="2" name="URL or workspace file"/>
    <tableColumn id="3" name="Authority"/>
    <tableColumn id="4" name="Review date"/>
    <tableColumn id="5" name="Retrieval status"/>
    <tableColumn id="6" name="Supports"/>
    <tableColumn id="7" name="Claim lim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5" customWidth="1" min="2" max="2"/>
  </cols>
  <sheetData>
    <row r="1" ht="32" customHeight="1">
      <c r="A1" s="1" t="inlineStr">
        <is>
          <t>Subject</t>
        </is>
      </c>
      <c r="B1" s="1" t="inlineStr">
        <is>
          <t>Guidance</t>
        </is>
      </c>
    </row>
    <row r="2" ht="78" customHeight="1">
      <c r="A2" s="2" t="inlineStr">
        <is>
          <t>Purpose</t>
        </is>
      </c>
      <c r="B2" s="2" t="inlineStr">
        <is>
          <t>Portugal-first acquisition research and proposed measurement dictionary; Brazil and European expansion separate.</t>
        </is>
      </c>
    </row>
    <row r="3" ht="78" customHeight="1">
      <c r="A3" s="2" t="inlineStr">
        <is>
          <t>Status</t>
        </is>
      </c>
      <c r="B3" s="2" t="inlineStr">
        <is>
          <t>Desk research completed. No campaign, instrumentation, usability test, live insurance application or external outreach executed.</t>
        </is>
      </c>
    </row>
    <row r="4" ht="78" customHeight="1">
      <c r="A4" s="2" t="inlineStr">
        <is>
          <t>Unknown values</t>
        </is>
      </c>
      <c r="B4" s="2" t="inlineStr">
        <is>
          <t>Observed-value and evidence cells intentionally blank. Unknown is not zero. Proposed metric definitions are not observations.</t>
        </is>
      </c>
    </row>
    <row r="5" ht="78" customHeight="1">
      <c r="A5" s="2" t="inlineStr">
        <is>
          <t>Primary decision</t>
        </is>
      </c>
      <c r="B5" s="2" t="inlineStr">
        <is>
          <t>Mature contribution after delivery variable costs and attributable acquisition costs, with fixed overhead and cash timing separately shown.</t>
        </is>
      </c>
    </row>
    <row r="6" ht="78" customHeight="1">
      <c r="A6" s="2" t="inlineStr">
        <is>
          <t>Counting</t>
        </is>
      </c>
      <c r="B6" s="2" t="inlineStr">
        <is>
          <t>Sessions, app instances, owners, assets, opportunities, policies, payable events, fees and receipts remain distinct.</t>
        </is>
      </c>
    </row>
    <row r="7" ht="78" customHeight="1">
      <c r="A7" s="2" t="inlineStr">
        <is>
          <t>Maturity</t>
        </is>
      </c>
      <c r="B7" s="2" t="inlineStr">
        <is>
          <t>Record observation windows; pending outcomes remain pending. A response or receipt percentile excludes unresolved cases, whose age must be shown.</t>
        </is>
      </c>
    </row>
    <row r="8" ht="78" customHeight="1">
      <c r="A8" s="2" t="inlineStr">
        <is>
          <t>Currency</t>
        </is>
      </c>
      <c r="B8" s="2" t="inlineStr">
        <is>
          <t>EUR and BRL remain separate. No consolidated calculation without a dated explicit FX convention.</t>
        </is>
      </c>
    </row>
    <row r="9" ht="78" customHeight="1">
      <c r="A9" s="2" t="inlineStr">
        <is>
          <t>Privacy</t>
        </is>
      </c>
      <c r="B9" s="2" t="inlineStr">
        <is>
          <t>Published mobile no-tracking promise needs reconciliation before adding SDKs or advertising linkage. Internal records are not full vendor export payloads.</t>
        </is>
      </c>
    </row>
    <row r="10" ht="78" customHeight="1">
      <c r="A10" s="2" t="inlineStr">
        <is>
          <t>Next action</t>
        </is>
      </c>
      <c r="B10" s="2" t="inlineStr">
        <is>
          <t>Obtain P0 records; select serviceable lane; exercise measurement; run safe task round; then execute bounded costed channel test.</t>
        </is>
      </c>
    </row>
    <row r="11" ht="78" customHeight="1">
      <c r="A11" s="2" t="inlineStr">
        <is>
          <t>Illustration</t>
        </is>
      </c>
      <c r="B11" s="2" t="inlineStr">
        <is>
          <t>Example sheet uses invented inputs to show CPC and cost-per-event limits. It is not a forecast or local advertising benchmark.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92" customWidth="1" min="3" max="3"/>
    <col width="31" customWidth="1" min="4" max="4"/>
    <col width="89" customWidth="1" min="5" max="5"/>
    <col width="49" customWidth="1" min="6" max="6"/>
    <col width="22" customWidth="1" min="7" max="7"/>
    <col width="61" customWidth="1" min="8" max="8"/>
    <col width="24" customWidth="1" min="9" max="9"/>
    <col width="22" customWidth="1" min="10" max="10"/>
    <col width="55" customWidth="1" min="11" max="11"/>
  </cols>
  <sheetData>
    <row r="1" ht="32" customHeight="1">
      <c r="A1" s="1" t="inlineStr">
        <is>
          <t>Metric</t>
        </is>
      </c>
      <c r="B1" s="1" t="inlineStr">
        <is>
          <t>Priority</t>
        </is>
      </c>
      <c r="C1" s="1" t="inlineStr">
        <is>
          <t>Definition</t>
        </is>
      </c>
      <c r="D1" s="1" t="inlineStr">
        <is>
          <t>Counting unit</t>
        </is>
      </c>
      <c r="E1" s="1" t="inlineStr">
        <is>
          <t>Window and exclusions</t>
        </is>
      </c>
      <c r="F1" s="1" t="inlineStr">
        <is>
          <t>Authoritative source</t>
        </is>
      </c>
      <c r="G1" s="1" t="inlineStr">
        <is>
          <t>Owner</t>
        </is>
      </c>
      <c r="H1" s="1" t="inlineStr">
        <is>
          <t>Decision use</t>
        </is>
      </c>
      <c r="I1" s="1" t="inlineStr">
        <is>
          <t>Observed value</t>
        </is>
      </c>
      <c r="J1" s="1" t="inlineStr">
        <is>
          <t>Evidence date</t>
        </is>
      </c>
      <c r="K1" s="1" t="inlineStr">
        <is>
          <t>Evidence reference</t>
        </is>
      </c>
    </row>
    <row r="2" ht="78" customHeight="1">
      <c r="A2" s="2" t="inlineStr">
        <is>
          <t>Outbound CTR</t>
        </is>
      </c>
      <c r="B2" s="2" t="inlineStr">
        <is>
          <t>Diagnostic</t>
        </is>
      </c>
      <c r="C2" s="2" t="inlineStr">
        <is>
          <t>Outbound link clicks / platform impressions</t>
        </is>
      </c>
      <c r="D2" s="2" t="inlineStr">
        <is>
          <t>Click and impression</t>
        </is>
      </c>
      <c r="E2" s="2" t="inlineStr">
        <is>
          <t>Same platform and reporting window; do not substitute all clicks</t>
        </is>
      </c>
      <c r="F2" s="2" t="inlineStr">
        <is>
          <t>Ad platform</t>
        </is>
      </c>
      <c r="G2" s="2" t="inlineStr">
        <is>
          <t>Acquisition</t>
        </is>
      </c>
      <c r="H2" s="2" t="inlineStr">
        <is>
          <t>Diagnose message and destination interest</t>
        </is>
      </c>
      <c r="I2" s="3" t="inlineStr"/>
      <c r="J2" s="3" t="inlineStr"/>
      <c r="K2" s="3" t="inlineStr"/>
    </row>
    <row r="3" ht="78" customHeight="1">
      <c r="A3" s="2" t="inlineStr">
        <is>
          <t>Media CPC</t>
        </is>
      </c>
      <c r="B3" s="2" t="inlineStr">
        <is>
          <t>Diagnostic</t>
        </is>
      </c>
      <c r="C3" s="2" t="inlineStr">
        <is>
          <t>Media spend / outbound clicks</t>
        </is>
      </c>
      <c r="D3" s="2" t="inlineStr">
        <is>
          <t>Currency per click</t>
        </is>
      </c>
      <c r="E3" s="2" t="inlineStr">
        <is>
          <t>Same campaign; EUR and BRL separate</t>
        </is>
      </c>
      <c r="F3" s="2" t="inlineStr">
        <is>
          <t>Ad cost export</t>
        </is>
      </c>
      <c r="G3" s="2" t="inlineStr">
        <is>
          <t>Acquisition</t>
        </is>
      </c>
      <c r="H3" s="2" t="inlineStr">
        <is>
          <t>Compare with contribution ceiling</t>
        </is>
      </c>
      <c r="I3" s="3" t="inlineStr"/>
      <c r="J3" s="3" t="inlineStr"/>
      <c r="K3" s="3" t="inlineStr"/>
    </row>
    <row r="4" ht="78" customHeight="1">
      <c r="A4" s="2" t="inlineStr">
        <is>
          <t>Media CPM</t>
        </is>
      </c>
      <c r="B4" s="2" t="inlineStr">
        <is>
          <t>Diagnostic</t>
        </is>
      </c>
      <c r="C4" s="2" t="inlineStr">
        <is>
          <t>1000 * media spend / impressions</t>
        </is>
      </c>
      <c r="D4" s="2" t="inlineStr">
        <is>
          <t>Currency per 1000 impressions</t>
        </is>
      </c>
      <c r="E4" s="2" t="inlineStr">
        <is>
          <t>Same inventory and period</t>
        </is>
      </c>
      <c r="F4" s="2" t="inlineStr">
        <is>
          <t>Ad cost export</t>
        </is>
      </c>
      <c r="G4" s="2" t="inlineStr">
        <is>
          <t>Acquisition</t>
        </is>
      </c>
      <c r="H4" s="2" t="inlineStr">
        <is>
          <t>Explain auction cost changes</t>
        </is>
      </c>
      <c r="I4" s="3" t="inlineStr"/>
      <c r="J4" s="3" t="inlineStr"/>
      <c r="K4" s="3" t="inlineStr"/>
    </row>
    <row r="5" ht="78" customHeight="1">
      <c r="A5" s="2" t="inlineStr">
        <is>
          <t>Measured click to landing ratio</t>
        </is>
      </c>
      <c r="B5" s="2" t="inlineStr">
        <is>
          <t>Diagnostic</t>
        </is>
      </c>
      <c r="C5" s="2" t="inlineStr">
        <is>
          <t>Measured arriving landing sessions / outbound clicks</t>
        </is>
      </c>
      <c r="D5" s="2" t="inlineStr">
        <is>
          <t>Session and click</t>
        </is>
      </c>
      <c r="E5" s="2" t="inlineStr">
        <is>
          <t>Diagnostic ratio; no assumed identity match; consent coverage shown</t>
        </is>
      </c>
      <c r="F5" s="2" t="inlineStr">
        <is>
          <t>Ad export and web measurement</t>
        </is>
      </c>
      <c r="G5" s="2" t="inlineStr">
        <is>
          <t>Data</t>
        </is>
      </c>
      <c r="H5" s="2" t="inlineStr">
        <is>
          <t>Detect destination or measurement loss</t>
        </is>
      </c>
      <c r="I5" s="3" t="inlineStr"/>
      <c r="J5" s="3" t="inlineStr"/>
      <c r="K5" s="3" t="inlineStr"/>
    </row>
    <row r="6" ht="78" customHeight="1">
      <c r="A6" s="2" t="inlineStr">
        <is>
          <t>Store outbound rate</t>
        </is>
      </c>
      <c r="B6" s="2" t="inlineStr">
        <is>
          <t>Diagnostic</t>
        </is>
      </c>
      <c r="C6" s="2" t="inlineStr">
        <is>
          <t>Eligible landing sessions opening store link / eligible landing sessions</t>
        </is>
      </c>
      <c r="D6" s="2" t="inlineStr">
        <is>
          <t>Session</t>
        </is>
      </c>
      <c r="E6" s="2" t="inlineStr">
        <is>
          <t>Session counted once; returning installed users separately</t>
        </is>
      </c>
      <c r="F6" s="2" t="inlineStr">
        <is>
          <t>Permitted web measurement</t>
        </is>
      </c>
      <c r="G6" s="2" t="inlineStr">
        <is>
          <t>Product</t>
        </is>
      </c>
      <c r="H6" s="2" t="inlineStr">
        <is>
          <t>Diagnose installation transition</t>
        </is>
      </c>
      <c r="I6" s="3" t="inlineStr"/>
      <c r="J6" s="3" t="inlineStr"/>
      <c r="K6" s="3" t="inlineStr"/>
    </row>
    <row r="7" ht="78" customHeight="1">
      <c r="A7" s="2" t="inlineStr">
        <is>
          <t>New installs and redownloads</t>
        </is>
      </c>
      <c r="B7" s="2" t="inlineStr">
        <is>
          <t>Diagnostic</t>
        </is>
      </c>
      <c r="C7" s="2" t="inlineStr">
        <is>
          <t>Store-reported new installs and redownloads kept separate</t>
        </is>
      </c>
      <c r="D7" s="2" t="inlineStr">
        <is>
          <t>Store acquisition</t>
        </is>
      </c>
      <c r="E7" s="2" t="inlineStr">
        <is>
          <t>Store attribution definitions preserved; do not infer unique owners</t>
        </is>
      </c>
      <c r="F7" s="2" t="inlineStr">
        <is>
          <t>Store reporting</t>
        </is>
      </c>
      <c r="G7" s="2" t="inlineStr">
        <is>
          <t>Product</t>
        </is>
      </c>
      <c r="H7" s="2" t="inlineStr">
        <is>
          <t>Explain app entry volume</t>
        </is>
      </c>
      <c r="I7" s="3" t="inlineStr"/>
      <c r="J7" s="3" t="inlineStr"/>
      <c r="K7" s="3" t="inlineStr"/>
    </row>
    <row r="8" ht="78" customHeight="1">
      <c r="A8" s="2" t="inlineStr">
        <is>
          <t>First usable estimate rate</t>
        </is>
      </c>
      <c r="B8" s="2" t="inlineStr">
        <is>
          <t>Primary</t>
        </is>
      </c>
      <c r="C8" s="2" t="inlineStr">
        <is>
          <t>First-use journeys with first usable estimate / first-use journeys starting photo attempt</t>
        </is>
      </c>
      <c r="D8" s="2" t="inlineStr">
        <is>
          <t>Observable journey</t>
        </is>
      </c>
      <c r="E8" s="2" t="inlineStr">
        <is>
          <t>Deduplicate journey; cohort has full selected completion window; show unlinked share</t>
        </is>
      </c>
      <c r="F8" s="2" t="inlineStr">
        <is>
          <t>Product measurement or operational aggregates</t>
        </is>
      </c>
      <c r="G8" s="2" t="inlineStr">
        <is>
          <t>Product</t>
        </is>
      </c>
      <c r="H8" s="2" t="inlineStr">
        <is>
          <t>Judge delivery of initial value</t>
        </is>
      </c>
      <c r="I8" s="3" t="inlineStr"/>
      <c r="J8" s="3" t="inlineStr"/>
      <c r="K8" s="3" t="inlineStr"/>
    </row>
    <row r="9" ht="78" customHeight="1">
      <c r="A9" s="2" t="inlineStr">
        <is>
          <t>First attempt success</t>
        </is>
      </c>
      <c r="B9" s="2" t="inlineStr">
        <is>
          <t>Diagnostic</t>
        </is>
      </c>
      <c r="C9" s="2" t="inlineStr">
        <is>
          <t>First photo attempts ending in usable estimate / started first photo attempts</t>
        </is>
      </c>
      <c r="D9" s="2" t="inlineStr">
        <is>
          <t>Attempt</t>
        </is>
      </c>
      <c r="E9" s="2" t="inlineStr">
        <is>
          <t>Timeout and failure count against success; distinguish retry success</t>
        </is>
      </c>
      <c r="F9" s="2" t="inlineStr">
        <is>
          <t>Product backend</t>
        </is>
      </c>
      <c r="G9" s="2" t="inlineStr">
        <is>
          <t>Product</t>
        </is>
      </c>
      <c r="H9" s="2" t="inlineStr">
        <is>
          <t>Prioritise capture and processing reliability</t>
        </is>
      </c>
      <c r="I9" s="3" t="inlineStr"/>
      <c r="J9" s="3" t="inlineStr"/>
      <c r="K9" s="3" t="inlineStr"/>
    </row>
    <row r="10" ht="78" customHeight="1">
      <c r="A10" s="2" t="inlineStr">
        <is>
          <t>Photo failure rate</t>
        </is>
      </c>
      <c r="B10" s="2" t="inlineStr">
        <is>
          <t>Diagnostic</t>
        </is>
      </c>
      <c r="C10" s="2" t="inlineStr">
        <is>
          <t>Failed or timed out photo attempts / started photo attempts</t>
        </is>
      </c>
      <c r="D10" s="2" t="inlineStr">
        <is>
          <t>Attempt</t>
        </is>
      </c>
      <c r="E10" s="2" t="inlineStr">
        <is>
          <t>By failure reason; include abandoned attempts under declared timeout</t>
        </is>
      </c>
      <c r="F10" s="2" t="inlineStr">
        <is>
          <t>Product backend</t>
        </is>
      </c>
      <c r="G10" s="2" t="inlineStr">
        <is>
          <t>Product</t>
        </is>
      </c>
      <c r="H10" s="2" t="inlineStr">
        <is>
          <t>Locate technical and input failures</t>
        </is>
      </c>
      <c r="I10" s="3" t="inlineStr"/>
      <c r="J10" s="3" t="inlineStr"/>
      <c r="K10" s="3" t="inlineStr"/>
    </row>
    <row r="11" ht="78" customHeight="1">
      <c r="A11" s="2" t="inlineStr">
        <is>
          <t>Estimate latency</t>
        </is>
      </c>
      <c r="B11" s="2" t="inlineStr">
        <is>
          <t>Diagnostic</t>
        </is>
      </c>
      <c r="C11" s="2" t="inlineStr">
        <is>
          <t>Elapsed time from agreed input-start point to usable estimate displayed</t>
        </is>
      </c>
      <c r="D11" s="2" t="inlineStr">
        <is>
          <t>Seconds; p50 and p95</t>
        </is>
      </c>
      <c r="E11" s="2" t="inlineStr">
        <is>
          <t>Completed estimates; report failed and timed out attempts alongside</t>
        </is>
      </c>
      <c r="F11" s="2" t="inlineStr">
        <is>
          <t>Product events</t>
        </is>
      </c>
      <c r="G11" s="2" t="inlineStr">
        <is>
          <t>Product</t>
        </is>
      </c>
      <c r="H11" s="2" t="inlineStr">
        <is>
          <t>Check actual waiting experience</t>
        </is>
      </c>
      <c r="I11" s="3" t="inlineStr"/>
      <c r="J11" s="3" t="inlineStr"/>
      <c r="K11" s="3" t="inlineStr"/>
    </row>
    <row r="12" ht="78" customHeight="1">
      <c r="A12" s="2" t="inlineStr">
        <is>
          <t>Result within advertised time</t>
        </is>
      </c>
      <c r="B12" s="2" t="inlineStr">
        <is>
          <t>Diagnostic</t>
        </is>
      </c>
      <c r="C12" s="2" t="inlineStr">
        <is>
          <t>Started attempts with usable result within stated promise / all started attempts</t>
        </is>
      </c>
      <c r="D12" s="2" t="inlineStr">
        <is>
          <t>Attempt</t>
        </is>
      </c>
      <c r="E12" s="2" t="inlineStr">
        <is>
          <t>Start/end fixed; include failures; do not silently start clock after upload</t>
        </is>
      </c>
      <c r="F12" s="2" t="inlineStr">
        <is>
          <t>Product events</t>
        </is>
      </c>
      <c r="G12" s="2" t="inlineStr">
        <is>
          <t>Product</t>
        </is>
      </c>
      <c r="H12" s="2" t="inlineStr">
        <is>
          <t>Assess marketing promise delivery</t>
        </is>
      </c>
      <c r="I12" s="3" t="inlineStr"/>
      <c r="J12" s="3" t="inlineStr"/>
      <c r="K12" s="3" t="inlineStr"/>
    </row>
    <row r="13" ht="78" customHeight="1">
      <c r="A13" s="2" t="inlineStr">
        <is>
          <t>Recognition correction rate</t>
        </is>
      </c>
      <c r="B13" s="2" t="inlineStr">
        <is>
          <t>Diagnostic</t>
        </is>
      </c>
      <c r="C13" s="2" t="inlineStr">
        <is>
          <t>Recognised results corrected by user / reviewed recognised results</t>
        </is>
      </c>
      <c r="D13" s="2" t="inlineStr">
        <is>
          <t>Reviewed result</t>
        </is>
      </c>
      <c r="E13" s="2" t="inlineStr">
        <is>
          <t>Correction is a signal; not complete model accuracy</t>
        </is>
      </c>
      <c r="F13" s="2" t="inlineStr">
        <is>
          <t>Product events</t>
        </is>
      </c>
      <c r="G13" s="2" t="inlineStr">
        <is>
          <t>Product</t>
        </is>
      </c>
      <c r="H13" s="2" t="inlineStr">
        <is>
          <t>Find confusing matches and category gaps</t>
        </is>
      </c>
      <c r="I13" s="3" t="inlineStr"/>
      <c r="J13" s="3" t="inlineStr"/>
      <c r="K13" s="3" t="inlineStr"/>
    </row>
    <row r="14" ht="78" customHeight="1">
      <c r="A14" s="2" t="inlineStr">
        <is>
          <t>Estimate to request rate</t>
        </is>
      </c>
      <c r="B14" s="2" t="inlineStr">
        <is>
          <t>Primary</t>
        </is>
      </c>
      <c r="C14" s="2" t="inlineStr">
        <is>
          <t>Estimate journeys submitting unique enquiry / journeys with usable estimate</t>
        </is>
      </c>
      <c r="D14" s="2" t="inlineStr">
        <is>
          <t>Journey</t>
        </is>
      </c>
      <c r="E14" s="2" t="inlineStr">
        <is>
          <t>Same linked path and maturity window; referral bypass analysed separately</t>
        </is>
      </c>
      <c r="F14" s="2" t="inlineStr">
        <is>
          <t>Product and CRM</t>
        </is>
      </c>
      <c r="G14" s="2" t="inlineStr">
        <is>
          <t>Product</t>
        </is>
      </c>
      <c r="H14" s="2" t="inlineStr">
        <is>
          <t>Measure intent after first value</t>
        </is>
      </c>
      <c r="I14" s="3" t="inlineStr"/>
      <c r="J14" s="3" t="inlineStr"/>
      <c r="K14" s="3" t="inlineStr"/>
    </row>
    <row r="15" ht="78" customHeight="1">
      <c r="A15" s="2" t="inlineStr">
        <is>
          <t>Request form completion</t>
        </is>
      </c>
      <c r="B15" s="2" t="inlineStr">
        <is>
          <t>Diagnostic</t>
        </is>
      </c>
      <c r="C15" s="2" t="inlineStr">
        <is>
          <t>Unique successful submitted opportunities / journeys starting request form</t>
        </is>
      </c>
      <c r="D15" s="2" t="inlineStr">
        <is>
          <t>Journey and opportunity</t>
        </is>
      </c>
      <c r="E15" s="2" t="inlineStr">
        <is>
          <t>Declared window; repeated submission does not add opportunity</t>
        </is>
      </c>
      <c r="F15" s="2" t="inlineStr">
        <is>
          <t>Backend and CRM</t>
        </is>
      </c>
      <c r="G15" s="2" t="inlineStr">
        <is>
          <t>Product</t>
        </is>
      </c>
      <c r="H15" s="2" t="inlineStr">
        <is>
          <t>Diagnose unnecessary form loss</t>
        </is>
      </c>
      <c r="I15" s="3" t="inlineStr"/>
      <c r="J15" s="3" t="inlineStr"/>
      <c r="K15" s="3" t="inlineStr"/>
    </row>
    <row r="16" ht="78" customHeight="1">
      <c r="A16" s="2" t="inlineStr">
        <is>
          <t>Qualification rate</t>
        </is>
      </c>
      <c r="B16" s="2" t="inlineStr">
        <is>
          <t>Diagnostic</t>
        </is>
      </c>
      <c r="C16" s="2" t="inlineStr">
        <is>
          <t>Qualified opportunities / submitted opportunities</t>
        </is>
      </c>
      <c r="D16" s="2" t="inlineStr">
        <is>
          <t>Opportunity</t>
        </is>
      </c>
      <c r="E16" s="2" t="inlineStr">
        <is>
          <t>Written criteria; pending and unresolved separately; mature cohort</t>
        </is>
      </c>
      <c r="F16" s="2" t="inlineStr">
        <is>
          <t>CRM</t>
        </is>
      </c>
      <c r="G16" s="2" t="inlineStr">
        <is>
          <t>Operations</t>
        </is>
      </c>
      <c r="H16" s="2" t="inlineStr">
        <is>
          <t>Assess eligibility and lead quality</t>
        </is>
      </c>
      <c r="I16" s="3" t="inlineStr"/>
      <c r="J16" s="3" t="inlineStr"/>
      <c r="K16" s="3" t="inlineStr"/>
    </row>
    <row r="17" ht="78" customHeight="1">
      <c r="A17" s="2" t="inlineStr">
        <is>
          <t>Delivery success</t>
        </is>
      </c>
      <c r="B17" s="2" t="inlineStr">
        <is>
          <t>Diagnostic</t>
        </is>
      </c>
      <c r="C17" s="2" t="inlineStr">
        <is>
          <t>Partner-acknowledged deliveries / intended deliveries</t>
        </is>
      </c>
      <c r="D17" s="2" t="inlineStr">
        <is>
          <t>Opportunity-partner delivery</t>
        </is>
      </c>
      <c r="E17" s="2" t="inlineStr">
        <is>
          <t>Retry deduplication; distinguish fan-out across partners</t>
        </is>
      </c>
      <c r="F17" s="2" t="inlineStr">
        <is>
          <t>Backend and partner acknowledgement</t>
        </is>
      </c>
      <c r="G17" s="2" t="inlineStr">
        <is>
          <t>Operations</t>
        </is>
      </c>
      <c r="H17" s="2" t="inlineStr">
        <is>
          <t>Check request transport</t>
        </is>
      </c>
      <c r="I17" s="3" t="inlineStr"/>
      <c r="J17" s="3" t="inlineStr"/>
      <c r="K17" s="3" t="inlineStr"/>
    </row>
    <row r="18" ht="78" customHeight="1">
      <c r="A18" s="2" t="inlineStr">
        <is>
          <t>Partner response time</t>
        </is>
      </c>
      <c r="B18" s="2" t="inlineStr">
        <is>
          <t>Primary</t>
        </is>
      </c>
      <c r="C18" s="2" t="inlineStr">
        <is>
          <t>Elapsed time from delivery to first substantive response</t>
        </is>
      </c>
      <c r="D18" s="2" t="inlineStr">
        <is>
          <t>Hours; p50 and p95</t>
        </is>
      </c>
      <c r="E18" s="2" t="inlineStr">
        <is>
          <t>Responded subset with unresolved age and count shown separately</t>
        </is>
      </c>
      <c r="F18" s="2" t="inlineStr">
        <is>
          <t>CRM and partner record</t>
        </is>
      </c>
      <c r="G18" s="2" t="inlineStr">
        <is>
          <t>Operations</t>
        </is>
      </c>
      <c r="H18" s="2" t="inlineStr">
        <is>
          <t>Assess service capacity and owner uncertainty</t>
        </is>
      </c>
      <c r="I18" s="3" t="inlineStr"/>
      <c r="J18" s="3" t="inlineStr"/>
      <c r="K18" s="3" t="inlineStr"/>
    </row>
    <row r="19" ht="78" customHeight="1">
      <c r="A19" s="2" t="inlineStr">
        <is>
          <t>Partner decision backlog</t>
        </is>
      </c>
      <c r="B19" s="2" t="inlineStr">
        <is>
          <t>Primary</t>
        </is>
      </c>
      <c r="C19" s="2" t="inlineStr">
        <is>
          <t>Delivered opportunities without substantive decision and their age</t>
        </is>
      </c>
      <c r="D19" s="2" t="inlineStr">
        <is>
          <t>Opportunity count and hours</t>
        </is>
      </c>
      <c r="E19" s="2" t="inlineStr">
        <is>
          <t>As-of snapshot; pending is not rejection or success</t>
        </is>
      </c>
      <c r="F19" s="2" t="inlineStr">
        <is>
          <t>CRM</t>
        </is>
      </c>
      <c r="G19" s="2" t="inlineStr">
        <is>
          <t>Operations</t>
        </is>
      </c>
      <c r="H19" s="2" t="inlineStr">
        <is>
          <t>Expose incomplete cohorts and bottlenecks</t>
        </is>
      </c>
      <c r="I19" s="3" t="inlineStr"/>
      <c r="J19" s="3" t="inlineStr"/>
      <c r="K19" s="3" t="inlineStr"/>
    </row>
    <row r="20" ht="78" customHeight="1">
      <c r="A20" s="2" t="inlineStr">
        <is>
          <t>Quote rate</t>
        </is>
      </c>
      <c r="B20" s="2" t="inlineStr">
        <is>
          <t>Diagnostic</t>
        </is>
      </c>
      <c r="C20" s="2" t="inlineStr">
        <is>
          <t>Opportunities with formal quote / eligible delivered opportunities</t>
        </is>
      </c>
      <c r="D20" s="2" t="inlineStr">
        <is>
          <t>Opportunity</t>
        </is>
      </c>
      <c r="E20" s="2" t="inlineStr">
        <is>
          <t>Full quotation window; unsupported routes excluded explicitly</t>
        </is>
      </c>
      <c r="F20" s="2" t="inlineStr">
        <is>
          <t>Partner and CRM</t>
        </is>
      </c>
      <c r="G20" s="2" t="inlineStr">
        <is>
          <t>Operations</t>
        </is>
      </c>
      <c r="H20" s="2" t="inlineStr">
        <is>
          <t>Assess underwriting and handoff</t>
        </is>
      </c>
      <c r="I20" s="3" t="inlineStr"/>
      <c r="J20" s="3" t="inlineStr"/>
      <c r="K20" s="3" t="inlineStr"/>
    </row>
    <row r="21" ht="78" customHeight="1">
      <c r="A21" s="2" t="inlineStr">
        <is>
          <t>Binding rate</t>
        </is>
      </c>
      <c r="B21" s="2" t="inlineStr">
        <is>
          <t>Diagnostic</t>
        </is>
      </c>
      <c r="C21" s="2" t="inlineStr">
        <is>
          <t>Opportunities with policy bound / opportunities receiving formal quote</t>
        </is>
      </c>
      <c r="D21" s="2" t="inlineStr">
        <is>
          <t>Opportunity</t>
        </is>
      </c>
      <c r="E21" s="2" t="inlineStr">
        <is>
          <t>Actual effective cover evidence; cohort maturity and cancellations tracked</t>
        </is>
      </c>
      <c r="F21" s="2" t="inlineStr">
        <is>
          <t>Policy record</t>
        </is>
      </c>
      <c r="G21" s="2" t="inlineStr">
        <is>
          <t>Operations</t>
        </is>
      </c>
      <c r="H21" s="2" t="inlineStr">
        <is>
          <t>Measure contract completion</t>
        </is>
      </c>
      <c r="I21" s="3" t="inlineStr"/>
      <c r="J21" s="3" t="inlineStr"/>
      <c r="K21" s="3" t="inlineStr"/>
    </row>
    <row r="22" ht="78" customHeight="1">
      <c r="A22" s="2" t="inlineStr">
        <is>
          <t>Payable yield</t>
        </is>
      </c>
      <c r="B22" s="2" t="inlineStr">
        <is>
          <t>Primary</t>
        </is>
      </c>
      <c r="C22" s="2" t="inlineStr">
        <is>
          <t>Submitted opportunities with first contractual payable event / submitted opportunities</t>
        </is>
      </c>
      <c r="D22" s="2" t="inlineStr">
        <is>
          <t>Opportunity</t>
        </is>
      </c>
      <c r="E22" s="2" t="inlineStr">
        <is>
          <t>Mature cohort; pending and reasons shown; first event avoids repeat double count</t>
        </is>
      </c>
      <c r="F22" s="2" t="inlineStr">
        <is>
          <t>Contract-linked CRM</t>
        </is>
      </c>
      <c r="G22" s="2" t="inlineStr">
        <is>
          <t>Commercial</t>
        </is>
      </c>
      <c r="H22" s="2" t="inlineStr">
        <is>
          <t>Connect intent to payment rights</t>
        </is>
      </c>
      <c r="I22" s="3" t="inlineStr"/>
      <c r="J22" s="3" t="inlineStr"/>
      <c r="K22" s="3" t="inlineStr"/>
    </row>
    <row r="23" ht="78" customHeight="1">
      <c r="A23" s="2" t="inlineStr">
        <is>
          <t>Cost per qualified request</t>
        </is>
      </c>
      <c r="B23" s="2" t="inlineStr">
        <is>
          <t>Primary</t>
        </is>
      </c>
      <c r="C23" s="2" t="inlineStr">
        <is>
          <t>Attributable acquisition cost / unique qualified opportunities</t>
        </is>
      </c>
      <c r="D23" s="2" t="inlineStr">
        <is>
          <t>Currency per opportunity</t>
        </is>
      </c>
      <c r="E23" s="2" t="inlineStr">
        <is>
          <t>Cohort-aligned; costs include attributable referral and onboarding work</t>
        </is>
      </c>
      <c r="F23" s="2" t="inlineStr">
        <is>
          <t>Cost ledger and CRM</t>
        </is>
      </c>
      <c r="G23" s="2" t="inlineStr">
        <is>
          <t>Finance</t>
        </is>
      </c>
      <c r="H23" s="2" t="inlineStr">
        <is>
          <t>Compare route quality economics</t>
        </is>
      </c>
      <c r="I23" s="3" t="inlineStr"/>
      <c r="J23" s="3" t="inlineStr"/>
      <c r="K23" s="3" t="inlineStr"/>
    </row>
    <row r="24" ht="78" customHeight="1">
      <c r="A24" s="2" t="inlineStr">
        <is>
          <t>Cost per payable event</t>
        </is>
      </c>
      <c r="B24" s="2" t="inlineStr">
        <is>
          <t>Primary</t>
        </is>
      </c>
      <c r="C24" s="2" t="inlineStr">
        <is>
          <t>Attributable acquisition cost / unique payable events</t>
        </is>
      </c>
      <c r="D24" s="2" t="inlineStr">
        <is>
          <t>Currency per event</t>
        </is>
      </c>
      <c r="E24" s="2" t="inlineStr">
        <is>
          <t>Cohort-aligned; media-only CPA reported separately</t>
        </is>
      </c>
      <c r="F24" s="2" t="inlineStr">
        <is>
          <t>Cost ledger and payable register</t>
        </is>
      </c>
      <c r="G24" s="2" t="inlineStr">
        <is>
          <t>Finance</t>
        </is>
      </c>
      <c r="H24" s="2" t="inlineStr">
        <is>
          <t>Compare acquisition against fee contribution</t>
        </is>
      </c>
      <c r="I24" s="3" t="inlineStr"/>
      <c r="J24" s="3" t="inlineStr"/>
      <c r="K24" s="3" t="inlineStr"/>
    </row>
    <row r="25" ht="78" customHeight="1">
      <c r="A25" s="2" t="inlineStr">
        <is>
          <t>Owner CAC</t>
        </is>
      </c>
      <c r="B25" s="2" t="inlineStr">
        <is>
          <t>Diagnostic</t>
        </is>
      </c>
      <c r="C25" s="2" t="inlineStr">
        <is>
          <t>All attributable acquisition cost / newly identified distinct owners</t>
        </is>
      </c>
      <c r="D25" s="2" t="inlineStr">
        <is>
          <t>Currency per owner</t>
        </is>
      </c>
      <c r="E25" s="2" t="inlineStr">
        <is>
          <t>Never infer owners from anonymous sessions; reactivation separately</t>
        </is>
      </c>
      <c r="F25" s="2" t="inlineStr">
        <is>
          <t>Identity-linked CRM and cost ledger</t>
        </is>
      </c>
      <c r="G25" s="2" t="inlineStr">
        <is>
          <t>Finance</t>
        </is>
      </c>
      <c r="H25" s="2" t="inlineStr">
        <is>
          <t>Connect acquisition to existing owner model</t>
        </is>
      </c>
      <c r="I25" s="3" t="inlineStr"/>
      <c r="J25" s="3" t="inlineStr"/>
      <c r="K25" s="3" t="inlineStr"/>
    </row>
    <row r="26" ht="78" customHeight="1">
      <c r="A26" s="2" t="inlineStr">
        <is>
          <t>Net earned Objais fees</t>
        </is>
      </c>
      <c r="B26" s="2" t="inlineStr">
        <is>
          <t>Primary</t>
        </is>
      </c>
      <c r="C26" s="2" t="inlineStr">
        <is>
          <t>Earned contractual fees less fee reversals under finance convention</t>
        </is>
      </c>
      <c r="D26" s="2" t="inlineStr">
        <is>
          <t>Currency</t>
        </is>
      </c>
      <c r="E26" s="2" t="inlineStr">
        <is>
          <t>Net retained share; premium and insured value excluded; currency separate</t>
        </is>
      </c>
      <c r="F26" s="2" t="inlineStr">
        <is>
          <t>Fee ledger and contracts</t>
        </is>
      </c>
      <c r="G26" s="2" t="inlineStr">
        <is>
          <t>Finance</t>
        </is>
      </c>
      <c r="H26" s="2" t="inlineStr">
        <is>
          <t>Establish revenue numerator</t>
        </is>
      </c>
      <c r="I26" s="3" t="inlineStr"/>
      <c r="J26" s="3" t="inlineStr"/>
      <c r="K26" s="3" t="inlineStr"/>
    </row>
    <row r="27" ht="78" customHeight="1">
      <c r="A27" s="2" t="inlineStr">
        <is>
          <t>Objais revenue ROAS</t>
        </is>
      </c>
      <c r="B27" s="2" t="inlineStr">
        <is>
          <t>Diagnostic</t>
        </is>
      </c>
      <c r="C27" s="2" t="inlineStr">
        <is>
          <t>Attributable net earned Objais fees / media spend</t>
        </is>
      </c>
      <c r="D27" s="2" t="inlineStr">
        <is>
          <t>Ratio</t>
        </is>
      </c>
      <c r="E27" s="2" t="inlineStr">
        <is>
          <t>Cohort and attribution window declared; never use insurer premium</t>
        </is>
      </c>
      <c r="F27" s="2" t="inlineStr">
        <is>
          <t>Fee ledger and media export</t>
        </is>
      </c>
      <c r="G27" s="2" t="inlineStr">
        <is>
          <t>Finance</t>
        </is>
      </c>
      <c r="H27" s="2" t="inlineStr">
        <is>
          <t>Revenue efficiency before other costs</t>
        </is>
      </c>
      <c r="I27" s="3" t="inlineStr"/>
      <c r="J27" s="3" t="inlineStr"/>
      <c r="K27" s="3" t="inlineStr"/>
    </row>
    <row r="28" ht="78" customHeight="1">
      <c r="A28" s="2" t="inlineStr">
        <is>
          <t>Contribution after acquisition</t>
        </is>
      </c>
      <c r="B28" s="2" t="inlineStr">
        <is>
          <t>Primary</t>
        </is>
      </c>
      <c r="C28" s="2" t="inlineStr">
        <is>
          <t>Net earned fees - delivery variable costs - attributable acquisition costs</t>
        </is>
      </c>
      <c r="D28" s="2" t="inlineStr">
        <is>
          <t>Currency and currency per entry</t>
        </is>
      </c>
      <c r="E28" s="2" t="inlineStr">
        <is>
          <t>Include free and failed use costs; fixed overhead separate</t>
        </is>
      </c>
      <c r="F28" s="2" t="inlineStr">
        <is>
          <t>Finance and cost-driver ledger</t>
        </is>
      </c>
      <c r="G28" s="2" t="inlineStr">
        <is>
          <t>Finance</t>
        </is>
      </c>
      <c r="H28" s="2" t="inlineStr">
        <is>
          <t>Primary lane decision</t>
        </is>
      </c>
      <c r="I28" s="3" t="inlineStr"/>
      <c r="J28" s="3" t="inlineStr"/>
      <c r="K28" s="3" t="inlineStr"/>
    </row>
    <row r="29" ht="78" customHeight="1">
      <c r="A29" s="2" t="inlineStr">
        <is>
          <t>Fee reversal rate</t>
        </is>
      </c>
      <c r="B29" s="2" t="inlineStr">
        <is>
          <t>Diagnostic</t>
        </is>
      </c>
      <c r="C29" s="2" t="inlineStr">
        <is>
          <t>Value of fees reversed / gross earned fees in matched earned cohort</t>
        </is>
      </c>
      <c r="D29" s="2" t="inlineStr">
        <is>
          <t>Currency proportion</t>
        </is>
      </c>
      <c r="E29" s="2" t="inlineStr">
        <is>
          <t>Report event-count rate separately; adequate reversal maturity</t>
        </is>
      </c>
      <c r="F29" s="2" t="inlineStr">
        <is>
          <t>Fee ledger</t>
        </is>
      </c>
      <c r="G29" s="2" t="inlineStr">
        <is>
          <t>Finance</t>
        </is>
      </c>
      <c r="H29" s="2" t="inlineStr">
        <is>
          <t>Check quality and contractual risk</t>
        </is>
      </c>
      <c r="I29" s="3" t="inlineStr"/>
      <c r="J29" s="3" t="inlineStr"/>
      <c r="K29" s="3" t="inlineStr"/>
    </row>
    <row r="30" ht="78" customHeight="1">
      <c r="A30" s="2" t="inlineStr">
        <is>
          <t>Cash receipts</t>
        </is>
      </c>
      <c r="B30" s="2" t="inlineStr">
        <is>
          <t>Primary</t>
        </is>
      </c>
      <c r="C30" s="2" t="inlineStr">
        <is>
          <t>Actual money received allocated to fee/invoice</t>
        </is>
      </c>
      <c r="D30" s="2" t="inlineStr">
        <is>
          <t>Currency</t>
        </is>
      </c>
      <c r="E30" s="2" t="inlineStr">
        <is>
          <t>Receipts are collections of fees; not additional earned revenue</t>
        </is>
      </c>
      <c r="F30" s="2" t="inlineStr">
        <is>
          <t>Bank/finance receipt ledger</t>
        </is>
      </c>
      <c r="G30" s="2" t="inlineStr">
        <is>
          <t>Finance</t>
        </is>
      </c>
      <c r="H30" s="2" t="inlineStr">
        <is>
          <t>Assess cash available</t>
        </is>
      </c>
      <c r="I30" s="3" t="inlineStr"/>
      <c r="J30" s="3" t="inlineStr"/>
      <c r="K30" s="3" t="inlineStr"/>
    </row>
    <row r="31" ht="78" customHeight="1">
      <c r="A31" s="2" t="inlineStr">
        <is>
          <t>Collection delay</t>
        </is>
      </c>
      <c r="B31" s="2" t="inlineStr">
        <is>
          <t>Primary</t>
        </is>
      </c>
      <c r="C31" s="2" t="inlineStr">
        <is>
          <t>Time from fee earning to allocated collection</t>
        </is>
      </c>
      <c r="D31" s="2" t="inlineStr">
        <is>
          <t>Days; p50 and p95</t>
        </is>
      </c>
      <c r="E31" s="2" t="inlineStr">
        <is>
          <t>Collected subset plus unpaid balance/age shown; partial payments retained</t>
        </is>
      </c>
      <c r="F31" s="2" t="inlineStr">
        <is>
          <t>Fee and receipt ledgers</t>
        </is>
      </c>
      <c r="G31" s="2" t="inlineStr">
        <is>
          <t>Finance</t>
        </is>
      </c>
      <c r="H31" s="2" t="inlineStr">
        <is>
          <t>Assess working capital</t>
        </is>
      </c>
      <c r="I31" s="3" t="inlineStr"/>
      <c r="J31" s="3" t="inlineStr"/>
      <c r="K31" s="3" t="inlineStr"/>
    </row>
    <row r="32" ht="78" customHeight="1">
      <c r="A32" s="2" t="inlineStr">
        <is>
          <t>Useful task return</t>
        </is>
      </c>
      <c r="B32" s="2" t="inlineStr">
        <is>
          <t>Primary</t>
        </is>
      </c>
      <c r="C32" s="2" t="inlineStr">
        <is>
          <t>Activated identified owners with defined later task in window / activated owners eligible for window</t>
        </is>
      </c>
      <c r="D32" s="2" t="inlineStr">
        <is>
          <t>Owner</t>
        </is>
      </c>
      <c r="E32" s="2" t="inlineStr">
        <is>
          <t>Suggested D30 window days 21-30; label definition; login alone excluded</t>
        </is>
      </c>
      <c r="F32" s="2" t="inlineStr">
        <is>
          <t>Permitted product/CRM records</t>
        </is>
      </c>
      <c r="G32" s="2" t="inlineStr">
        <is>
          <t>Product</t>
        </is>
      </c>
      <c r="H32" s="2" t="inlineStr">
        <is>
          <t>Test continuing value</t>
        </is>
      </c>
      <c r="I32" s="3" t="inlineStr"/>
      <c r="J32" s="3" t="inlineStr"/>
      <c r="K32" s="3" t="inlineStr"/>
    </row>
    <row r="33" ht="78" customHeight="1">
      <c r="A33" s="2" t="inlineStr">
        <is>
          <t>New payable opportunity rate</t>
        </is>
      </c>
      <c r="B33" s="2" t="inlineStr">
        <is>
          <t>Diagnostic</t>
        </is>
      </c>
      <c r="C33" s="2" t="inlineStr">
        <is>
          <t>Owners with genuinely new payable opportunity / eligible acquired owners</t>
        </is>
      </c>
      <c r="D33" s="2" t="inlineStr">
        <is>
          <t>Owner</t>
        </is>
      </c>
      <c r="E33" s="2" t="inlineStr">
        <is>
          <t>Contract-defined new opportunity; visit or scan is not reset</t>
        </is>
      </c>
      <c r="F33" s="2" t="inlineStr">
        <is>
          <t>CRM and contracts</t>
        </is>
      </c>
      <c r="G33" s="2" t="inlineStr">
        <is>
          <t>Commercial</t>
        </is>
      </c>
      <c r="H33" s="2" t="inlineStr">
        <is>
          <t>Test repeat economics</t>
        </is>
      </c>
      <c r="I33" s="3" t="inlineStr"/>
      <c r="J33" s="3" t="inlineStr"/>
      <c r="K33" s="3" t="inlineStr"/>
    </row>
    <row r="34" ht="78" customHeight="1">
      <c r="A34" s="2" t="inlineStr">
        <is>
          <t>Policy renewal rate</t>
        </is>
      </c>
      <c r="B34" s="2" t="inlineStr">
        <is>
          <t>Conditional</t>
        </is>
      </c>
      <c r="C34" s="2" t="inlineStr">
        <is>
          <t>Eligible due policies renewed / eligible policies reaching renewal due date</t>
        </is>
      </c>
      <c r="D34" s="2" t="inlineStr">
        <is>
          <t>Policy</t>
        </is>
      </c>
      <c r="E34" s="2" t="inlineStr">
        <is>
          <t>Mature due cohort; separate contractual remuneration rights</t>
        </is>
      </c>
      <c r="F34" s="2" t="inlineStr">
        <is>
          <t>Policy records</t>
        </is>
      </c>
      <c r="G34" s="2" t="inlineStr">
        <is>
          <t>Commercial</t>
        </is>
      </c>
      <c r="H34" s="2" t="inlineStr">
        <is>
          <t>Evaluate renewal relationship</t>
        </is>
      </c>
      <c r="I34" s="3" t="inlineStr"/>
      <c r="J34" s="3" t="inlineStr"/>
      <c r="K34" s="3" t="inlineStr"/>
    </row>
    <row r="35" ht="78" customHeight="1">
      <c r="A35" s="2" t="inlineStr">
        <is>
          <t>Estimate comprehension</t>
        </is>
      </c>
      <c r="B35" s="2" t="inlineStr">
        <is>
          <t>Primary UX</t>
        </is>
      </c>
      <c r="C35" s="2" t="inlineStr">
        <is>
          <t>Participants correctly explaining estimate and cover status / assessed participants</t>
        </is>
      </c>
      <c r="D35" s="2" t="inlineStr">
        <is>
          <t>Participant</t>
        </is>
      </c>
      <c r="E35" s="2" t="inlineStr">
        <is>
          <t>Qualitative task sample; denominator and question recorded; no population estimate</t>
        </is>
      </c>
      <c r="F35" s="2" t="inlineStr">
        <is>
          <t>Usability observation</t>
        </is>
      </c>
      <c r="G35" s="2" t="inlineStr">
        <is>
          <t>Research</t>
        </is>
      </c>
      <c r="H35" s="2" t="inlineStr">
        <is>
          <t>Detect harmful misunderstanding</t>
        </is>
      </c>
      <c r="I35" s="3" t="inlineStr"/>
      <c r="J35" s="3" t="inlineStr"/>
      <c r="K35" s="3" t="inlineStr"/>
    </row>
    <row r="36" ht="78" customHeight="1">
      <c r="A36" s="2" t="inlineStr">
        <is>
          <t>Independent task success</t>
        </is>
      </c>
      <c r="B36" s="2" t="inlineStr">
        <is>
          <t>Primary UX</t>
        </is>
      </c>
      <c r="C36" s="2" t="inlineStr">
        <is>
          <t>Task attempts completed correctly without help / assessed task attempts</t>
        </is>
      </c>
      <c r="D36" s="2" t="inlineStr">
        <is>
          <t>Task attempt</t>
        </is>
      </c>
      <c r="E36" s="2" t="inlineStr">
        <is>
          <t>Per task and participant; retain assist/failure reason</t>
        </is>
      </c>
      <c r="F36" s="2" t="inlineStr">
        <is>
          <t>Usability observation</t>
        </is>
      </c>
      <c r="G36" s="2" t="inlineStr">
        <is>
          <t>Research</t>
        </is>
      </c>
      <c r="H36" s="2" t="inlineStr">
        <is>
          <t>Prioritise product repairs</t>
        </is>
      </c>
      <c r="I36" s="3" t="inlineStr"/>
      <c r="J36" s="3" t="inlineStr"/>
      <c r="K36" s="3" t="inlineStr"/>
    </row>
    <row r="37" ht="78" customHeight="1">
      <c r="A37" s="2" t="inlineStr">
        <is>
          <t>Web Core Vitals</t>
        </is>
      </c>
      <c r="B37" s="2" t="inlineStr">
        <is>
          <t>Diagnostic</t>
        </is>
      </c>
      <c r="C37" s="2" t="inlineStr">
        <is>
          <t>LCP &lt;=2.5s; INP &lt;=200ms; CLS &lt;=0.1 at p75</t>
        </is>
      </c>
      <c r="D37" s="2" t="inlineStr">
        <is>
          <t>Web page-load distribution</t>
        </is>
      </c>
      <c r="E37" s="2" t="inlineStr">
        <is>
          <t>Field evidence; mobile/desktop separate; native app excluded</t>
        </is>
      </c>
      <c r="F37" s="2" t="inlineStr">
        <is>
          <t>Web field performance</t>
        </is>
      </c>
      <c r="G37" s="2" t="inlineStr">
        <is>
          <t>Engineering</t>
        </is>
      </c>
      <c r="H37" s="2" t="inlineStr">
        <is>
          <t>Improve loading responsiveness and stability</t>
        </is>
      </c>
      <c r="I37" s="3" t="inlineStr"/>
      <c r="J37" s="3" t="inlineStr"/>
      <c r="K37" s="3" t="inlineStr"/>
    </row>
    <row r="38" ht="78" customHeight="1">
      <c r="A38" s="2" t="inlineStr">
        <is>
          <t>Unlinked outcome share</t>
        </is>
      </c>
      <c r="B38" s="2" t="inlineStr">
        <is>
          <t>Primary data</t>
        </is>
      </c>
      <c r="C38" s="2" t="inlineStr">
        <is>
          <t>Outcomes lacking permitted upstream linkage / all outcomes</t>
        </is>
      </c>
      <c r="D38" s="2" t="inlineStr">
        <is>
          <t>Outcome</t>
        </is>
      </c>
      <c r="E38" s="2" t="inlineStr">
        <is>
          <t>By outcome type and route; no identity guessing</t>
        </is>
      </c>
      <c r="F38" s="2" t="inlineStr">
        <is>
          <t>CRM and measurement reconciliation</t>
        </is>
      </c>
      <c r="G38" s="2" t="inlineStr">
        <is>
          <t>Data</t>
        </is>
      </c>
      <c r="H38" s="2" t="inlineStr">
        <is>
          <t>Show attribution coverage</t>
        </is>
      </c>
      <c r="I38" s="3" t="inlineStr"/>
      <c r="J38" s="3" t="inlineStr"/>
      <c r="K38" s="3" t="inlineStr"/>
    </row>
    <row r="39" ht="78" customHeight="1">
      <c r="A39" s="2" t="inlineStr">
        <is>
          <t>Outcome reconciliation residual</t>
        </is>
      </c>
      <c r="B39" s="2" t="inlineStr">
        <is>
          <t>Primary data</t>
        </is>
      </c>
      <c r="C39" s="2" t="inlineStr">
        <is>
          <t>Operational or finance outcomes not reconciled to canonical records</t>
        </is>
      </c>
      <c r="D39" s="2" t="inlineStr">
        <is>
          <t>Event count and currency</t>
        </is>
      </c>
      <c r="E39" s="2" t="inlineStr">
        <is>
          <t>Daily and mature cohort; record causes; avoid hiding vendor modelling difference</t>
        </is>
      </c>
      <c r="F39" s="2" t="inlineStr">
        <is>
          <t>CRM fee ledger and exports</t>
        </is>
      </c>
      <c r="G39" s="2" t="inlineStr">
        <is>
          <t>Data</t>
        </is>
      </c>
      <c r="H39" s="2" t="inlineStr">
        <is>
          <t>Ensure decisions use correct data</t>
        </is>
      </c>
      <c r="I39" s="3" t="inlineStr"/>
      <c r="J39" s="3" t="inlineStr"/>
      <c r="K39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4" customWidth="1" min="2" max="2"/>
    <col width="44" customWidth="1" min="3" max="3"/>
    <col width="61" customWidth="1" min="4" max="4"/>
    <col width="79" customWidth="1" min="5" max="5"/>
    <col width="93" customWidth="1" min="6" max="6"/>
    <col width="33" customWidth="1" min="7" max="7"/>
  </cols>
  <sheetData>
    <row r="1" ht="32" customHeight="1">
      <c r="A1" s="1" t="inlineStr">
        <is>
          <t>Internal event</t>
        </is>
      </c>
      <c r="B1" s="1" t="inlineStr">
        <is>
          <t>Occurrence definition</t>
        </is>
      </c>
      <c r="C1" s="1" t="inlineStr">
        <is>
          <t>Source</t>
        </is>
      </c>
      <c r="D1" s="1" t="inlineStr">
        <is>
          <t>Identity or deduplication key</t>
        </is>
      </c>
      <c r="E1" s="1" t="inlineStr">
        <is>
          <t>Critical fields</t>
        </is>
      </c>
      <c r="F1" s="1" t="inlineStr">
        <is>
          <t>Advertising export</t>
        </is>
      </c>
      <c r="G1" s="1" t="inlineStr">
        <is>
          <t>Implementation status</t>
        </is>
      </c>
    </row>
    <row r="2" ht="78" customHeight="1">
      <c r="A2" s="2" t="inlineStr">
        <is>
          <t>landing_view</t>
        </is>
      </c>
      <c r="B2" s="2" t="inlineStr">
        <is>
          <t>Eligible destination becomes visible</t>
        </is>
      </c>
      <c r="C2" s="2" t="inlineStr">
        <is>
          <t>Permitted web measurement</t>
        </is>
      </c>
      <c r="D2" s="2" t="inlineStr">
        <is>
          <t>Session/page-view identity</t>
        </is>
      </c>
      <c r="E2" s="2" t="inlineStr">
        <is>
          <t>route; category; campaign source where permitted</t>
        </is>
      </c>
      <c r="F2" s="2" t="inlineStr">
        <is>
          <t>Only approved minimal fields</t>
        </is>
      </c>
      <c r="G2" s="2" t="inlineStr">
        <is>
          <t>Proposed; not implemented</t>
        </is>
      </c>
    </row>
    <row r="3" ht="78" customHeight="1">
      <c r="A3" s="2" t="inlineStr">
        <is>
          <t>store_outbound</t>
        </is>
      </c>
      <c r="B3" s="2" t="inlineStr">
        <is>
          <t>User activates store destination</t>
        </is>
      </c>
      <c r="C3" s="2" t="inlineStr">
        <is>
          <t>Permitted web measurement</t>
        </is>
      </c>
      <c r="D3" s="2" t="inlineStr">
        <is>
          <t>Session plus navigation event</t>
        </is>
      </c>
      <c r="E3" s="2" t="inlineStr">
        <is>
          <t>OS; route; destination</t>
        </is>
      </c>
      <c r="F3" s="2" t="inlineStr">
        <is>
          <t>Diagnostic only</t>
        </is>
      </c>
      <c r="G3" s="2" t="inlineStr">
        <is>
          <t>Proposed; not implemented</t>
        </is>
      </c>
    </row>
    <row r="4" ht="78" customHeight="1">
      <c r="A4" s="2" t="inlineStr">
        <is>
          <t>first_open</t>
        </is>
      </c>
      <c r="B4" s="2" t="inlineStr">
        <is>
          <t>Observable app instance opens for first time</t>
        </is>
      </c>
      <c r="C4" s="2" t="inlineStr">
        <is>
          <t>Permitted app measurement or store aggregate</t>
        </is>
      </c>
      <c r="D4" s="2" t="inlineStr">
        <is>
          <t>App instance where permitted; never owner</t>
        </is>
      </c>
      <c r="E4" s="2" t="inlineStr">
        <is>
          <t>OS; version; route when lawfully available</t>
        </is>
      </c>
      <c r="F4" s="2" t="inlineStr">
        <is>
          <t>Conditional on measurement/privacy assessment</t>
        </is>
      </c>
      <c r="G4" s="2" t="inlineStr">
        <is>
          <t>Proposed; not implemented</t>
        </is>
      </c>
    </row>
    <row r="5" ht="78" customHeight="1">
      <c r="A5" s="2" t="inlineStr">
        <is>
          <t>photo_attempt_started</t>
        </is>
      </c>
      <c r="B5" s="2" t="inlineStr">
        <is>
          <t>Input attempt starts at documented UI point</t>
        </is>
      </c>
      <c r="C5" s="2" t="inlineStr">
        <is>
          <t>Product</t>
        </is>
      </c>
      <c r="D5" s="2" t="inlineStr">
        <is>
          <t>Journey plus attempt identity</t>
        </is>
      </c>
      <c r="E5" s="2" t="inlineStr">
        <is>
          <t>category; OS; start timestamp</t>
        </is>
      </c>
      <c r="F5" s="2" t="inlineStr">
        <is>
          <t>Aggregate preferred initially</t>
        </is>
      </c>
      <c r="G5" s="2" t="inlineStr">
        <is>
          <t>Proposed; not implemented</t>
        </is>
      </c>
    </row>
    <row r="6" ht="78" customHeight="1">
      <c r="A6" s="2" t="inlineStr">
        <is>
          <t>photo_attempt_failed</t>
        </is>
      </c>
      <c r="B6" s="2" t="inlineStr">
        <is>
          <t>Attempt terminates or reaches declared timeout</t>
        </is>
      </c>
      <c r="C6" s="2" t="inlineStr">
        <is>
          <t>Product/backend</t>
        </is>
      </c>
      <c r="D6" s="2" t="inlineStr">
        <is>
          <t>Attempt identity plus terminal transition</t>
        </is>
      </c>
      <c r="E6" s="2" t="inlineStr">
        <is>
          <t>reason code; duration; version</t>
        </is>
      </c>
      <c r="F6" s="2" t="inlineStr">
        <is>
          <t>No sensitive data</t>
        </is>
      </c>
      <c r="G6" s="2" t="inlineStr">
        <is>
          <t>Proposed; not implemented</t>
        </is>
      </c>
    </row>
    <row r="7" ht="78" customHeight="1">
      <c r="A7" s="2" t="inlineStr">
        <is>
          <t>recognition_confirmed</t>
        </is>
      </c>
      <c r="B7" s="2" t="inlineStr">
        <is>
          <t>User confirms or corrects recognised item</t>
        </is>
      </c>
      <c r="C7" s="2" t="inlineStr">
        <is>
          <t>Product</t>
        </is>
      </c>
      <c r="D7" s="2" t="inlineStr">
        <is>
          <t>Attempt/result plus transition</t>
        </is>
      </c>
      <c r="E7" s="2" t="inlineStr">
        <is>
          <t>correction indicator; category</t>
        </is>
      </c>
      <c r="F7" s="2" t="inlineStr">
        <is>
          <t>Do not export identity/photo/free text</t>
        </is>
      </c>
      <c r="G7" s="2" t="inlineStr">
        <is>
          <t>Proposed; not implemented</t>
        </is>
      </c>
    </row>
    <row r="8" ht="78" customHeight="1">
      <c r="A8" s="2" t="inlineStr">
        <is>
          <t>estimate_viewed</t>
        </is>
      </c>
      <c r="B8" s="2" t="inlineStr">
        <is>
          <t>Usable indicative result is actually displayed</t>
        </is>
      </c>
      <c r="C8" s="2" t="inlineStr">
        <is>
          <t>Product</t>
        </is>
      </c>
      <c r="D8" s="2" t="inlineStr">
        <is>
          <t>Estimate identity plus first-view transition</t>
        </is>
      </c>
      <c r="E8" s="2" t="inlineStr">
        <is>
          <t>duration; category; indicative status</t>
        </is>
      </c>
      <c r="F8" s="2" t="inlineStr">
        <is>
          <t>Exclude asset and premium amounts by default</t>
        </is>
      </c>
      <c r="G8" s="2" t="inlineStr">
        <is>
          <t>Proposed; not implemented</t>
        </is>
      </c>
    </row>
    <row r="9" ht="78" customHeight="1">
      <c r="A9" s="2" t="inlineStr">
        <is>
          <t>quote_request_started</t>
        </is>
      </c>
      <c r="B9" s="2" t="inlineStr">
        <is>
          <t>User begins personalised enquiry</t>
        </is>
      </c>
      <c r="C9" s="2" t="inlineStr">
        <is>
          <t>Product</t>
        </is>
      </c>
      <c r="D9" s="2" t="inlineStr">
        <is>
          <t>Journey plus form-start identity</t>
        </is>
      </c>
      <c r="E9" s="2" t="inlineStr">
        <is>
          <t>route; category</t>
        </is>
      </c>
      <c r="F9" s="2" t="inlineStr">
        <is>
          <t>Diagnostic; not generated lead</t>
        </is>
      </c>
      <c r="G9" s="2" t="inlineStr">
        <is>
          <t>Proposed; not implemented</t>
        </is>
      </c>
    </row>
    <row r="10" ht="78" customHeight="1">
      <c r="A10" s="2" t="inlineStr">
        <is>
          <t>quote_request_submitted</t>
        </is>
      </c>
      <c r="B10" s="2" t="inlineStr">
        <is>
          <t>Backend accepts unique valid request</t>
        </is>
      </c>
      <c r="C10" s="2" t="inlineStr">
        <is>
          <t>Backend/CRM</t>
        </is>
      </c>
      <c r="D10" s="2" t="inlineStr">
        <is>
          <t>Request idempotency key and opportunity</t>
        </is>
      </c>
      <c r="E10" s="2" t="inlineStr">
        <is>
          <t>opportunity; category; eligibility country; contact availability</t>
        </is>
      </c>
      <c r="F10" s="2" t="inlineStr">
        <is>
          <t>Map to generate_lead only where permitted and meaningful</t>
        </is>
      </c>
      <c r="G10" s="2" t="inlineStr">
        <is>
          <t>Proposed; not implemented</t>
        </is>
      </c>
    </row>
    <row r="11" ht="78" customHeight="1">
      <c r="A11" s="2" t="inlineStr">
        <is>
          <t>lead_qualified</t>
        </is>
      </c>
      <c r="B11" s="2" t="inlineStr">
        <is>
          <t>Request meets written service criteria</t>
        </is>
      </c>
      <c r="C11" s="2" t="inlineStr">
        <is>
          <t>CRM</t>
        </is>
      </c>
      <c r="D11" s="2" t="inlineStr">
        <is>
          <t>Opportunity plus qualification decision</t>
        </is>
      </c>
      <c r="E11" s="2" t="inlineStr">
        <is>
          <t>criteria version; reason; occurrence time</t>
        </is>
      </c>
      <c r="F11" s="2" t="inlineStr">
        <is>
          <t>Map to qualify_lead if exported</t>
        </is>
      </c>
      <c r="G11" s="2" t="inlineStr">
        <is>
          <t>Proposed; not implemented</t>
        </is>
      </c>
    </row>
    <row r="12" ht="78" customHeight="1">
      <c r="A12" s="2" t="inlineStr">
        <is>
          <t>lead_delivered</t>
        </is>
      </c>
      <c r="B12" s="2" t="inlineStr">
        <is>
          <t>Partner acknowledges delivered request</t>
        </is>
      </c>
      <c r="C12" s="2" t="inlineStr">
        <is>
          <t>Backend/partner</t>
        </is>
      </c>
      <c r="D12" s="2" t="inlineStr">
        <is>
          <t>Opportunity-partner delivery key</t>
        </is>
      </c>
      <c r="E12" s="2" t="inlineStr">
        <is>
          <t>partner; timestamp; delivery status</t>
        </is>
      </c>
      <c r="F12" s="2" t="inlineStr">
        <is>
          <t>Internal unless justified</t>
        </is>
      </c>
      <c r="G12" s="2" t="inlineStr">
        <is>
          <t>Proposed; not implemented</t>
        </is>
      </c>
    </row>
    <row r="13" ht="78" customHeight="1">
      <c r="A13" s="2" t="inlineStr">
        <is>
          <t>partner_decision_recorded</t>
        </is>
      </c>
      <c r="B13" s="2" t="inlineStr">
        <is>
          <t>Partner gives substantive accepted/rejected/pending decision</t>
        </is>
      </c>
      <c r="C13" s="2" t="inlineStr">
        <is>
          <t>Partner/CRM</t>
        </is>
      </c>
      <c r="D13" s="2" t="inlineStr">
        <is>
          <t>Opportunity plus partner decision version</t>
        </is>
      </c>
      <c r="E13" s="2" t="inlineStr">
        <is>
          <t>decision; reason; partner; occurrence time</t>
        </is>
      </c>
      <c r="F13" s="2" t="inlineStr">
        <is>
          <t>Minimal outcome only if permitted</t>
        </is>
      </c>
      <c r="G13" s="2" t="inlineStr">
        <is>
          <t>Proposed; not implemented</t>
        </is>
      </c>
    </row>
    <row r="14" ht="78" customHeight="1">
      <c r="A14" s="2" t="inlineStr">
        <is>
          <t>quote_issued</t>
        </is>
      </c>
      <c r="B14" s="2" t="inlineStr">
        <is>
          <t>Formal personalised quote issued</t>
        </is>
      </c>
      <c r="C14" s="2" t="inlineStr">
        <is>
          <t>Partner/CRM</t>
        </is>
      </c>
      <c r="D14" s="2" t="inlineStr">
        <is>
          <t>Quote identity</t>
        </is>
      </c>
      <c r="E14" s="2" t="inlineStr">
        <is>
          <t>opportunity; insurer; issue time; status</t>
        </is>
      </c>
      <c r="F14" s="2" t="inlineStr">
        <is>
          <t>Do not assume fee earned</t>
        </is>
      </c>
      <c r="G14" s="2" t="inlineStr">
        <is>
          <t>Proposed; not implemented</t>
        </is>
      </c>
    </row>
    <row r="15" ht="78" customHeight="1">
      <c r="A15" s="2" t="inlineStr">
        <is>
          <t>policy_bound</t>
        </is>
      </c>
      <c r="B15" s="2" t="inlineStr">
        <is>
          <t>Cover effective under contract evidence</t>
        </is>
      </c>
      <c r="C15" s="2" t="inlineStr">
        <is>
          <t>Policy record</t>
        </is>
      </c>
      <c r="D15" s="2" t="inlineStr">
        <is>
          <t>Policy identity plus bind transition</t>
        </is>
      </c>
      <c r="E15" s="2" t="inlineStr">
        <is>
          <t>opportunity; effective time; policy status</t>
        </is>
      </c>
      <c r="F15" s="2" t="inlineStr">
        <is>
          <t>Completed transaction mapping only if meaning fits</t>
        </is>
      </c>
      <c r="G15" s="2" t="inlineStr">
        <is>
          <t>Proposed; not implemented</t>
        </is>
      </c>
    </row>
    <row r="16" ht="78" customHeight="1">
      <c r="A16" s="2" t="inlineStr">
        <is>
          <t>payable_event_confirmed</t>
        </is>
      </c>
      <c r="B16" s="2" t="inlineStr">
        <is>
          <t>Contractual fee condition satisfied</t>
        </is>
      </c>
      <c r="C16" s="2" t="inlineStr">
        <is>
          <t>Commercial record</t>
        </is>
      </c>
      <c r="D16" s="2" t="inlineStr">
        <is>
          <t>Agreement plus payable-event identity</t>
        </is>
      </c>
      <c r="E16" s="2" t="inlineStr">
        <is>
          <t>agreement; trigger; opportunity; occurrence time</t>
        </is>
      </c>
      <c r="F16" s="2" t="inlineStr">
        <is>
          <t>Candidate primary optimisation signal; consent assessed</t>
        </is>
      </c>
      <c r="G16" s="2" t="inlineStr">
        <is>
          <t>Proposed; not implemented</t>
        </is>
      </c>
    </row>
    <row r="17" ht="78" customHeight="1">
      <c r="A17" s="2" t="inlineStr">
        <is>
          <t>fee_earned</t>
        </is>
      </c>
      <c r="B17" s="2" t="inlineStr">
        <is>
          <t>Fee recorded as earned under agreed convention</t>
        </is>
      </c>
      <c r="C17" s="2" t="inlineStr">
        <is>
          <t>Finance</t>
        </is>
      </c>
      <c r="D17" s="2" t="inlineStr">
        <is>
          <t>Fee identity linked to payable event</t>
        </is>
      </c>
      <c r="E17" s="2" t="inlineStr">
        <is>
          <t>fee amount; currency; earned date; split treatment</t>
        </is>
      </c>
      <c r="F17" s="2" t="inlineStr">
        <is>
          <t>Value only with defined nonduplicating convention</t>
        </is>
      </c>
      <c r="G17" s="2" t="inlineStr">
        <is>
          <t>Proposed; not implemented</t>
        </is>
      </c>
    </row>
    <row r="18" ht="78" customHeight="1">
      <c r="A18" s="2" t="inlineStr">
        <is>
          <t>fee_reversed</t>
        </is>
      </c>
      <c r="B18" s="2" t="inlineStr">
        <is>
          <t>Earned fee partly or fully withdrawn</t>
        </is>
      </c>
      <c r="C18" s="2" t="inlineStr">
        <is>
          <t>Finance</t>
        </is>
      </c>
      <c r="D18" s="2" t="inlineStr">
        <is>
          <t>Reversal identity plus original fee</t>
        </is>
      </c>
      <c r="E18" s="2" t="inlineStr">
        <is>
          <t>amount; currency; reason; original fee</t>
        </is>
      </c>
      <c r="F18" s="2" t="inlineStr">
        <is>
          <t>Use platform-specific adjustment only if supported</t>
        </is>
      </c>
      <c r="G18" s="2" t="inlineStr">
        <is>
          <t>Proposed; not implemented</t>
        </is>
      </c>
    </row>
    <row r="19" ht="78" customHeight="1">
      <c r="A19" s="2" t="inlineStr">
        <is>
          <t>cash_received</t>
        </is>
      </c>
      <c r="B19" s="2" t="inlineStr">
        <is>
          <t>Actual receipt allocated to earned fee</t>
        </is>
      </c>
      <c r="C19" s="2" t="inlineStr">
        <is>
          <t>Finance</t>
        </is>
      </c>
      <c r="D19" s="2" t="inlineStr">
        <is>
          <t>Receipt plus allocation identity</t>
        </is>
      </c>
      <c r="E19" s="2" t="inlineStr">
        <is>
          <t>amount; currency; fee/invoice; receipt date</t>
        </is>
      </c>
      <c r="F19" s="2" t="inlineStr">
        <is>
          <t>Internal; not a second conversion</t>
        </is>
      </c>
      <c r="G19" s="2" t="inlineStr">
        <is>
          <t>Proposed; not implemented</t>
        </is>
      </c>
    </row>
    <row r="20" ht="78" customHeight="1">
      <c r="A20" s="2" t="inlineStr">
        <is>
          <t>item_added</t>
        </is>
      </c>
      <c r="B20" s="2" t="inlineStr">
        <is>
          <t>Owner saves an additional collection item</t>
        </is>
      </c>
      <c r="C20" s="2" t="inlineStr">
        <is>
          <t>Product</t>
        </is>
      </c>
      <c r="D20" s="2" t="inlineStr">
        <is>
          <t>Asset identity plus creation transition</t>
        </is>
      </c>
      <c r="E20" s="2" t="inlineStr">
        <is>
          <t>owner when known; category; timestamp</t>
        </is>
      </c>
      <c r="F20" s="2" t="inlineStr">
        <is>
          <t>Useful task signal; no automatic payable event</t>
        </is>
      </c>
      <c r="G20" s="2" t="inlineStr">
        <is>
          <t>Proposed; not implemented</t>
        </is>
      </c>
    </row>
    <row r="21" ht="78" customHeight="1">
      <c r="A21" s="2" t="inlineStr">
        <is>
          <t>documentation_updated</t>
        </is>
      </c>
      <c r="B21" s="2" t="inlineStr">
        <is>
          <t>Owner completes a defined documentation task</t>
        </is>
      </c>
      <c r="C21" s="2" t="inlineStr">
        <is>
          <t>Product/CRM</t>
        </is>
      </c>
      <c r="D21" s="2" t="inlineStr">
        <is>
          <t>Task identity plus completed transition</t>
        </is>
      </c>
      <c r="E21" s="2" t="inlineStr">
        <is>
          <t>task type; asset; timestamp</t>
        </is>
      </c>
      <c r="F21" s="2" t="inlineStr">
        <is>
          <t>Internal task measurement preferred</t>
        </is>
      </c>
      <c r="G21" s="2" t="inlineStr">
        <is>
          <t>Proposed; not implemented</t>
        </is>
      </c>
    </row>
    <row r="22" ht="78" customHeight="1">
      <c r="A22" s="2" t="inlineStr">
        <is>
          <t>coverage_update_requested</t>
        </is>
      </c>
      <c r="B22" s="2" t="inlineStr">
        <is>
          <t>Owner requests a real policy coverage review</t>
        </is>
      </c>
      <c r="C22" s="2" t="inlineStr">
        <is>
          <t>CRM</t>
        </is>
      </c>
      <c r="D22" s="2" t="inlineStr">
        <is>
          <t>Opportunity/request idempotency key</t>
        </is>
      </c>
      <c r="E22" s="2" t="inlineStr">
        <is>
          <t>owner; policy link; request timestamp</t>
        </is>
      </c>
      <c r="F22" s="2" t="inlineStr">
        <is>
          <t>Qualification and payment assessed separately</t>
        </is>
      </c>
      <c r="G22" s="2" t="inlineStr">
        <is>
          <t>Proposed; not implemented</t>
        </is>
      </c>
    </row>
    <row r="23" ht="78" customHeight="1">
      <c r="A23" s="2" t="inlineStr">
        <is>
          <t>renewal_completed</t>
        </is>
      </c>
      <c r="B23" s="2" t="inlineStr">
        <is>
          <t>Eligible due policy renews</t>
        </is>
      </c>
      <c r="C23" s="2" t="inlineStr">
        <is>
          <t>Policy record</t>
        </is>
      </c>
      <c r="D23" s="2" t="inlineStr">
        <is>
          <t>Policy plus renewal-term identity</t>
        </is>
      </c>
      <c r="E23" s="2" t="inlineStr">
        <is>
          <t>due date; term; status; rights reference</t>
        </is>
      </c>
      <c r="F23" s="2" t="inlineStr">
        <is>
          <t>Fee only if renewal remuneration earned</t>
        </is>
      </c>
      <c r="G23" s="2" t="inlineStr">
        <is>
          <t>Proposed; not implemented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8" customWidth="1" min="2" max="2"/>
    <col width="91" customWidth="1" min="3" max="3"/>
    <col width="68" customWidth="1" min="4" max="4"/>
    <col width="106" customWidth="1" min="5" max="5"/>
    <col width="34" customWidth="1" min="6" max="6"/>
    <col width="25" customWidth="1" min="7" max="7"/>
    <col width="66" customWidth="1" min="8" max="8"/>
  </cols>
  <sheetData>
    <row r="1" ht="32" customHeight="1">
      <c r="A1" s="1" t="inlineStr">
        <is>
          <t>Channel</t>
        </is>
      </c>
      <c r="B1" s="1" t="inlineStr">
        <is>
          <t>Research hypothesis</t>
        </is>
      </c>
      <c r="C1" s="1" t="inlineStr">
        <is>
          <t>First research action</t>
        </is>
      </c>
      <c r="D1" s="1" t="inlineStr">
        <is>
          <t>Primary commercial measure</t>
        </is>
      </c>
      <c r="E1" s="1" t="inlineStr">
        <is>
          <t>Important constraint</t>
        </is>
      </c>
      <c r="F1" s="1" t="inlineStr">
        <is>
          <t>Priority</t>
        </is>
      </c>
      <c r="G1" s="1" t="inlineStr">
        <is>
          <t>Observed cost</t>
        </is>
      </c>
      <c r="H1" s="1" t="inlineStr">
        <is>
          <t>Evidence reference</t>
        </is>
      </c>
    </row>
    <row r="2" ht="78" customHeight="1">
      <c r="A2" s="2" t="inlineStr">
        <is>
          <t>Google Search</t>
        </is>
      </c>
      <c r="B2" s="2" t="inlineStr">
        <is>
          <t>Explicit asset insurance intent may yield relevant requests</t>
        </is>
      </c>
      <c r="C2" s="2" t="inlineStr">
        <is>
          <t>Verify account; Portugal keyword forecast; inspect category-specific queries</t>
        </is>
      </c>
      <c r="D2" s="2" t="inlineStr">
        <is>
          <t>Contribution and cost per payable event</t>
        </is>
      </c>
      <c r="E2" s="2" t="inlineStr">
        <is>
          <t>Portugal financial services verification; low-volume search may be unforecastable</t>
        </is>
      </c>
      <c r="F2" s="2" t="inlineStr">
        <is>
          <t>First paid candidate</t>
        </is>
      </c>
      <c r="G2" s="2" t="inlineStr"/>
      <c r="H2" s="2" t="inlineStr">
        <is>
          <t>Google verification; Keyword Planner</t>
        </is>
      </c>
    </row>
    <row r="3" ht="78" customHeight="1">
      <c r="A3" s="2" t="inlineStr">
        <is>
          <t>Meta Facebook/Instagram</t>
        </is>
      </c>
      <c r="B3" s="2" t="inlineStr">
        <is>
          <t>Visual demonstration may explain the proposition</t>
        </is>
      </c>
      <c r="C3" s="2" t="inlineStr">
        <is>
          <t>Resolve Portugal/account policy; compare insurance and photo messaging</t>
        </is>
      </c>
      <c r="D3" s="2" t="inlineStr">
        <is>
          <t>Qualified/payable yield and contribution by creative</t>
        </is>
      </c>
      <c r="E3" s="2" t="inlineStr">
        <is>
          <t>Official special-category scope inaccessible in public review; account check required</t>
        </is>
      </c>
      <c r="F3" s="2" t="inlineStr">
        <is>
          <t>Second paid candidate</t>
        </is>
      </c>
      <c r="G3" s="2" t="inlineStr"/>
      <c r="H3" s="2" t="inlineStr">
        <is>
          <t>Meta financial services help; unresolved</t>
        </is>
      </c>
    </row>
    <row r="4" ht="78" customHeight="1">
      <c r="A4" s="2" t="inlineStr">
        <is>
          <t>Apple Ads</t>
        </is>
      </c>
      <c r="B4" s="2" t="inlineStr">
        <is>
          <t>App Store discovery may acquire useful iOS users</t>
        </is>
      </c>
      <c r="C4" s="2" t="inlineStr">
        <is>
          <t>Assess privacy-compatible downstream measurement and App Store demand</t>
        </is>
      </c>
      <c r="D4" s="2" t="inlineStr">
        <is>
          <t>First usable estimate and payable yield after install</t>
        </is>
      </c>
      <c r="E4" s="2" t="inlineStr">
        <is>
          <t>App Store region is not necessarily residence or insurance eligibility</t>
        </is>
      </c>
      <c r="F4" s="2" t="inlineStr">
        <is>
          <t>Conditional</t>
        </is>
      </c>
      <c r="G4" s="2" t="inlineStr"/>
      <c r="H4" s="2" t="inlineStr">
        <is>
          <t>Apple markets and glossary</t>
        </is>
      </c>
    </row>
    <row r="5" ht="78" customHeight="1">
      <c r="A5" s="2" t="inlineStr">
        <is>
          <t>TikTok</t>
        </is>
      </c>
      <c r="B5" s="2" t="inlineStr">
        <is>
          <t>Creator-style explanation may produce discovery</t>
        </is>
      </c>
      <c r="C5" s="2" t="inlineStr">
        <is>
          <t>Confirm Portuguese insurance eligibility before designing paid pilot</t>
        </is>
      </c>
      <c r="D5" s="2" t="inlineStr">
        <is>
          <t>Qualified and payable outcomes</t>
        </is>
      </c>
      <c r="E5" s="2" t="inlineStr">
        <is>
          <t>Brazil explicitly lists insurance; Portugal list does not settle it</t>
        </is>
      </c>
      <c r="F5" s="2" t="inlineStr">
        <is>
          <t>Later</t>
        </is>
      </c>
      <c r="G5" s="2" t="inlineStr"/>
      <c r="H5" s="2" t="inlineStr">
        <is>
          <t>TikTok financial services policy</t>
        </is>
      </c>
    </row>
    <row r="6" ht="78" customHeight="1">
      <c r="A6" s="2" t="inlineStr">
        <is>
          <t>LinkedIn</t>
        </is>
      </c>
      <c r="B6" s="2" t="inlineStr">
        <is>
          <t>Professional audience may yield distribution partners</t>
        </is>
      </c>
      <c r="C6" s="2" t="inlineStr">
        <is>
          <t>Define partner qualification and activated relationship</t>
        </is>
      </c>
      <c r="D6" s="2" t="inlineStr">
        <is>
          <t>Activated partners and subsequent profitable owner referrals</t>
        </is>
      </c>
      <c r="E6" s="2" t="inlineStr">
        <is>
          <t>Keep partner funnel separate from consumer leads</t>
        </is>
      </c>
      <c r="F6" s="2" t="inlineStr">
        <is>
          <t>Separate B2B lane</t>
        </is>
      </c>
      <c r="G6" s="2" t="inlineStr"/>
      <c r="H6" s="2" t="inlineStr">
        <is>
          <t>LinkedIn forms</t>
        </is>
      </c>
    </row>
    <row r="7" ht="78" customHeight="1">
      <c r="A7" s="2" t="inlineStr">
        <is>
          <t>Dealer/specialist referral</t>
        </is>
      </c>
      <c r="B7" s="2" t="inlineStr">
        <is>
          <t>Relevant purchase/appraisal moment may improve intent</t>
        </is>
      </c>
      <c r="C7" s="2" t="inlineStr">
        <is>
          <t>Obtain one relationship, fee and onboarding cost; use known referral identity</t>
        </is>
      </c>
      <c r="D7" s="2" t="inlineStr">
        <is>
          <t>Contribution including referral and staff cost</t>
        </is>
      </c>
      <c r="E7" s="2" t="inlineStr">
        <is>
          <t>Access unconfirmed; concentrated pilot does not prove whole channel</t>
        </is>
      </c>
      <c r="F7" s="2" t="inlineStr">
        <is>
          <t>First comparator</t>
        </is>
      </c>
      <c r="G7" s="2" t="inlineStr"/>
      <c r="H7" s="2" t="inlineStr">
        <is>
          <t>Relationship terms required</t>
        </is>
      </c>
    </row>
    <row r="8" ht="78" customHeight="1">
      <c r="A8" s="2" t="inlineStr">
        <is>
          <t>Organic guides</t>
        </is>
      </c>
      <c r="B8" s="2" t="inlineStr">
        <is>
          <t>Useful category answers may assist insurance enquiries</t>
        </is>
      </c>
      <c r="C8" s="2" t="inlineStr">
        <is>
          <t>Define narrow Portuguese guide topics and production cost</t>
        </is>
      </c>
      <c r="D8" s="2" t="inlineStr">
        <is>
          <t>Qualified assisted requests and attributable cost</t>
        </is>
      </c>
      <c r="E8" s="2" t="inlineStr">
        <is>
          <t>Time to benefit and attribution uncertainty</t>
        </is>
      </c>
      <c r="F8" s="2" t="inlineStr">
        <is>
          <t>Alongside pilot</t>
        </is>
      </c>
      <c r="G8" s="2" t="inlineStr"/>
      <c r="H8" s="2" t="inlineStr">
        <is>
          <t>Search/task research required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8" customWidth="1" min="2" max="2"/>
    <col width="72" customWidth="1" min="3" max="3"/>
    <col width="74" customWidth="1" min="4" max="4"/>
    <col width="47" customWidth="1" min="5" max="5"/>
    <col width="75" customWidth="1" min="6" max="6"/>
  </cols>
  <sheetData>
    <row r="1" ht="32" customHeight="1">
      <c r="A1" s="1" t="inlineStr">
        <is>
          <t>Task</t>
        </is>
      </c>
      <c r="B1" s="1" t="inlineStr">
        <is>
          <t>Participant instruction</t>
        </is>
      </c>
      <c r="C1" s="1" t="inlineStr">
        <is>
          <t>Observation</t>
        </is>
      </c>
      <c r="D1" s="1" t="inlineStr">
        <is>
          <t>Risk to resolve</t>
        </is>
      </c>
      <c r="E1" s="1" t="inlineStr">
        <is>
          <t>Evidence type</t>
        </is>
      </c>
      <c r="F1" s="1" t="inlineStr">
        <is>
          <t>Findings</t>
        </is>
      </c>
    </row>
    <row r="2" ht="78" customHeight="1">
      <c r="A2" s="2" t="inlineStr">
        <is>
          <t>Offer comprehension</t>
        </is>
      </c>
      <c r="B2" s="2" t="inlineStr">
        <is>
          <t>Explain what this service will give you</t>
        </is>
      </c>
      <c r="C2" s="2" t="inlineStr">
        <is>
          <t>Own-words explanation</t>
        </is>
      </c>
      <c r="D2" s="2" t="inlineStr">
        <is>
          <t>Photo result confused with valuation or cover</t>
        </is>
      </c>
      <c r="E2" s="2" t="inlineStr">
        <is>
          <t>Qualitative observation</t>
        </is>
      </c>
      <c r="F2" s="2" t="inlineStr"/>
    </row>
    <row r="3" ht="78" customHeight="1">
      <c r="A3" s="2" t="inlineStr">
        <is>
          <t>Eligible category</t>
        </is>
      </c>
      <c r="B3" s="2" t="inlineStr">
        <is>
          <t>Find whether your item and country can be served</t>
        </is>
      </c>
      <c r="C3" s="2" t="inlineStr">
        <is>
          <t>Path, uncertainty and assistance</t>
        </is>
      </c>
      <c r="D3" s="2" t="inlineStr">
        <is>
          <t>Wasted installation or unsupported request</t>
        </is>
      </c>
      <c r="E3" s="2" t="inlineStr">
        <is>
          <t>Prototype/authorised test</t>
        </is>
      </c>
      <c r="F3" s="2" t="inlineStr"/>
    </row>
    <row r="4" ht="78" customHeight="1">
      <c r="A4" s="2" t="inlineStr">
        <is>
          <t>First estimate</t>
        </is>
      </c>
      <c r="B4" s="2" t="inlineStr">
        <is>
          <t>Use a safe test photo to obtain a first result</t>
        </is>
      </c>
      <c r="C4" s="2" t="inlineStr">
        <is>
          <t>Completion, time and permission response</t>
        </is>
      </c>
      <c r="D4" s="2" t="inlineStr">
        <is>
          <t>Capture/upload/latency loss</t>
        </is>
      </c>
      <c r="E4" s="2" t="inlineStr">
        <is>
          <t>Prototype/authorised test</t>
        </is>
      </c>
      <c r="F4" s="2" t="inlineStr"/>
    </row>
    <row r="5" ht="78" customHeight="1">
      <c r="A5" s="2" t="inlineStr">
        <is>
          <t>Wrong recognition</t>
        </is>
      </c>
      <c r="B5" s="2" t="inlineStr">
        <is>
          <t>Correct the deliberately wrong item match</t>
        </is>
      </c>
      <c r="C5" s="2" t="inlineStr">
        <is>
          <t>Recovery success and preserved information</t>
        </is>
      </c>
      <c r="D5" s="2" t="inlineStr">
        <is>
          <t>User trapped by incorrect AI output</t>
        </is>
      </c>
      <c r="E5" s="2" t="inlineStr">
        <is>
          <t>Seeded test result</t>
        </is>
      </c>
      <c r="F5" s="2" t="inlineStr"/>
    </row>
    <row r="6" ht="78" customHeight="1">
      <c r="A6" s="2" t="inlineStr">
        <is>
          <t>Cover status</t>
        </is>
      </c>
      <c r="B6" s="2" t="inlineStr">
        <is>
          <t>Explain whether the shown result means you are insured</t>
        </is>
      </c>
      <c r="C6" s="2" t="inlineStr">
        <is>
          <t>Correct distinction without moderator hints</t>
        </is>
      </c>
      <c r="D6" s="2" t="inlineStr">
        <is>
          <t>Misunderstood indicative premium</t>
        </is>
      </c>
      <c r="E6" s="2" t="inlineStr">
        <is>
          <t>Comprehension task</t>
        </is>
      </c>
      <c r="F6" s="2" t="inlineStr"/>
    </row>
    <row r="7" ht="78" customHeight="1">
      <c r="A7" s="2" t="inlineStr">
        <is>
          <t>Quotation request</t>
        </is>
      </c>
      <c r="B7" s="2" t="inlineStr">
        <is>
          <t>Request personalised help in the test environment</t>
        </is>
      </c>
      <c r="C7" s="2" t="inlineStr">
        <is>
          <t>Fields, errors, repetition and completion</t>
        </is>
      </c>
      <c r="D7" s="2" t="inlineStr">
        <is>
          <t>Friction or ineligible enquiries</t>
        </is>
      </c>
      <c r="E7" s="2" t="inlineStr">
        <is>
          <t>No live insurance submission</t>
        </is>
      </c>
      <c r="F7" s="2" t="inlineStr"/>
    </row>
    <row r="8" ht="78" customHeight="1">
      <c r="A8" s="2" t="inlineStr">
        <is>
          <t>Partner handoff</t>
        </is>
      </c>
      <c r="B8" s="2" t="inlineStr">
        <is>
          <t>Find who receives the request and what happens next</t>
        </is>
      </c>
      <c r="C8" s="2" t="inlineStr">
        <is>
          <t>Recipient, next step and response expectation</t>
        </is>
      </c>
      <c r="D8" s="2" t="inlineStr">
        <is>
          <t>Unclear responsibility and contact</t>
        </is>
      </c>
      <c r="E8" s="2" t="inlineStr">
        <is>
          <t>Prototype/authorised test</t>
        </is>
      </c>
      <c r="F8" s="2" t="inlineStr"/>
    </row>
    <row r="9" ht="78" customHeight="1">
      <c r="A9" s="2" t="inlineStr">
        <is>
          <t>Failed upload</t>
        </is>
      </c>
      <c r="B9" s="2" t="inlineStr">
        <is>
          <t>Recover from a simulated connection failure</t>
        </is>
      </c>
      <c r="C9" s="2" t="inlineStr">
        <is>
          <t>Retry, cancellation and saved state</t>
        </is>
      </c>
      <c r="D9" s="2" t="inlineStr">
        <is>
          <t>Repeated photo work or unexplained failure</t>
        </is>
      </c>
      <c r="E9" s="2" t="inlineStr">
        <is>
          <t>Seeded failure</t>
        </is>
      </c>
      <c r="F9" s="2" t="inlineStr"/>
    </row>
    <row r="10" ht="78" customHeight="1">
      <c r="A10" s="2" t="inlineStr">
        <is>
          <t>Pending status</t>
        </is>
      </c>
      <c r="B10" s="2" t="inlineStr">
        <is>
          <t>Find the current state of your enquiry</t>
        </is>
      </c>
      <c r="C10" s="2" t="inlineStr">
        <is>
          <t>Comprehension and useful next action</t>
        </is>
      </c>
      <c r="D10" s="2" t="inlineStr">
        <is>
          <t>Silent partner delay</t>
        </is>
      </c>
      <c r="E10" s="2" t="inlineStr">
        <is>
          <t>Prototype/authorised test</t>
        </is>
      </c>
      <c r="F10" s="2" t="inlineStr"/>
    </row>
    <row r="11" ht="78" customHeight="1">
      <c r="A11" s="2" t="inlineStr">
        <is>
          <t>Useful later task</t>
        </is>
      </c>
      <c r="B11" s="2" t="inlineStr">
        <is>
          <t>Update a safe item record or request coverage review</t>
        </is>
      </c>
      <c r="C11" s="2" t="inlineStr">
        <is>
          <t>Independent useful task completion</t>
        </is>
      </c>
      <c r="D11" s="2" t="inlineStr">
        <is>
          <t>Return activity with no owner value</t>
        </is>
      </c>
      <c r="E11" s="2" t="inlineStr">
        <is>
          <t>Prototype/authorised test</t>
        </is>
      </c>
      <c r="F1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2" customWidth="1" min="2" max="2"/>
    <col width="107" customWidth="1" min="3" max="3"/>
    <col width="83" customWidth="1" min="4" max="4"/>
    <col width="110" customWidth="1" min="5" max="5"/>
    <col width="97" customWidth="1" min="6" max="6"/>
    <col width="36" customWidth="1" min="7" max="7"/>
  </cols>
  <sheetData>
    <row r="1" ht="32" customHeight="1">
      <c r="A1" s="1" t="inlineStr">
        <is>
          <t>Experiment</t>
        </is>
      </c>
      <c r="B1" s="1" t="inlineStr">
        <is>
          <t>Question</t>
        </is>
      </c>
      <c r="C1" s="1" t="inlineStr">
        <is>
          <t>Design</t>
        </is>
      </c>
      <c r="D1" s="1" t="inlineStr">
        <is>
          <t>Primary outcome</t>
        </is>
      </c>
      <c r="E1" s="1" t="inlineStr">
        <is>
          <t>Guardrails and limitations</t>
        </is>
      </c>
      <c r="F1" s="1" t="inlineStr">
        <is>
          <t>Decision</t>
        </is>
      </c>
      <c r="G1" s="1" t="inlineStr">
        <is>
          <t>Execution status</t>
        </is>
      </c>
    </row>
    <row r="2" ht="78" customHeight="1">
      <c r="A2" s="2" t="inlineStr">
        <is>
          <t>Usability round</t>
        </is>
      </c>
      <c r="B2" s="2" t="inlineStr">
        <is>
          <t>Can target owners complete and understand the journey?</t>
        </is>
      </c>
      <c r="C2" s="2" t="inlineStr">
        <is>
          <t>6-8 adults; selected Portuguese category; test assets; diverse experience and devices</t>
        </is>
      </c>
      <c r="D2" s="2" t="inlineStr">
        <is>
          <t>Task success and estimate/cover comprehension</t>
        </is>
      </c>
      <c r="E2" s="2" t="inlineStr">
        <is>
          <t>Directional sample; safe environment; complementary accessibility assessment</t>
        </is>
      </c>
      <c r="F2" s="2" t="inlineStr">
        <is>
          <t>Repair critical task/comprehension problems before traffic</t>
        </is>
      </c>
      <c r="G2" s="2" t="inlineStr">
        <is>
          <t>Proposed; not executed</t>
        </is>
      </c>
    </row>
    <row r="3" ht="78" customHeight="1">
      <c r="A3" s="2" t="inlineStr">
        <is>
          <t>Search versus referral</t>
        </is>
      </c>
      <c r="B3" s="2" t="inlineStr">
        <is>
          <t>Can routes produce acceptable contribution?</t>
        </is>
      </c>
      <c r="C3" s="2" t="inlineStr">
        <is>
          <t>One category and payment agreement; costed search cohort and one specialist/dealer cohort</t>
        </is>
      </c>
      <c r="D3" s="2" t="inlineStr">
        <is>
          <t>Mature cohort contribution after full attributable costs</t>
        </is>
      </c>
      <c r="E3" s="2" t="inlineStr">
        <is>
          <t>Different audiences; descriptive comparison; capacity and pending outcomes visible</t>
        </is>
      </c>
      <c r="F3" s="2" t="inlineStr">
        <is>
          <t>Choose next bounded investment from observed economics and uncertainty</t>
        </is>
      </c>
      <c r="G3" s="2" t="inlineStr">
        <is>
          <t>Proposed; not executed</t>
        </is>
      </c>
    </row>
    <row r="4" ht="78" customHeight="1">
      <c r="A4" s="2" t="inlineStr">
        <is>
          <t>Message comparison</t>
        </is>
      </c>
      <c r="B4" s="2" t="inlineStr">
        <is>
          <t>Does insurance intent beat photo curiosity commercially?</t>
        </is>
      </c>
      <c r="C4" s="2" t="inlineStr">
        <is>
          <t>Within-channel randomised creative/message where practical; otherwise label observational</t>
        </is>
      </c>
      <c r="D4" s="2" t="inlineStr">
        <is>
          <t>Qualified and payable yield</t>
        </is>
      </c>
      <c r="E4" s="2" t="inlineStr">
        <is>
          <t>Single declared primary commercial outcome; mature follow-up; no CTR winner shortcut</t>
        </is>
      </c>
      <c r="F4" s="2" t="inlineStr">
        <is>
          <t>Use message with economically meaningful supported outcome</t>
        </is>
      </c>
      <c r="G4" s="2" t="inlineStr">
        <is>
          <t>Proposed; not executed</t>
        </is>
      </c>
    </row>
    <row r="5" ht="78" customHeight="1">
      <c r="A5" s="2" t="inlineStr">
        <is>
          <t>Partner handoff</t>
        </is>
      </c>
      <c r="B5" s="2" t="inlineStr">
        <is>
          <t>Does clearer status/response commitment improve fulfilment?</t>
        </is>
      </c>
      <c r="C5" s="2" t="inlineStr">
        <is>
          <t>Same service lane; randomised eligible requests where practical; agreed response capacity</t>
        </is>
      </c>
      <c r="D5" s="2" t="inlineStr">
        <is>
          <t>Resolved requests and payable yield</t>
        </is>
      </c>
      <c r="E5" s="2" t="inlineStr">
        <is>
          <t>No fabricated response promise; no withholding required information; backlog shown</t>
        </is>
      </c>
      <c r="F5" s="2" t="inlineStr">
        <is>
          <t>Revise handoff if completed service improves</t>
        </is>
      </c>
      <c r="G5" s="2" t="inlineStr">
        <is>
          <t>Proposed; not executed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0" customWidth="1" min="2" max="2"/>
    <col width="40" customWidth="1" min="3" max="3"/>
    <col width="100" customWidth="1" min="4" max="4"/>
    <col width="26" customWidth="1" min="5" max="5"/>
    <col width="70" customWidth="1" min="6" max="6"/>
  </cols>
  <sheetData>
    <row r="1" ht="32" customHeight="1">
      <c r="A1" s="1" t="inlineStr">
        <is>
          <t>Priority</t>
        </is>
      </c>
      <c r="B1" s="1" t="inlineStr">
        <is>
          <t>Request</t>
        </is>
      </c>
      <c r="C1" s="1" t="inlineStr">
        <is>
          <t>Owner</t>
        </is>
      </c>
      <c r="D1" s="1" t="inlineStr">
        <is>
          <t>Purpose</t>
        </is>
      </c>
      <c r="E1" s="1" t="inlineStr">
        <is>
          <t>Status</t>
        </is>
      </c>
      <c r="F1" s="1" t="inlineStr">
        <is>
          <t>Evidence reference</t>
        </is>
      </c>
    </row>
    <row r="2" ht="78" customHeight="1">
      <c r="A2" s="2" t="inlineStr">
        <is>
          <t>P0</t>
        </is>
      </c>
      <c r="B2" s="2" t="inlineStr">
        <is>
          <t>Portugal category-country acceptance and partner capacity</t>
        </is>
      </c>
      <c r="C2" s="2" t="inlineStr">
        <is>
          <t>Commercial/Operations</t>
        </is>
      </c>
      <c r="D2" s="2" t="inlineStr">
        <is>
          <t>Select a serviceable first lane</t>
        </is>
      </c>
      <c r="E2" s="2" t="inlineStr">
        <is>
          <t>Unobtained</t>
        </is>
      </c>
      <c r="F2" s="2" t="inlineStr"/>
    </row>
    <row r="3" ht="78" customHeight="1">
      <c r="A3" s="2" t="inlineStr">
        <is>
          <t>P0</t>
        </is>
      </c>
      <c r="B3" s="2" t="inlineStr">
        <is>
          <t>Written payable trigger, fee, split and reversal rules</t>
        </is>
      </c>
      <c r="C3" s="2" t="inlineStr">
        <is>
          <t>Commercial/Finance</t>
        </is>
      </c>
      <c r="D3" s="2" t="inlineStr">
        <is>
          <t>Define commercial outcome and CPC/CPA ceiling</t>
        </is>
      </c>
      <c r="E3" s="2" t="inlineStr">
        <is>
          <t>Unobtained</t>
        </is>
      </c>
      <c r="F3" s="2" t="inlineStr"/>
    </row>
    <row r="4" ht="78" customHeight="1">
      <c r="A4" s="2" t="inlineStr">
        <is>
          <t>P0</t>
        </is>
      </c>
      <c r="B4" s="2" t="inlineStr">
        <is>
          <t>Historical request, qualification, delivery, decision and payment outcomes with dates</t>
        </is>
      </c>
      <c r="C4" s="2" t="inlineStr">
        <is>
          <t>Data/Operations/Finance</t>
        </is>
      </c>
      <c r="D4" s="2" t="inlineStr">
        <is>
          <t>Build mature observed funnel and reconcile finance</t>
        </is>
      </c>
      <c r="E4" s="2" t="inlineStr">
        <is>
          <t>Unobtained</t>
        </is>
      </c>
      <c r="F4" s="2" t="inlineStr"/>
    </row>
    <row r="5" ht="78" customHeight="1">
      <c r="A5" s="2" t="inlineStr">
        <is>
          <t>P0</t>
        </is>
      </c>
      <c r="B5" s="2" t="inlineStr">
        <is>
          <t>Current app/web SDKs, tags, cookie controls, privacy notices and vendor purposes</t>
        </is>
      </c>
      <c r="C5" s="2" t="inlineStr">
        <is>
          <t>Product/Data/Privacy owner</t>
        </is>
      </c>
      <c r="D5" s="2" t="inlineStr">
        <is>
          <t>Assess measurement design against published promise</t>
        </is>
      </c>
      <c r="E5" s="2" t="inlineStr">
        <is>
          <t>Unobtained</t>
        </is>
      </c>
      <c r="F5" s="2" t="inlineStr"/>
    </row>
    <row r="6" ht="78" customHeight="1">
      <c r="A6" s="2" t="inlineStr">
        <is>
          <t>P0</t>
        </is>
      </c>
      <c r="B6" s="2" t="inlineStr">
        <is>
          <t>Google Ads account verification and applicable advertiser status</t>
        </is>
      </c>
      <c r="C6" s="2" t="inlineStr">
        <is>
          <t>Acquisition/Commercial</t>
        </is>
      </c>
      <c r="D6" s="2" t="inlineStr">
        <is>
          <t>Determine readiness for Portuguese insurance test</t>
        </is>
      </c>
      <c r="E6" s="2" t="inlineStr">
        <is>
          <t>Unobtained</t>
        </is>
      </c>
      <c r="F6" s="2" t="inlineStr"/>
    </row>
    <row r="7" ht="78" customHeight="1">
      <c r="A7" s="2" t="inlineStr">
        <is>
          <t>P0</t>
        </is>
      </c>
      <c r="B7" s="2" t="inlineStr">
        <is>
          <t>Actual app store to first estimate journey on iOS and Android</t>
        </is>
      </c>
      <c r="C7" s="2" t="inlineStr">
        <is>
          <t>Product</t>
        </is>
      </c>
      <c r="D7" s="2" t="inlineStr">
        <is>
          <t>Measure transition and find failure paths</t>
        </is>
      </c>
      <c r="E7" s="2" t="inlineStr">
        <is>
          <t>Unobtained</t>
        </is>
      </c>
      <c r="F7" s="2" t="inlineStr"/>
    </row>
    <row r="8" ht="78" customHeight="1">
      <c r="A8" s="2" t="inlineStr">
        <is>
          <t>P0</t>
        </is>
      </c>
      <c r="B8" s="2" t="inlineStr">
        <is>
          <t>Variable cost drivers and attributable acquisition/referral/onboarding costs</t>
        </is>
      </c>
      <c r="C8" s="2" t="inlineStr">
        <is>
          <t>Finance</t>
        </is>
      </c>
      <c r="D8" s="2" t="inlineStr">
        <is>
          <t>Calculate contribution including free and failed journeys</t>
        </is>
      </c>
      <c r="E8" s="2" t="inlineStr">
        <is>
          <t>Unobtained</t>
        </is>
      </c>
      <c r="F8" s="2" t="inlineStr"/>
    </row>
    <row r="9" ht="78" customHeight="1">
      <c r="A9" s="2" t="inlineStr">
        <is>
          <t>P1</t>
        </is>
      </c>
      <c r="B9" s="2" t="inlineStr">
        <is>
          <t>Portuguese keyword forecast with location, language, currency and date</t>
        </is>
      </c>
      <c r="C9" s="2" t="inlineStr">
        <is>
          <t>Acquisition</t>
        </is>
      </c>
      <c r="D9" s="2" t="inlineStr">
        <is>
          <t>Assess paid search volume and bid feasibility</t>
        </is>
      </c>
      <c r="E9" s="2" t="inlineStr">
        <is>
          <t>Unobtained</t>
        </is>
      </c>
      <c r="F9" s="2" t="inlineStr"/>
    </row>
    <row r="10" ht="78" customHeight="1">
      <c r="A10" s="2" t="inlineStr">
        <is>
          <t>P1</t>
        </is>
      </c>
      <c r="B10" s="2" t="inlineStr">
        <is>
          <t>Meta Portugal/account financial category requirements and available destinations</t>
        </is>
      </c>
      <c r="C10" s="2" t="inlineStr">
        <is>
          <t>Acquisition</t>
        </is>
      </c>
      <c r="D10" s="2" t="inlineStr">
        <is>
          <t>Resolve platform-specific eligibility and targeting</t>
        </is>
      </c>
      <c r="E10" s="2" t="inlineStr">
        <is>
          <t>Unobtained</t>
        </is>
      </c>
      <c r="F10" s="2" t="inlineStr"/>
    </row>
    <row r="11" ht="78" customHeight="1">
      <c r="A11" s="2" t="inlineStr">
        <is>
          <t>P1</t>
        </is>
      </c>
      <c r="B11" s="2" t="inlineStr">
        <is>
          <t>One dealer/specialist relationship, fees, workflow and sample owner access</t>
        </is>
      </c>
      <c r="C11" s="2" t="inlineStr">
        <is>
          <t>Commercial</t>
        </is>
      </c>
      <c r="D11" s="2" t="inlineStr">
        <is>
          <t>Create costed distribution comparator</t>
        </is>
      </c>
      <c r="E11" s="2" t="inlineStr">
        <is>
          <t>Unobtained</t>
        </is>
      </c>
      <c r="F11" s="2" t="inlineStr"/>
    </row>
    <row r="12" ht="78" customHeight="1">
      <c r="A12" s="2" t="inlineStr">
        <is>
          <t>P1</t>
        </is>
      </c>
      <c r="B12" s="2" t="inlineStr">
        <is>
          <t>Recruitment access to target Portuguese owners</t>
        </is>
      </c>
      <c r="C12" s="2" t="inlineStr">
        <is>
          <t>Research</t>
        </is>
      </c>
      <c r="D12" s="2" t="inlineStr">
        <is>
          <t>Run first task and comprehension round</t>
        </is>
      </c>
      <c r="E12" s="2" t="inlineStr">
        <is>
          <t>Unobtained</t>
        </is>
      </c>
      <c r="F12" s="2" t="inlineStr"/>
    </row>
    <row r="13" ht="78" customHeight="1">
      <c r="A13" s="2" t="inlineStr">
        <is>
          <t>P1</t>
        </is>
      </c>
      <c r="B13" s="2" t="inlineStr">
        <is>
          <t>Net renewal/referral rights and mature due policy cohorts</t>
        </is>
      </c>
      <c r="C13" s="2" t="inlineStr">
        <is>
          <t>Commercial/Finance</t>
        </is>
      </c>
      <c r="D13" s="2" t="inlineStr">
        <is>
          <t>Assess supported future contribution</t>
        </is>
      </c>
      <c r="E13" s="2" t="inlineStr">
        <is>
          <t>Unobtained</t>
        </is>
      </c>
      <c r="F13" s="2" t="inlineStr"/>
    </row>
    <row r="14" ht="78" customHeight="1">
      <c r="A14" s="2" t="inlineStr">
        <is>
          <t>P2</t>
        </is>
      </c>
      <c r="B14" s="2" t="inlineStr">
        <is>
          <t>TikTok Portuguese insurance eligibility for exact offer</t>
        </is>
      </c>
      <c r="C14" s="2" t="inlineStr">
        <is>
          <t>Acquisition/Commercial</t>
        </is>
      </c>
      <c r="D14" s="2" t="inlineStr">
        <is>
          <t>Evaluate later discovery test</t>
        </is>
      </c>
      <c r="E14" s="2" t="inlineStr">
        <is>
          <t>Unobtained</t>
        </is>
      </c>
      <c r="F14" s="2" t="inlineStr"/>
    </row>
    <row r="15" ht="78" customHeight="1">
      <c r="A15" s="2" t="inlineStr">
        <is>
          <t>P2</t>
        </is>
      </c>
      <c r="B15" s="2" t="inlineStr">
        <is>
          <t>Named Brazilian or European expansion partner and local placement rights</t>
        </is>
      </c>
      <c r="C15" s="2" t="inlineStr">
        <is>
          <t>Commercial</t>
        </is>
      </c>
      <c r="D15" s="2" t="inlineStr">
        <is>
          <t>Build separate expansion case</t>
        </is>
      </c>
      <c r="E15" s="2" t="inlineStr">
        <is>
          <t>Unobtained</t>
        </is>
      </c>
      <c r="F1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  <col width="34" customWidth="1" min="3" max="3"/>
    <col width="23" customWidth="1" min="4" max="4"/>
    <col width="72" customWidth="1" min="5" max="5"/>
    <col width="91" customWidth="1" min="6" max="6"/>
    <col width="101" customWidth="1" min="7" max="7"/>
  </cols>
  <sheetData>
    <row r="1" ht="32" customHeight="1">
      <c r="A1" s="1" t="inlineStr">
        <is>
          <t>Source</t>
        </is>
      </c>
      <c r="B1" s="1" t="inlineStr">
        <is>
          <t>URL or workspace file</t>
        </is>
      </c>
      <c r="C1" s="1" t="inlineStr">
        <is>
          <t>Authority</t>
        </is>
      </c>
      <c r="D1" s="1" t="inlineStr">
        <is>
          <t>Review date</t>
        </is>
      </c>
      <c r="E1" s="1" t="inlineStr">
        <is>
          <t>Retrieval status</t>
        </is>
      </c>
      <c r="F1" s="1" t="inlineStr">
        <is>
          <t>Supports</t>
        </is>
      </c>
      <c r="G1" s="1" t="inlineStr">
        <is>
          <t>Claim limit</t>
        </is>
      </c>
    </row>
    <row r="2" ht="78" customHeight="1">
      <c r="A2" s="2" t="inlineStr">
        <is>
          <t>Objais how it works</t>
        </is>
      </c>
      <c r="B2" s="2" t="inlineStr">
        <is>
          <t>https://www.objais.com/en/how-it-works</t>
        </is>
      </c>
      <c r="C2" s="2" t="inlineStr">
        <is>
          <t>Company</t>
        </is>
      </c>
      <c r="D2" s="2" t="inlineStr">
        <is>
          <t>2026-10-13</t>
        </is>
      </c>
      <c r="E2" s="2" t="inlineStr">
        <is>
          <t>Full page via web</t>
        </is>
      </c>
      <c r="F2" s="2" t="inlineStr">
        <is>
          <t>Public photo-to-estimate-to-quotation proposition</t>
        </is>
      </c>
      <c r="G2" s="2" t="inlineStr">
        <is>
          <t>Advertised; no app performance test</t>
        </is>
      </c>
    </row>
    <row r="3" ht="78" customHeight="1">
      <c r="A3" s="2" t="inlineStr">
        <is>
          <t>Objais FAQ</t>
        </is>
      </c>
      <c r="B3" s="2" t="inlineStr">
        <is>
          <t>https://objais.com/en/faq</t>
        </is>
      </c>
      <c r="C3" s="2" t="inlineStr">
        <is>
          <t>Company</t>
        </is>
      </c>
      <c r="D3" s="2" t="inlineStr">
        <is>
          <t>2026-10-13</t>
        </is>
      </c>
      <c r="E3" s="2" t="inlineStr">
        <is>
          <t>HTTP 200; full page text via requests</t>
        </is>
      </c>
      <c r="F3" s="2" t="inlineStr">
        <is>
          <t>Estimate distinction; activation timing; public remuneration explanation</t>
        </is>
      </c>
      <c r="G3" s="2" t="inlineStr">
        <is>
          <t>Contractual Objais payment terms remain unknown</t>
        </is>
      </c>
    </row>
    <row r="4" ht="78" customHeight="1">
      <c r="A4" s="2" t="inlineStr">
        <is>
          <t>Objais privacy</t>
        </is>
      </c>
      <c r="B4" s="2" t="inlineStr">
        <is>
          <t>https://objais.com/en/privacy</t>
        </is>
      </c>
      <c r="C4" s="2" t="inlineStr">
        <is>
          <t>Company policy</t>
        </is>
      </c>
      <c r="D4" s="2" t="inlineStr">
        <is>
          <t>2026-10-13</t>
        </is>
      </c>
      <c r="E4" s="2" t="inlineStr">
        <is>
          <t>HTTP 200; full page text via requests</t>
        </is>
      </c>
      <c r="F4" s="2" t="inlineStr">
        <is>
          <t>No mobile tracking tools promise; website choices; request/marketing purpose distinction</t>
        </is>
      </c>
      <c r="G4" s="2" t="inlineStr">
        <is>
          <t>Published policy; implementation not inspected</t>
        </is>
      </c>
    </row>
    <row r="5" ht="78" customHeight="1">
      <c r="A5" s="2" t="inlineStr">
        <is>
          <t>Google Portugal verification</t>
        </is>
      </c>
      <c r="B5" s="2" t="inlineStr">
        <is>
          <t>https://support.google.com/adspolicy/answer/15332527?co=GENIE.CountryCode%3DPT&amp;hl=en</t>
        </is>
      </c>
      <c r="C5" s="2" t="inlineStr">
        <is>
          <t>Platform policy</t>
        </is>
      </c>
      <c r="D5" s="2" t="inlineStr">
        <is>
          <t>2026-10-13</t>
        </is>
      </c>
      <c r="E5" s="2" t="inlineStr">
        <is>
          <t>Full page via web</t>
        </is>
      </c>
      <c r="F5" s="2" t="inlineStr">
        <is>
          <t>Portuguese financial-services verification and advertiser routes</t>
        </is>
      </c>
      <c r="G5" s="2" t="inlineStr">
        <is>
          <t>No proof actual Objais account certified</t>
        </is>
      </c>
    </row>
    <row r="6" ht="78" customHeight="1">
      <c r="A6" s="2" t="inlineStr">
        <is>
          <t>Google Keyword Planner</t>
        </is>
      </c>
      <c r="B6" s="2" t="inlineStr">
        <is>
          <t>https://support.google.com/google-ads/answer/7337243?hl=en</t>
        </is>
      </c>
      <c r="C6" s="2" t="inlineStr">
        <is>
          <t>Platform documentation</t>
        </is>
      </c>
      <c r="D6" s="2" t="inlineStr">
        <is>
          <t>2026-10-13</t>
        </is>
      </c>
      <c r="E6" s="2" t="inlineStr">
        <is>
          <t>Full page via web</t>
        </is>
      </c>
      <c r="F6" s="2" t="inlineStr">
        <is>
          <t>Keyword research and forecast methods</t>
        </is>
      </c>
      <c r="G6" s="2" t="inlineStr">
        <is>
          <t>No actual Portugal forecast obtained</t>
        </is>
      </c>
    </row>
    <row r="7" ht="78" customHeight="1">
      <c r="A7" s="2" t="inlineStr">
        <is>
          <t>Google Performance Max</t>
        </is>
      </c>
      <c r="B7" s="2" t="inlineStr">
        <is>
          <t>https://support.google.com/google-ads/answer/10724817?hl=en</t>
        </is>
      </c>
      <c r="C7" s="2" t="inlineStr">
        <is>
          <t>Platform documentation</t>
        </is>
      </c>
      <c r="D7" s="2" t="inlineStr">
        <is>
          <t>2026-10-13</t>
        </is>
      </c>
      <c r="E7" s="2" t="inlineStr">
        <is>
          <t>Full result content via web</t>
        </is>
      </c>
      <c r="F7" s="2" t="inlineStr">
        <is>
          <t>Multi-inventory campaign scope</t>
        </is>
      </c>
      <c r="G7" s="2" t="inlineStr">
        <is>
          <t>No campaign comparison or performance claim</t>
        </is>
      </c>
    </row>
    <row r="8" ht="78" customHeight="1">
      <c r="A8" s="2" t="inlineStr">
        <is>
          <t>Meta financial services help</t>
        </is>
      </c>
      <c r="B8" s="2" t="inlineStr">
        <is>
          <t>https://www.facebook.com/business/help/510724041294968</t>
        </is>
      </c>
      <c r="C8" s="2" t="inlineStr">
        <is>
          <t>Platform policy reference</t>
        </is>
      </c>
      <c r="D8" s="2" t="inlineStr">
        <is>
          <t>2026-10-13</t>
        </is>
      </c>
      <c r="E8" s="2" t="inlineStr">
        <is>
          <t>Login redirect; substantive policy inaccessible</t>
        </is>
      </c>
      <c r="F8" s="2" t="inlineStr">
        <is>
          <t>Identifies official reference for account follow-up</t>
        </is>
      </c>
      <c r="G8" s="2" t="inlineStr">
        <is>
          <t>Portugal scope unresolved; does not substantiate current targeting rules</t>
        </is>
      </c>
    </row>
    <row r="9" ht="78" customHeight="1">
      <c r="A9" s="2" t="inlineStr">
        <is>
          <t>Apple Ads markets</t>
        </is>
      </c>
      <c r="B9" s="2" t="inlineStr">
        <is>
          <t>https://ads.apple.com/app-store/countries-and-regions</t>
        </is>
      </c>
      <c r="C9" s="2" t="inlineStr">
        <is>
          <t>Platform documentation</t>
        </is>
      </c>
      <c r="D9" s="2" t="inlineStr">
        <is>
          <t>2026-10-13</t>
        </is>
      </c>
      <c r="E9" s="2" t="inlineStr">
        <is>
          <t>Full result content via web</t>
        </is>
      </c>
      <c r="F9" s="2" t="inlineStr">
        <is>
          <t>Portugal and Brazil listed</t>
        </is>
      </c>
      <c r="G9" s="2" t="inlineStr">
        <is>
          <t>Availability is not financial-product approval</t>
        </is>
      </c>
    </row>
    <row r="10" ht="78" customHeight="1">
      <c r="A10" s="2" t="inlineStr">
        <is>
          <t>Apple Ads glossary</t>
        </is>
      </c>
      <c r="B10" s="2" t="inlineStr">
        <is>
          <t>https://ads.apple.com/app-store/help-glossary</t>
        </is>
      </c>
      <c r="C10" s="2" t="inlineStr">
        <is>
          <t>Platform documentation</t>
        </is>
      </c>
      <c r="D10" s="2" t="inlineStr">
        <is>
          <t>2026-10-13</t>
        </is>
      </c>
      <c r="E10" s="2" t="inlineStr">
        <is>
          <t>Full relevant content via web</t>
        </is>
      </c>
      <c r="F10" s="2" t="inlineStr">
        <is>
          <t>App Store region may differ from physical location</t>
        </is>
      </c>
      <c r="G10" s="2" t="inlineStr">
        <is>
          <t>Does not establish insurance eligibility</t>
        </is>
      </c>
    </row>
    <row r="11" ht="78" customHeight="1">
      <c r="A11" s="2" t="inlineStr">
        <is>
          <t>TikTok financial services</t>
        </is>
      </c>
      <c r="B11" s="2" t="inlineStr">
        <is>
          <t>https://ads.tiktok.com/resources/help/article/tiktok-ads-policy-financial-services?lang=en</t>
        </is>
      </c>
      <c r="C11" s="2" t="inlineStr">
        <is>
          <t>Platform policy</t>
        </is>
      </c>
      <c r="D11" s="2" t="inlineStr">
        <is>
          <t>2026-10-13</t>
        </is>
      </c>
      <c r="E11" s="2" t="inlineStr">
        <is>
          <t>Full page and Portugal/Brazil sections via web</t>
        </is>
      </c>
      <c r="F11" s="2" t="inlineStr">
        <is>
          <t>Country differences; licence/disclosure/adult rules</t>
        </is>
      </c>
      <c r="G11" s="2" t="inlineStr">
        <is>
          <t>Portugal insurance omission does not prove allowed or prohibited</t>
        </is>
      </c>
    </row>
    <row r="12" ht="78" customHeight="1">
      <c r="A12" s="2" t="inlineStr">
        <is>
          <t>LinkedIn forms</t>
        </is>
      </c>
      <c r="B12" s="2" t="inlineStr">
        <is>
          <t>https://business.linkedin.com/advertise/ads/sponsored-content/lead-gen-ads</t>
        </is>
      </c>
      <c r="C12" s="2" t="inlineStr">
        <is>
          <t>Platform documentation</t>
        </is>
      </c>
      <c r="D12" s="2" t="inlineStr">
        <is>
          <t>2026-10-13</t>
        </is>
      </c>
      <c r="E12" s="2" t="inlineStr">
        <is>
          <t>Full page via web</t>
        </is>
      </c>
      <c r="F12" s="2" t="inlineStr">
        <is>
          <t>Prefilled professional forms and CRM/export</t>
        </is>
      </c>
      <c r="G12" s="2" t="inlineStr">
        <is>
          <t>No Objais lead cost or quality established</t>
        </is>
      </c>
    </row>
    <row r="13" ht="78" customHeight="1">
      <c r="A13" s="2" t="inlineStr">
        <is>
          <t>Google Analytics events</t>
        </is>
      </c>
      <c r="B13" s="2" t="inlineStr">
        <is>
          <t>https://developers.google.com/analytics/devguides/collection/protocol/ga4/reference/events</t>
        </is>
      </c>
      <c r="C13" s="2" t="inlineStr">
        <is>
          <t>Platform technical documentation</t>
        </is>
      </c>
      <c r="D13" s="2" t="inlineStr">
        <is>
          <t>2026-10-13</t>
        </is>
      </c>
      <c r="E13" s="2" t="inlineStr">
        <is>
          <t>Full page via web</t>
        </is>
      </c>
      <c r="F13" s="2" t="inlineStr">
        <is>
          <t>Lead lifecycle semantics; custom event option</t>
        </is>
      </c>
      <c r="G13" s="2" t="inlineStr">
        <is>
          <t>Internal suggested names are proposed; no installed instrumentation</t>
        </is>
      </c>
    </row>
    <row r="14" ht="78" customHeight="1">
      <c r="A14" s="2" t="inlineStr">
        <is>
          <t>Google enhanced leads</t>
        </is>
      </c>
      <c r="B14" s="2" t="inlineStr">
        <is>
          <t>https://support.google.com/google-ads/answer/14274408?hl=en</t>
        </is>
      </c>
      <c r="C14" s="2" t="inlineStr">
        <is>
          <t>Platform technical documentation</t>
        </is>
      </c>
      <c r="D14" s="2" t="inlineStr">
        <is>
          <t>2026-10-13</t>
        </is>
      </c>
      <c r="E14" s="2" t="inlineStr">
        <is>
          <t>Full page via web</t>
        </is>
      </c>
      <c r="F14" s="2" t="inlineStr">
        <is>
          <t>Downstream outcome feedback; consent/value/IDs; 2026 Data Manager changes</t>
        </is>
      </c>
      <c r="G14" s="2" t="inlineStr">
        <is>
          <t>Actual account route and permissions require assessment</t>
        </is>
      </c>
    </row>
    <row r="15" ht="78" customHeight="1">
      <c r="A15" s="2" t="inlineStr">
        <is>
          <t>Apple privacy</t>
        </is>
      </c>
      <c r="B15" s="2" t="inlineStr">
        <is>
          <t>https://developer.apple.com/app-store/user-privacy-and-data-use/</t>
        </is>
      </c>
      <c r="C15" s="2" t="inlineStr">
        <is>
          <t>Platform rules</t>
        </is>
      </c>
      <c r="D15" s="2" t="inlineStr">
        <is>
          <t>2026-10-13</t>
        </is>
      </c>
      <c r="E15" s="2" t="inlineStr">
        <is>
          <t>Full page and relevant passage via web</t>
        </is>
      </c>
      <c r="F15" s="2" t="inlineStr">
        <is>
          <t>ATT and SDK/deep-link tracking scope</t>
        </is>
      </c>
      <c r="G15" s="2" t="inlineStr">
        <is>
          <t>Not all first-party measurement is advertising tracking</t>
        </is>
      </c>
    </row>
    <row r="16" ht="78" customHeight="1">
      <c r="A16" s="2" t="inlineStr">
        <is>
          <t>W3C labels</t>
        </is>
      </c>
      <c r="B16" s="2" t="inlineStr">
        <is>
          <t>https://www.w3.org/WAI/tutorials/forms/labels/</t>
        </is>
      </c>
      <c r="C16" s="2" t="inlineStr">
        <is>
          <t>Standards guidance</t>
        </is>
      </c>
      <c r="D16" s="2" t="inlineStr">
        <is>
          <t>2026-10-13</t>
        </is>
      </c>
      <c r="E16" s="2" t="inlineStr">
        <is>
          <t>Full page via web</t>
        </is>
      </c>
      <c r="F16" s="2" t="inlineStr">
        <is>
          <t>Visible associated form labels</t>
        </is>
      </c>
      <c r="G16" s="2" t="inlineStr">
        <is>
          <t>Does not establish Objais accessibility conformance</t>
        </is>
      </c>
    </row>
    <row r="17" ht="78" customHeight="1">
      <c r="A17" s="2" t="inlineStr">
        <is>
          <t>W3C errors</t>
        </is>
      </c>
      <c r="B17" s="2" t="inlineStr">
        <is>
          <t>https://www.w3.org/WAI/WCAG22/Understanding/error-identification</t>
        </is>
      </c>
      <c r="C17" s="2" t="inlineStr">
        <is>
          <t>Standards guidance</t>
        </is>
      </c>
      <c r="D17" s="2" t="inlineStr">
        <is>
          <t>2026-10-13</t>
        </is>
      </c>
      <c r="E17" s="2" t="inlineStr">
        <is>
          <t>Full page via web</t>
        </is>
      </c>
      <c r="F17" s="2" t="inlineStr">
        <is>
          <t>Error identification and recovery explanation</t>
        </is>
      </c>
      <c r="G17" s="2" t="inlineStr">
        <is>
          <t>No actual Objais interface evaluated</t>
        </is>
      </c>
    </row>
    <row r="18" ht="78" customHeight="1">
      <c r="A18" s="2" t="inlineStr">
        <is>
          <t>WCAG 2.2</t>
        </is>
      </c>
      <c r="B18" s="2" t="inlineStr">
        <is>
          <t>https://www.w3.org/TR/WCAG22/</t>
        </is>
      </c>
      <c r="C18" s="2" t="inlineStr">
        <is>
          <t>Standard</t>
        </is>
      </c>
      <c r="D18" s="2" t="inlineStr">
        <is>
          <t>2026-10-13</t>
        </is>
      </c>
      <c r="E18" s="2" t="inlineStr">
        <is>
          <t>Relevant content via web search</t>
        </is>
      </c>
      <c r="F18" s="2" t="inlineStr">
        <is>
          <t>Accessibility and financial submission review/correction criterion</t>
        </is>
      </c>
      <c r="G18" s="2" t="inlineStr">
        <is>
          <t>Design guidance; not a conformance audit</t>
        </is>
      </c>
    </row>
    <row r="19" ht="78" customHeight="1">
      <c r="A19" s="2" t="inlineStr">
        <is>
          <t>Web Vitals</t>
        </is>
      </c>
      <c r="B19" s="2" t="inlineStr">
        <is>
          <t>https://web.dev/articles/vitals</t>
        </is>
      </c>
      <c r="C19" s="2" t="inlineStr">
        <is>
          <t>Google web performance guidance</t>
        </is>
      </c>
      <c r="D19" s="2" t="inlineStr">
        <is>
          <t>2026-10-13</t>
        </is>
      </c>
      <c r="E19" s="2" t="inlineStr">
        <is>
          <t>Full page and threshold passage via web</t>
        </is>
      </c>
      <c r="F19" s="2" t="inlineStr">
        <is>
          <t>LCP/INP/CLS targets at p75</t>
        </is>
      </c>
      <c r="G19" s="2" t="inlineStr">
        <is>
          <t>Web targets; no native-app or business conversion benchmark</t>
        </is>
      </c>
    </row>
    <row r="20" ht="78" customHeight="1">
      <c r="A20" s="2" t="inlineStr">
        <is>
          <t>Howden Portugal</t>
        </is>
      </c>
      <c r="B20" s="2" t="inlineStr">
        <is>
          <t>https://www.howdengroup.com/pt-pt/fine-art-specie</t>
        </is>
      </c>
      <c r="C20" s="2" t="inlineStr">
        <is>
          <t>Provider</t>
        </is>
      </c>
      <c r="D20" s="2" t="inlineStr">
        <is>
          <t>2026-10-13</t>
        </is>
      </c>
      <c r="E20" s="2" t="inlineStr">
        <is>
          <t>Full page via web</t>
        </is>
      </c>
      <c r="F20" s="2" t="inlineStr">
        <is>
          <t>Specialist fine-art and quotation journey benchmark</t>
        </is>
      </c>
      <c r="G20" s="2" t="inlineStr">
        <is>
          <t>No conversion statistics or Objais partner evidence</t>
        </is>
      </c>
    </row>
    <row r="21" ht="78" customHeight="1">
      <c r="A21" s="2" t="inlineStr">
        <is>
          <t>Fidelidade pet servicing</t>
        </is>
      </c>
      <c r="B21" s="2" t="inlineStr">
        <is>
          <t>https://mypets.fidelidade.pt/usar-seguro</t>
        </is>
      </c>
      <c r="C21" s="2" t="inlineStr">
        <is>
          <t>Provider</t>
        </is>
      </c>
      <c r="D21" s="2" t="inlineStr">
        <is>
          <t>2026-10-13</t>
        </is>
      </c>
      <c r="E21" s="2" t="inlineStr">
        <is>
          <t>Full page via web</t>
        </is>
      </c>
      <c r="F21" s="2" t="inlineStr">
        <is>
          <t>Existing pet insurance use and MyFidelidade reimbursement workflow</t>
        </is>
      </c>
      <c r="G21" s="2" t="inlineStr">
        <is>
          <t>No Objais partnership or retention outcome</t>
        </is>
      </c>
    </row>
    <row r="22" ht="78" customHeight="1">
      <c r="A22" s="2" t="inlineStr">
        <is>
          <t>Existing Objais company report</t>
        </is>
      </c>
      <c r="B22" s="2" t="inlineStr">
        <is>
          <t>Objais Research Report.md</t>
        </is>
      </c>
      <c r="C22" s="2" t="inlineStr">
        <is>
          <t>Workspace research baseline</t>
        </is>
      </c>
      <c r="D22" s="2" t="inlineStr">
        <is>
          <t>2026-10-13</t>
        </is>
      </c>
      <c r="E22" s="2" t="inlineStr">
        <is>
          <t>Read locally</t>
        </is>
      </c>
      <c r="F22" s="2" t="inlineStr">
        <is>
          <t>Prior product distinctions and research scope</t>
        </is>
      </c>
      <c r="G22" s="2" t="inlineStr">
        <is>
          <t>Private accounts and app performance not established</t>
        </is>
      </c>
    </row>
    <row r="23" ht="78" customHeight="1">
      <c r="A23" s="2" t="inlineStr">
        <is>
          <t>Existing revenue research strategy</t>
        </is>
      </c>
      <c r="B23" s="2" t="inlineStr">
        <is>
          <t>Objais Revenue Research Strategy.md</t>
        </is>
      </c>
      <c r="C23" s="2" t="inlineStr">
        <is>
          <t>Workspace proposed strategy</t>
        </is>
      </c>
      <c r="D23" s="2" t="inlineStr">
        <is>
          <t>2026-10-13</t>
        </is>
      </c>
      <c r="E23" s="2" t="inlineStr">
        <is>
          <t>Read locally</t>
        </is>
      </c>
      <c r="F23" s="2" t="inlineStr">
        <is>
          <t>Lead assumption; commercial rights; cohort and route distinctions</t>
        </is>
      </c>
      <c r="G23" s="2" t="inlineStr">
        <is>
          <t>Planned research, not actual contract evidence</t>
        </is>
      </c>
    </row>
    <row r="24" ht="78" customHeight="1">
      <c r="A24" s="2" t="inlineStr">
        <is>
          <t>Existing revenue summary</t>
        </is>
      </c>
      <c r="B24" s="2" t="inlineStr">
        <is>
          <t>Objais Revenue Model Numerical Summary.md</t>
        </is>
      </c>
      <c r="C24" s="2" t="inlineStr">
        <is>
          <t>Workspace analytical model</t>
        </is>
      </c>
      <c r="D24" s="2" t="inlineStr">
        <is>
          <t>2026-10-13</t>
        </is>
      </c>
      <c r="E24" s="2" t="inlineStr">
        <is>
          <t>Read locally</t>
        </is>
      </c>
      <c r="F24" s="2" t="inlineStr">
        <is>
          <t>Owner/opportunity/payment/cash counting and cost model</t>
        </is>
      </c>
      <c r="G24" s="2" t="inlineStr">
        <is>
          <t>Illustrative inputs are not observed economics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7" customWidth="1" min="2" max="2"/>
    <col width="38" customWidth="1" min="3" max="3"/>
    <col width="38" customWidth="1" min="4" max="4"/>
  </cols>
  <sheetData>
    <row r="1">
      <c r="A1" s="1" t="inlineStr">
        <is>
          <t>Illustrative variable</t>
        </is>
      </c>
      <c r="B1" s="1" t="inlineStr">
        <is>
          <t>Value</t>
        </is>
      </c>
      <c r="C1" s="1" t="inlineStr">
        <is>
          <t>Unit or formula</t>
        </is>
      </c>
      <c r="D1" t="inlineStr">
        <is>
          <t>Expected result with illustrative inputs</t>
        </is>
      </c>
    </row>
    <row r="2">
      <c r="A2" s="4" t="inlineStr">
        <is>
          <t>Entry clicks</t>
        </is>
      </c>
      <c r="B2" s="5" t="n">
        <v>1000</v>
      </c>
      <c r="C2" s="4" t="inlineStr">
        <is>
          <t>Invented</t>
        </is>
      </c>
    </row>
    <row r="3">
      <c r="A3" s="4" t="inlineStr">
        <is>
          <t>Request rate</t>
        </is>
      </c>
      <c r="B3" s="6" t="n">
        <v>0.05</v>
      </c>
      <c r="C3" s="4" t="inlineStr">
        <is>
          <t>Invented fraction</t>
        </is>
      </c>
    </row>
    <row r="4">
      <c r="A4" s="4" t="inlineStr">
        <is>
          <t>Payable share of requests</t>
        </is>
      </c>
      <c r="B4" s="6" t="n">
        <v>0.5</v>
      </c>
      <c r="C4" s="4" t="inlineStr">
        <is>
          <t>Invented fraction</t>
        </is>
      </c>
    </row>
    <row r="5">
      <c r="A5" s="4" t="inlineStr">
        <is>
          <t>Fee</t>
        </is>
      </c>
      <c r="B5" s="5" t="n">
        <v>20</v>
      </c>
      <c r="C5" s="4" t="inlineStr">
        <is>
          <t>Invented EUR per payable lead</t>
        </is>
      </c>
    </row>
    <row r="6">
      <c r="A6" s="4" t="inlineStr">
        <is>
          <t>Reversal share</t>
        </is>
      </c>
      <c r="B6" s="6" t="n">
        <v>0.05</v>
      </c>
      <c r="C6" s="4" t="inlineStr">
        <is>
          <t>Invented fraction</t>
        </is>
      </c>
    </row>
    <row r="7">
      <c r="A7" s="4" t="inlineStr">
        <is>
          <t>Payable processing</t>
        </is>
      </c>
      <c r="B7" s="5" t="n">
        <v>1</v>
      </c>
      <c r="C7" s="4" t="inlineStr">
        <is>
          <t>Invented EUR per payable lead</t>
        </is>
      </c>
    </row>
    <row r="8">
      <c r="A8" s="4" t="inlineStr">
        <is>
          <t>All-entry variable cost</t>
        </is>
      </c>
      <c r="B8" s="5" t="n">
        <v>0.1</v>
      </c>
      <c r="C8" s="4" t="inlineStr">
        <is>
          <t>Invented EUR per click</t>
        </is>
      </c>
    </row>
    <row r="9">
      <c r="A9" s="4" t="inlineStr">
        <is>
          <t>Actual media CPC</t>
        </is>
      </c>
      <c r="B9" s="5" t="n">
        <v>0.5</v>
      </c>
      <c r="C9" s="4" t="inlineStr">
        <is>
          <t>Invented EUR per click</t>
        </is>
      </c>
    </row>
    <row r="10">
      <c r="A10" s="4" t="inlineStr">
        <is>
          <t>Submitted requests</t>
        </is>
      </c>
      <c r="B10" s="4">
        <f>B2*B3</f>
        <v/>
      </c>
      <c r="C10" s="4" t="inlineStr">
        <is>
          <t>Count</t>
        </is>
      </c>
      <c r="D10" s="7" t="n">
        <v>50</v>
      </c>
    </row>
    <row r="11">
      <c r="A11" s="4" t="inlineStr">
        <is>
          <t>Payable leads</t>
        </is>
      </c>
      <c r="B11" s="4">
        <f>B10*B4</f>
        <v/>
      </c>
      <c r="C11" s="4" t="inlineStr">
        <is>
          <t>Count</t>
        </is>
      </c>
      <c r="D11" s="7" t="n">
        <v>25</v>
      </c>
    </row>
    <row r="12">
      <c r="A12" s="4" t="inlineStr">
        <is>
          <t>Gross earned fees</t>
        </is>
      </c>
      <c r="B12" s="8">
        <f>B11*B5</f>
        <v/>
      </c>
      <c r="C12" s="4" t="inlineStr">
        <is>
          <t>EUR</t>
        </is>
      </c>
      <c r="D12" s="7" t="n">
        <v>500</v>
      </c>
    </row>
    <row r="13">
      <c r="A13" s="4" t="inlineStr">
        <is>
          <t>Expected fee reversals</t>
        </is>
      </c>
      <c r="B13" s="8">
        <f>B12*B6</f>
        <v/>
      </c>
      <c r="C13" s="4" t="inlineStr">
        <is>
          <t>EUR</t>
        </is>
      </c>
      <c r="D13" s="7" t="n">
        <v>25</v>
      </c>
    </row>
    <row r="14">
      <c r="A14" s="4" t="inlineStr">
        <is>
          <t>Net earned fees</t>
        </is>
      </c>
      <c r="B14" s="8">
        <f>B12-B13</f>
        <v/>
      </c>
      <c r="C14" s="4" t="inlineStr">
        <is>
          <t>EUR</t>
        </is>
      </c>
      <c r="D14" s="7" t="n">
        <v>475</v>
      </c>
    </row>
    <row r="15">
      <c r="A15" s="4" t="inlineStr">
        <is>
          <t>Payable processing costs</t>
        </is>
      </c>
      <c r="B15" s="8">
        <f>B11*B7</f>
        <v/>
      </c>
      <c r="C15" s="4" t="inlineStr">
        <is>
          <t>EUR</t>
        </is>
      </c>
      <c r="D15" s="7" t="n">
        <v>25</v>
      </c>
    </row>
    <row r="16">
      <c r="A16" s="4" t="inlineStr">
        <is>
          <t>All-entry variable costs</t>
        </is>
      </c>
      <c r="B16" s="8">
        <f>B2*B8</f>
        <v/>
      </c>
      <c r="C16" s="4" t="inlineStr">
        <is>
          <t>EUR</t>
        </is>
      </c>
      <c r="D16" s="7" t="n">
        <v>100</v>
      </c>
    </row>
    <row r="17">
      <c r="A17" s="4" t="inlineStr">
        <is>
          <t>Acquisition media</t>
        </is>
      </c>
      <c r="B17" s="8">
        <f>B2*B9</f>
        <v/>
      </c>
      <c r="C17" s="4" t="inlineStr">
        <is>
          <t>EUR</t>
        </is>
      </c>
      <c r="D17" s="7" t="n">
        <v>500</v>
      </c>
    </row>
    <row r="18">
      <c r="A18" s="4" t="inlineStr">
        <is>
          <t>Contribution before fixed overhead</t>
        </is>
      </c>
      <c r="B18" s="8">
        <f>B14-B15-B16-B17</f>
        <v/>
      </c>
      <c r="C18" s="4" t="inlineStr">
        <is>
          <t>EUR</t>
        </is>
      </c>
      <c r="D18" s="7" t="n">
        <v>-150</v>
      </c>
    </row>
    <row r="19">
      <c r="A19" s="4" t="inlineStr">
        <is>
          <t>M per payable event</t>
        </is>
      </c>
      <c r="B19" s="8">
        <f>B5*(1-B6)-B7</f>
        <v/>
      </c>
      <c r="C19" s="4" t="inlineStr">
        <is>
          <t>EUR</t>
        </is>
      </c>
      <c r="D19" s="7" t="n">
        <v>18</v>
      </c>
    </row>
    <row r="20">
      <c r="A20" s="4" t="inlineStr">
        <is>
          <t>Maximum media CPC</t>
        </is>
      </c>
      <c r="B20" s="8">
        <f>B3*B4*B19-B8</f>
        <v/>
      </c>
      <c r="C20" s="4" t="inlineStr">
        <is>
          <t>EUR</t>
        </is>
      </c>
      <c r="D20" s="7" t="n">
        <v>0.35</v>
      </c>
    </row>
    <row r="21">
      <c r="A21" s="4" t="inlineStr">
        <is>
          <t>Actual media CPA per payable event</t>
        </is>
      </c>
      <c r="B21" s="8">
        <f>B17/B11</f>
        <v/>
      </c>
      <c r="C21" s="4" t="inlineStr">
        <is>
          <t>EUR</t>
        </is>
      </c>
      <c r="D21" s="7" t="n">
        <v>20</v>
      </c>
    </row>
    <row r="22">
      <c r="A22" s="4" t="inlineStr">
        <is>
          <t>Maximum media CPA per payable event</t>
        </is>
      </c>
      <c r="B22" s="8">
        <f>B20/(B3*B4)</f>
        <v/>
      </c>
      <c r="C22" s="4" t="inlineStr">
        <is>
          <t>EUR</t>
        </is>
      </c>
      <c r="D22" s="7" t="n">
        <v>14</v>
      </c>
    </row>
    <row r="23">
      <c r="A23" s="4" t="inlineStr">
        <is>
          <t>Objais revenue ROAS</t>
        </is>
      </c>
      <c r="B23" s="8">
        <f>B14/B17</f>
        <v/>
      </c>
      <c r="C23" s="4" t="inlineStr">
        <is>
          <t>Ratio</t>
        </is>
      </c>
      <c r="D23" s="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2026-10-14T01:23:47Z</dcterms:created>
  <dcterms:modified xmlns:dcterms="http://purl.org/dc/terms/" xmlns:xsi="http://www.w3.org/2001/XMLSchema-instance" xsi:type="dcterms:W3CDTF">2026-10-14T01:23:47Z</dcterms:modified>
</cp:coreProperties>
</file>