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rket Data" sheetId="2" state="visible" r:id="rId2"/>
    <sheet xmlns:r="http://schemas.openxmlformats.org/officeDocument/2006/relationships" name="Platforms" sheetId="3" state="visible" r:id="rId3"/>
    <sheet xmlns:r="http://schemas.openxmlformats.org/officeDocument/2006/relationships" name="Market Assessment" sheetId="4" state="visible" r:id="rId4"/>
    <sheet xmlns:r="http://schemas.openxmlformats.org/officeDocument/2006/relationships" name="Economics Model" sheetId="5" state="visible" r:id="rId5"/>
    <sheet xmlns:r="http://schemas.openxmlformats.org/officeDocument/2006/relationships" name="Sources" sheetId="6" state="visible" r:id="rId6"/>
    <sheet xmlns:r="http://schemas.openxmlformats.org/officeDocument/2006/relationships" name="Research Gaps" sheetId="7" state="visible" r:id="rId7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%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73247"/>
      <sz val="10"/>
    </font>
    <font>
      <name val="Arial"/>
      <color rgb="00007D89"/>
      <sz val="10"/>
      <u val="single"/>
    </font>
    <font>
      <name val="Arial"/>
      <color rgb="00005BBB"/>
    </font>
    <font>
      <name val="Arial"/>
      <b val="1"/>
      <color rgb="00173247"/>
    </font>
  </fonts>
  <fills count="5">
    <fill>
      <patternFill/>
    </fill>
    <fill>
      <patternFill patternType="gray125"/>
    </fill>
    <fill>
      <patternFill patternType="solid">
        <fgColor rgb="00173247"/>
      </patternFill>
    </fill>
    <fill>
      <patternFill patternType="solid">
        <fgColor rgb="00E5F1FF"/>
      </patternFill>
    </fill>
    <fill>
      <patternFill patternType="solid">
        <fgColor rgb="00EAF3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164" fontId="4" fillId="3" borderId="0" applyAlignment="1" pivotButton="0" quotePrefix="0" xfId="0">
      <alignment vertical="top" wrapText="1"/>
    </xf>
    <xf numFmtId="165" fontId="4" fillId="3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MarketDataTable" displayName="MarketDataTable" ref="A1:L117" headerRowCount="1">
  <autoFilter ref="A1:L117"/>
  <tableColumns count="12">
    <tableColumn id="1" name="metric_id"/>
    <tableColumn id="2" name="segment"/>
    <tableColumn id="3" name="geography"/>
    <tableColumn id="4" name="metric"/>
    <tableColumn id="5" name="value"/>
    <tableColumn id="6" name="unit"/>
    <tableColumn id="7" name="qualifier"/>
    <tableColumn id="8" name="period"/>
    <tableColumn id="9" name="source_id"/>
    <tableColumn id="10" name="note"/>
    <tableColumn id="11" name="source_url"/>
    <tableColumn id="12" name="accessed"/>
  </tableColumns>
  <tableStyleInfo name="TableStyleMedium2" showRowStripes="1"/>
</table>
</file>

<file path=xl/tables/table2.xml><?xml version="1.0" encoding="utf-8"?>
<table xmlns="http://schemas.openxmlformats.org/spreadsheetml/2006/main" id="2" name="PlatformsTable" displayName="PlatformsTable" ref="A1:G13" headerRowCount="1">
  <autoFilter ref="A1:G13"/>
  <tableColumns count="7">
    <tableColumn id="1" name="Platform"/>
    <tableColumn id="2" name="Category"/>
    <tableColumn id="3" name="Geography"/>
    <tableColumn id="4" name="Capabilities"/>
    <tableColumn id="5" name="Business model"/>
    <tableColumn id="6" name="Implication for Objais"/>
    <tableColumn id="7" name="Source IDs"/>
  </tableColumns>
  <tableStyleInfo name="TableStyleMedium2" showRowStripes="1"/>
</table>
</file>

<file path=xl/tables/table3.xml><?xml version="1.0" encoding="utf-8"?>
<table xmlns="http://schemas.openxmlformats.org/spreadsheetml/2006/main" id="3" name="MarketAssessmentTable" displayName="MarketAssessmentTable" ref="A1:G7" headerRowCount="1">
  <autoFilter ref="A1:G7"/>
  <tableColumns count="7">
    <tableColumn id="1" name="Category"/>
    <tableColumn id="2" name="Recurring use potential"/>
    <tableColumn id="3" name="Insurance hypothesis"/>
    <tableColumn id="4" name="Data ecosystem"/>
    <tableColumn id="5" name="Competition"/>
    <tableColumn id="6" name="Research priority"/>
    <tableColumn id="7" name="Main unresolved issue"/>
  </tableColumns>
  <tableStyleInfo name="TableStyleMedium2" showRowStripes="1"/>
</table>
</file>

<file path=xl/tables/table4.xml><?xml version="1.0" encoding="utf-8"?>
<table xmlns="http://schemas.openxmlformats.org/spreadsheetml/2006/main" id="4" name="SourcesTable" displayName="SourcesTable" ref="A1:G51" headerRowCount="1">
  <autoFilter ref="A1:G51"/>
  <tableColumns count="7">
    <tableColumn id="1" name="source_id"/>
    <tableColumn id="2" name="title"/>
    <tableColumn id="3" name="url"/>
    <tableColumn id="4" name="period"/>
    <tableColumn id="5" name="basis"/>
    <tableColumn id="6" name="limitation"/>
    <tableColumn id="7" name="accessed"/>
  </tableColumns>
  <tableStyleInfo name="TableStyleMedium2" showRowStripes="1"/>
</table>
</file>

<file path=xl/tables/table5.xml><?xml version="1.0" encoding="utf-8"?>
<table xmlns="http://schemas.openxmlformats.org/spreadsheetml/2006/main" id="5" name="ResearchGapsTable" displayName="ResearchGapsTable" ref="A1:D8" headerRowCount="1">
  <autoFilter ref="A1:D8"/>
  <tableColumns count="4">
    <tableColumn id="1" name="Area"/>
    <tableColumn id="2" name="Unknown"/>
    <tableColumn id="3" name="Evidence gap"/>
    <tableColumn id="4" name="Implica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circana.com/post/global-toy-market-hits-123b-as-play-expands-across-ages-and-markets" TargetMode="External" Id="rId1"/><Relationship Type="http://schemas.openxmlformats.org/officeDocument/2006/relationships/hyperlink" Target="https://www.circana.com/post/global-toy-market-hits-123b-as-play-expands-across-ages-and-markets" TargetMode="External" Id="rId2"/><Relationship Type="http://schemas.openxmlformats.org/officeDocument/2006/relationships/hyperlink" Target="https://www.circana.com/post/global-toy-market-hits-123b-as-play-expands-across-ages-and-markets" TargetMode="External" Id="rId3"/><Relationship Type="http://schemas.openxmlformats.org/officeDocument/2006/relationships/hyperlink" Target="https://www.circana.com/post/global-toy-market-hits-123b-as-play-expands-across-ages-and-markets" TargetMode="External" Id="rId4"/><Relationship Type="http://schemas.openxmlformats.org/officeDocument/2006/relationships/hyperlink" Target="https://www.circana.com/post/global-toy-industry-rebounds-in-2025-as-sales-rise-7-fueled-by-pop-culture-collectibles-and-kidu" TargetMode="External" Id="rId5"/><Relationship Type="http://schemas.openxmlformats.org/officeDocument/2006/relationships/hyperlink" Target="https://www.circana.com/post/global-toy-industry-rebounds-in-2025-as-sales-rise-7-fueled-by-pop-culture-collectibles-and-kidu" TargetMode="External" Id="rId6"/><Relationship Type="http://schemas.openxmlformats.org/officeDocument/2006/relationships/hyperlink" Target="https://www.circana.com/post/global-toy-industry-rebounds-in-2025-as-sales-rise-7-fueled-by-pop-culture-collectibles-and-kidu" TargetMode="External" Id="rId7"/><Relationship Type="http://schemas.openxmlformats.org/officeDocument/2006/relationships/hyperlink" Target="https://www.circana.com/post/global-toy-industry-rebounds-in-2025-as-sales-rise-7-fueled-by-pop-culture-collectibles-and-kidu" TargetMode="External" Id="rId8"/><Relationship Type="http://schemas.openxmlformats.org/officeDocument/2006/relationships/hyperlink" Target="https://www.circana.com/post/global-toy-industry-rebounds-in-2025-as-sales-rise-7-fueled-by-pop-culture-collectibles-and-kidu" TargetMode="External" Id="rId9"/><Relationship Type="http://schemas.openxmlformats.org/officeDocument/2006/relationships/hyperlink" Target="https://www.circana.com/post/global-toy-industry-rebounds-in-2025-as-sales-rise-7-fueled-by-pop-culture-collectibles-and-kidu" TargetMode="External" Id="rId10"/><Relationship Type="http://schemas.openxmlformats.org/officeDocument/2006/relationships/hyperlink" Target="https://www.circana.com/post/global-toy-industry-rebounds-in-2025-as-sales-rise-7-fueled-by-pop-culture-collectibles-and-kidu" TargetMode="External" Id="rId11"/><Relationship Type="http://schemas.openxmlformats.org/officeDocument/2006/relationships/hyperlink" Target="https://www.circana.com/post/global-toy-industry-rebounds-in-2025-as-sales-rise-7-fueled-by-pop-culture-collectibles-and-kidu" TargetMode="External" Id="rId12"/><Relationship Type="http://schemas.openxmlformats.org/officeDocument/2006/relationships/hyperlink" Target="https://www.circana.com/post/circana-reveals-regional-toy-market-dynamics-across-europe-the-americas-and-asia-pacific" TargetMode="External" Id="rId13"/><Relationship Type="http://schemas.openxmlformats.org/officeDocument/2006/relationships/hyperlink" Target="https://www.circana.com/post/circana-reveals-regional-toy-market-dynamics-across-europe-the-americas-and-asia-pacific" TargetMode="External" Id="rId14"/><Relationship Type="http://schemas.openxmlformats.org/officeDocument/2006/relationships/hyperlink" Target="https://www.circana.com/post/circana-reveals-regional-toy-market-dynamics-across-europe-the-americas-and-asia-pacific" TargetMode="External" Id="rId15"/><Relationship Type="http://schemas.openxmlformats.org/officeDocument/2006/relationships/hyperlink" Target="https://www.circana.com/post/circana-reveals-regional-toy-market-dynamics-across-europe-the-americas-and-asia-pacific" TargetMode="External" Id="rId16"/><Relationship Type="http://schemas.openxmlformats.org/officeDocument/2006/relationships/hyperlink" Target="https://www.circana.com/post/us-toy-industry-posts-strongest-first-half-in-six-years-circana-reports" TargetMode="External" Id="rId17"/><Relationship Type="http://schemas.openxmlformats.org/officeDocument/2006/relationships/hyperlink" Target="https://www.circana.com/post/us-toy-industry-posts-strongest-first-half-in-six-years-circana-reports" TargetMode="External" Id="rId18"/><Relationship Type="http://schemas.openxmlformats.org/officeDocument/2006/relationships/hyperlink" Target="https://www.circana.com/post/us-toy-industry-posts-strongest-first-half-in-six-years-circana-reports" TargetMode="External" Id="rId19"/><Relationship Type="http://schemas.openxmlformats.org/officeDocument/2006/relationships/hyperlink" Target="https://www.circana.com/post/us-toy-industry-posts-strongest-first-half-in-six-years-circana-reports" TargetMode="External" Id="rId20"/><Relationship Type="http://schemas.openxmlformats.org/officeDocument/2006/relationships/hyperlink" Target="https://www.circana.com/post/us-toy-industry-posts-strongest-first-half-in-six-years-circana-reports" TargetMode="External" Id="rId21"/><Relationship Type="http://schemas.openxmlformats.org/officeDocument/2006/relationships/hyperlink" Target="https://www.circana.com/post/us-toy-industry-posts-strongest-first-half-in-six-years-circana-reports" TargetMode="External" Id="rId22"/><Relationship Type="http://schemas.openxmlformats.org/officeDocument/2006/relationships/hyperlink" Target="https://corp.hasbro.com/news-releases/news-release-details/hasbro-reports-fourth-quarter-and-full-year-2025-financial" TargetMode="External" Id="rId23"/><Relationship Type="http://schemas.openxmlformats.org/officeDocument/2006/relationships/hyperlink" Target="https://corp.hasbro.com/news-releases/news-release-details/hasbro-reports-fourth-quarter-and-full-year-2025-financial" TargetMode="External" Id="rId24"/><Relationship Type="http://schemas.openxmlformats.org/officeDocument/2006/relationships/hyperlink" Target="https://corp.hasbro.com/news-releases/news-release-details/hasbro-reports-fourth-quarter-and-full-year-2025-financial" TargetMode="External" Id="rId25"/><Relationship Type="http://schemas.openxmlformats.org/officeDocument/2006/relationships/hyperlink" Target="https://corp.hasbro.com/news-releases/news-release-details/hasbro-reports-fourth-quarter-and-full-year-2025-financial" TargetMode="External" Id="rId26"/><Relationship Type="http://schemas.openxmlformats.org/officeDocument/2006/relationships/hyperlink" Target="https://newsroom.hasbro.com/node/36961" TargetMode="External" Id="rId27"/><Relationship Type="http://schemas.openxmlformats.org/officeDocument/2006/relationships/hyperlink" Target="https://newsroom.hasbro.com/node/36961" TargetMode="External" Id="rId28"/><Relationship Type="http://schemas.openxmlformats.org/officeDocument/2006/relationships/hyperlink" Target="https://corporate.pokemon.co.jp/en/aboutus/figures/" TargetMode="External" Id="rId29"/><Relationship Type="http://schemas.openxmlformats.org/officeDocument/2006/relationships/hyperlink" Target="https://corporate.pokemon.co.jp/en/aboutus/figures/" TargetMode="External" Id="rId30"/><Relationship Type="http://schemas.openxmlformats.org/officeDocument/2006/relationships/hyperlink" Target="https://corporate.pokemon.co.jp/en/aboutus/figures/" TargetMode="External" Id="rId31"/><Relationship Type="http://schemas.openxmlformats.org/officeDocument/2006/relationships/hyperlink" Target="https://corporate.pokemon.co.jp/en/business/cardgame/" TargetMode="External" Id="rId32"/><Relationship Type="http://schemas.openxmlformats.org/officeDocument/2006/relationships/hyperlink" Target="https://corporate.pokemon.co.jp/en/business/cardgame/" TargetMode="External" Id="rId33"/><Relationship Type="http://schemas.openxmlformats.org/officeDocument/2006/relationships/hyperlink" Target="https://www.linkedin.com/posts/collectr-inc_2025-was-a-year-were-still-processing-at-activity-7413235631927001088-Joi6" TargetMode="External" Id="rId34"/><Relationship Type="http://schemas.openxmlformats.org/officeDocument/2006/relationships/hyperlink" Target="https://www.linkedin.com/posts/collectr-inc_2025-was-a-year-were-still-processing-at-activity-7413235631927001088-Joi6" TargetMode="External" Id="rId35"/><Relationship Type="http://schemas.openxmlformats.org/officeDocument/2006/relationships/hyperlink" Target="https://www.linkedin.com/posts/collectr-inc_2025-was-a-year-were-still-processing-at-activity-7413235631927001088-Joi6" TargetMode="External" Id="rId36"/><Relationship Type="http://schemas.openxmlformats.org/officeDocument/2006/relationships/hyperlink" Target="https://www.linkedin.com/posts/collectr-inc_2025-was-a-year-were-still-processing-at-activity-7413235631927001088-Joi6" TargetMode="External" Id="rId37"/><Relationship Type="http://schemas.openxmlformats.org/officeDocument/2006/relationships/hyperlink" Target="https://www.getcollectr.com/" TargetMode="External" Id="rId38"/><Relationship Type="http://schemas.openxmlformats.org/officeDocument/2006/relationships/hyperlink" Target="https://www.getcollectr.com/pro.html" TargetMode="External" Id="rId39"/><Relationship Type="http://schemas.openxmlformats.org/officeDocument/2006/relationships/hyperlink" Target="https://www.getcollectr.com/pro.html" TargetMode="External" Id="rId40"/><Relationship Type="http://schemas.openxmlformats.org/officeDocument/2006/relationships/hyperlink" Target="https://www.linkedin.com/posts/cardmarket-com_tradingcardgames-activity-7328071468594995200-smOn" TargetMode="External" Id="rId41"/><Relationship Type="http://schemas.openxmlformats.org/officeDocument/2006/relationships/hyperlink" Target="https://www.linkedin.com/posts/cardmarket-com_tradingcardgames-activity-7328071468594995200-smOn" TargetMode="External" Id="rId42"/><Relationship Type="http://schemas.openxmlformats.org/officeDocument/2006/relationships/hyperlink" Target="https://www.linkedin.com/posts/cardmarket-com_tradingcardgames-activity-7328071468594995200-smOn" TargetMode="External" Id="rId43"/><Relationship Type="http://schemas.openxmlformats.org/officeDocument/2006/relationships/hyperlink" Target="https://www.linkedin.com/posts/cardmarket-com_tradingcardgames-activity-7328071468594995200-smOn" TargetMode="External" Id="rId44"/><Relationship Type="http://schemas.openxmlformats.org/officeDocument/2006/relationships/hyperlink" Target="https://www.gemrate.com/september-2026-recap" TargetMode="External" Id="rId45"/><Relationship Type="http://schemas.openxmlformats.org/officeDocument/2006/relationships/hyperlink" Target="https://www.gemrate.com/september-2026-recap" TargetMode="External" Id="rId46"/><Relationship Type="http://schemas.openxmlformats.org/officeDocument/2006/relationships/hyperlink" Target="https://www.gemrate.com/september-2026-recap" TargetMode="External" Id="rId47"/><Relationship Type="http://schemas.openxmlformats.org/officeDocument/2006/relationships/hyperlink" Target="https://www.gemrate.com/september-2026-recap" TargetMode="External" Id="rId48"/><Relationship Type="http://schemas.openxmlformats.org/officeDocument/2006/relationships/hyperlink" Target="https://www.gemrate.com/september-2026-recap" TargetMode="External" Id="rId49"/><Relationship Type="http://schemas.openxmlformats.org/officeDocument/2006/relationships/hyperlink" Target="https://investor.funko.com/news-and-events/press-releases/Press-Releases/2026/Funko-Reports-2025-Fourth-Quarter-Full-Year-Financial-Results-Provides-Full-Year-Outlook-for-2026/default.aspx" TargetMode="External" Id="rId50"/><Relationship Type="http://schemas.openxmlformats.org/officeDocument/2006/relationships/hyperlink" Target="https://investor.funko.com/news-and-events/press-releases/Press-Releases/2026/Funko-Reports-2025-Fourth-Quarter-Full-Year-Financial-Results-Provides-Full-Year-Outlook-for-2026/default.aspx" TargetMode="External" Id="rId51"/><Relationship Type="http://schemas.openxmlformats.org/officeDocument/2006/relationships/hyperlink" Target="https://investor.funko.com/news-and-events/press-releases/Press-Releases/2026/Funko-Reports-Strong-Second-Quarter-2026-Financial-Results-Reiterates-Full-Year-Net-Sales-Outlook-and-Raises-Adjusted-EBITDA-Guidance/default.aspx" TargetMode="External" Id="rId52"/><Relationship Type="http://schemas.openxmlformats.org/officeDocument/2006/relationships/hyperlink" Target="https://investor.funko.com/news-and-events/press-releases/Press-Releases/2026/Funko-Reports-Strong-Second-Quarter-2026-Financial-Results-Reiterates-Full-Year-Net-Sales-Outlook-and-Raises-Adjusted-EBITDA-Guidance/default.aspx" TargetMode="External" Id="rId53"/><Relationship Type="http://schemas.openxmlformats.org/officeDocument/2006/relationships/hyperlink" Target="https://investor.funko.com/news-and-events/press-releases/Press-Releases/2026/Funko-Reports-Strong-Second-Quarter-2026-Financial-Results-Reiterates-Full-Year-Net-Sales-Outlook-and-Raises-Adjusted-EBITDA-Guidance/default.aspx" TargetMode="External" Id="rId54"/><Relationship Type="http://schemas.openxmlformats.org/officeDocument/2006/relationships/hyperlink" Target="https://investor.funko.com/news-and-events/press-releases/Press-Releases/2026/Funko-Reports-Strong-Second-Quarter-2026-Financial-Results-Reiterates-Full-Year-Net-Sales-Outlook-and-Raises-Adjusted-EBITDA-Guidance/default.aspx" TargetMode="External" Id="rId55"/><Relationship Type="http://schemas.openxmlformats.org/officeDocument/2006/relationships/hyperlink" Target="https://investor.funko.com/news-and-events/press-releases/Press-Releases/2026/Funko-Reports-Strong-Second-Quarter-2026-Financial-Results-Reiterates-Full-Year-Net-Sales-Outlook-and-Raises-Adjusted-EBITDA-Guidance/default.aspx" TargetMode="External" Id="rId56"/><Relationship Type="http://schemas.openxmlformats.org/officeDocument/2006/relationships/hyperlink" Target="https://investor.funko.com/news-and-events/press-releases/Press-Releases/2026/Funko-Reports-Strong-Second-Quarter-2026-Financial-Results-Reiterates-Full-Year-Net-Sales-Outlook-and-Raises-Adjusted-EBITDA-Guidance/default.aspx" TargetMode="External" Id="rId57"/><Relationship Type="http://schemas.openxmlformats.org/officeDocument/2006/relationships/hyperlink" Target="https://investor.funko.com/news-and-events/press-releases/Press-Releases/2026/Funko-Reports-Strong-Second-Quarter-2026-Financial-Results-Reiterates-Full-Year-Net-Sales-Outlook-and-Raises-Adjusted-EBITDA-Guidance/default.aspx" TargetMode="External" Id="rId58"/><Relationship Type="http://schemas.openxmlformats.org/officeDocument/2006/relationships/hyperlink" Target="https://www1.hkexnews.hk/listedco/listconews/sehk/2026/0325/2026032500285.pdf" TargetMode="External" Id="rId59"/><Relationship Type="http://schemas.openxmlformats.org/officeDocument/2006/relationships/hyperlink" Target="https://www1.hkexnews.hk/listedco/listconews/sehk/2026/0325/2026032500285.pdf" TargetMode="External" Id="rId60"/><Relationship Type="http://schemas.openxmlformats.org/officeDocument/2006/relationships/hyperlink" Target="https://www1.hkexnews.hk/listedco/listconews/sehk/2026/0325/2026032500285.pdf" TargetMode="External" Id="rId61"/><Relationship Type="http://schemas.openxmlformats.org/officeDocument/2006/relationships/hyperlink" Target="https://www1.hkexnews.hk/listedco/listconews/sehk/2026/0325/2026032500285.pdf" TargetMode="External" Id="rId62"/><Relationship Type="http://schemas.openxmlformats.org/officeDocument/2006/relationships/hyperlink" Target="https://www1.hkexnews.hk/listedco/listconews/sehk/2026/0325/2026032500285.pdf" TargetMode="External" Id="rId63"/><Relationship Type="http://schemas.openxmlformats.org/officeDocument/2006/relationships/hyperlink" Target="https://www1.hkexnews.hk/listedco/listconews/sehk/2026/0325/2026032500285.pdf" TargetMode="External" Id="rId64"/><Relationship Type="http://schemas.openxmlformats.org/officeDocument/2006/relationships/hyperlink" Target="https://www1.hkexnews.hk/listedco/listconews/sehk/2026/0325/2026032500285.pdf" TargetMode="External" Id="rId65"/><Relationship Type="http://schemas.openxmlformats.org/officeDocument/2006/relationships/hyperlink" Target="https://www1.hkexnews.hk/listedco/listconews/sehk/2026/0325/2026032500285.pdf" TargetMode="External" Id="rId66"/><Relationship Type="http://schemas.openxmlformats.org/officeDocument/2006/relationships/hyperlink" Target="https://www1.hkexnews.hk/listedco/listconews/sehk/2026/0820/2026082000353.pdf" TargetMode="External" Id="rId67"/><Relationship Type="http://schemas.openxmlformats.org/officeDocument/2006/relationships/hyperlink" Target="https://www1.hkexnews.hk/listedco/listconews/sehk/2026/0820/2026082000353.pdf" TargetMode="External" Id="rId68"/><Relationship Type="http://schemas.openxmlformats.org/officeDocument/2006/relationships/hyperlink" Target="https://www1.hkexnews.hk/listedco/listconews/sehk/2026/0820/2026082000353.pdf" TargetMode="External" Id="rId69"/><Relationship Type="http://schemas.openxmlformats.org/officeDocument/2006/relationships/hyperlink" Target="https://www1.hkexnews.hk/listedco/listconews/sehk/2026/0820/2026082000353.pdf" TargetMode="External" Id="rId70"/><Relationship Type="http://schemas.openxmlformats.org/officeDocument/2006/relationships/hyperlink" Target="https://www1.hkexnews.hk/listedco/listconews/sehk/2026/0820/2026082000353.pdf" TargetMode="External" Id="rId71"/><Relationship Type="http://schemas.openxmlformats.org/officeDocument/2006/relationships/hyperlink" Target="https://www1.hkexnews.hk/listedco/listconews/sehk/2026/0820/2026082000353.pdf" TargetMode="External" Id="rId72"/><Relationship Type="http://schemas.openxmlformats.org/officeDocument/2006/relationships/hyperlink" Target="https://www1.hkexnews.hk/listedco/listconews/sehk/2026/0820/2026082000353.pdf" TargetMode="External" Id="rId73"/><Relationship Type="http://schemas.openxmlformats.org/officeDocument/2006/relationships/hyperlink" Target="https://www1.hkexnews.hk/listedco/listconews/sehk/2026/0820/2026082000353.pdf" TargetMode="External" Id="rId74"/><Relationship Type="http://schemas.openxmlformats.org/officeDocument/2006/relationships/hyperlink" Target="https://abrin.com.br/industria-de-brinquedos-supera-10-bilhoes/" TargetMode="External" Id="rId75"/><Relationship Type="http://schemas.openxmlformats.org/officeDocument/2006/relationships/hyperlink" Target="https://abrin.com.br/industria-de-brinquedos-supera-10-bilhoes/" TargetMode="External" Id="rId76"/><Relationship Type="http://schemas.openxmlformats.org/officeDocument/2006/relationships/hyperlink" Target="https://www.usmint.gov/content/dam/usmint/reports/2025-annual-report.pdf" TargetMode="External" Id="rId77"/><Relationship Type="http://schemas.openxmlformats.org/officeDocument/2006/relationships/hyperlink" Target="https://www.usmint.gov/content/dam/usmint/reports/2025-annual-report.pdf" TargetMode="External" Id="rId78"/><Relationship Type="http://schemas.openxmlformats.org/officeDocument/2006/relationships/hyperlink" Target="https://www.usmint.gov/content/dam/usmint/reports/2025-annual-report.pdf" TargetMode="External" Id="rId79"/><Relationship Type="http://schemas.openxmlformats.org/officeDocument/2006/relationships/hyperlink" Target="https://www.ha.com/heritage-auctions-press-releases-and-news/heritage-auctions-closes-2025-above-2.15-billion-for-its-fifth-consecutive-annual-sales-record.s?releaseId=5383" TargetMode="External" Id="rId80"/><Relationship Type="http://schemas.openxmlformats.org/officeDocument/2006/relationships/hyperlink" Target="https://www.ha.com/heritage-auctions-press-releases-and-news/heritage-auctions-closes-2025-above-2.15-billion-for-its-fifth-consecutive-annual-sales-record.s?releaseId=5383" TargetMode="External" Id="rId81"/><Relationship Type="http://schemas.openxmlformats.org/officeDocument/2006/relationships/hyperlink" Target="https://www.ha.com/heritage-auctions-press-releases-and-news/heritage-auctions-closes-2025-above-2.15-billion-for-its-fifth-consecutive-annual-sales-record.s?releaseId=5383" TargetMode="External" Id="rId82"/><Relationship Type="http://schemas.openxmlformats.org/officeDocument/2006/relationships/hyperlink" Target="https://www.ha.com/heritage-auctions-press-releases-and-news/heritage-auctions-closes-2025-above-2.15-billion-for-its-fifth-consecutive-annual-sales-record.s?releaseId=5383" TargetMode="External" Id="rId83"/><Relationship Type="http://schemas.openxmlformats.org/officeDocument/2006/relationships/hyperlink" Target="https://www.ha.com/heritage-auctions-press-releases-and-news/heritage-auctions-closes-2025-above-2.15-billion-for-its-fifth-consecutive-annual-sales-record.s?releaseId=5383" TargetMode="External" Id="rId84"/><Relationship Type="http://schemas.openxmlformats.org/officeDocument/2006/relationships/hyperlink" Target="https://www.ha.com/heritage-auctions-press-releases-and-news/heritage-auctions-closes-2025-above-2.15-billion-for-its-fifth-consecutive-annual-sales-record.s?releaseId=5383" TargetMode="External" Id="rId85"/><Relationship Type="http://schemas.openxmlformats.org/officeDocument/2006/relationships/hyperlink" Target="https://stacksbowers.com/sbpressreleases/stacks-bowers-galleries-announces-record-shattering-325-million-year-of-auctions-in-2025/" TargetMode="External" Id="rId86"/><Relationship Type="http://schemas.openxmlformats.org/officeDocument/2006/relationships/hyperlink" Target="https://stacksbowers.com/sbpressreleases/stacks-bowers-galleries-announces-record-shattering-325-million-year-of-auctions-in-2025/" TargetMode="External" Id="rId87"/><Relationship Type="http://schemas.openxmlformats.org/officeDocument/2006/relationships/hyperlink" Target="https://stacksbowers.com/sbpressreleases/stacks-bowers-galleries-announces-record-shattering-325-million-year-of-auctions-in-2025/" TargetMode="External" Id="rId88"/><Relationship Type="http://schemas.openxmlformats.org/officeDocument/2006/relationships/hyperlink" Target="https://www.artbasel.com/stories/the-art-basel-and-ubs-global-art-market-report-2026" TargetMode="External" Id="rId89"/><Relationship Type="http://schemas.openxmlformats.org/officeDocument/2006/relationships/hyperlink" Target="https://www.artbasel.com/stories/the-art-basel-and-ubs-global-art-market-report-2026" TargetMode="External" Id="rId90"/><Relationship Type="http://schemas.openxmlformats.org/officeDocument/2006/relationships/hyperlink" Target="https://www.artbasel.com/stories/the-art-basel-and-ubs-global-art-market-report-2026" TargetMode="External" Id="rId91"/><Relationship Type="http://schemas.openxmlformats.org/officeDocument/2006/relationships/hyperlink" Target="https://www.artbasel.com/stories/the-art-basel-and-ubs-global-art-market-report-2026" TargetMode="External" Id="rId92"/><Relationship Type="http://schemas.openxmlformats.org/officeDocument/2006/relationships/hyperlink" Target="https://www.artbasel.com/stories/the-art-basel-and-ubs-global-art-market-report-2026" TargetMode="External" Id="rId93"/><Relationship Type="http://schemas.openxmlformats.org/officeDocument/2006/relationships/hyperlink" Target="https://www.artbasel.com/stories/the-art-basel-and-ubs-global-art-market-report-2026" TargetMode="External" Id="rId94"/><Relationship Type="http://schemas.openxmlformats.org/officeDocument/2006/relationships/hyperlink" Target="https://www.artbasel.com/stories/the-art-basel-and-ubs-global-art-market-report-2026" TargetMode="External" Id="rId95"/><Relationship Type="http://schemas.openxmlformats.org/officeDocument/2006/relationships/hyperlink" Target="https://www.artbasel.com/stories/the-art-basel-and-ubs-global-art-market-report-2026" TargetMode="External" Id="rId96"/><Relationship Type="http://schemas.openxmlformats.org/officeDocument/2006/relationships/hyperlink" Target="https://www.ubs.com/us/en/wealth-management/who-we-serve/ultra-high-net-worth-investors/art-advisory/art-basel-art-market-report.html" TargetMode="External" Id="rId97"/><Relationship Type="http://schemas.openxmlformats.org/officeDocument/2006/relationships/hyperlink" Target="https://www.ubs.com/us/en/wealth-management/who-we-serve/ultra-high-net-worth-investors/art-advisory/art-basel-art-market-report.html" TargetMode="External" Id="rId98"/><Relationship Type="http://schemas.openxmlformats.org/officeDocument/2006/relationships/hyperlink" Target="https://www.catawiki.com/en/press/1860-catawiki-crosses-100m-revenue-mark" TargetMode="External" Id="rId99"/><Relationship Type="http://schemas.openxmlformats.org/officeDocument/2006/relationships/hyperlink" Target="https://www.catawiki.com/en/press/1860-catawiki-crosses-100m-revenue-mark" TargetMode="External" Id="rId100"/><Relationship Type="http://schemas.openxmlformats.org/officeDocument/2006/relationships/hyperlink" Target="https://www.catawiki.com/en/press/1860-catawiki-crosses-100m-revenue-mark" TargetMode="External" Id="rId101"/><Relationship Type="http://schemas.openxmlformats.org/officeDocument/2006/relationships/hyperlink" Target="https://www.catawiki.com/en/press/1860-catawiki-crosses-100m-revenue-mark" TargetMode="External" Id="rId102"/><Relationship Type="http://schemas.openxmlformats.org/officeDocument/2006/relationships/hyperlink" Target="https://www.catawiki.com/en/press/1860-catawiki-crosses-100m-revenue-mark" TargetMode="External" Id="rId103"/><Relationship Type="http://schemas.openxmlformats.org/officeDocument/2006/relationships/hyperlink" Target="https://www.whatnot.com/seller" TargetMode="External" Id="rId104"/><Relationship Type="http://schemas.openxmlformats.org/officeDocument/2006/relationships/hyperlink" Target="https://www.whatnot.com/seller" TargetMode="External" Id="rId105"/><Relationship Type="http://schemas.openxmlformats.org/officeDocument/2006/relationships/hyperlink" Target="https://en.numista.com/" TargetMode="External" Id="rId106"/><Relationship Type="http://schemas.openxmlformats.org/officeDocument/2006/relationships/hyperlink" Target="https://en.numista.com/" TargetMode="External" Id="rId107"/><Relationship Type="http://schemas.openxmlformats.org/officeDocument/2006/relationships/hyperlink" Target="https://www.hobbydb.com/marketplaces/poppriceguide/subs/pop-price-guide-landing-page" TargetMode="External" Id="rId108"/><Relationship Type="http://schemas.openxmlformats.org/officeDocument/2006/relationships/hyperlink" Target="https://www.pricecharting.com/pricecharting-pro" TargetMode="External" Id="rId109"/><Relationship Type="http://schemas.openxmlformats.org/officeDocument/2006/relationships/hyperlink" Target="https://www.pricecharting.com/pricecharting-pro" TargetMode="External" Id="rId110"/><Relationship Type="http://schemas.openxmlformats.org/officeDocument/2006/relationships/hyperlink" Target="https://collectinsure.com/" TargetMode="External" Id="rId111"/><Relationship Type="http://schemas.openxmlformats.org/officeDocument/2006/relationships/hyperlink" Target="https://collectinsure.com/" TargetMode="External" Id="rId112"/><Relationship Type="http://schemas.openxmlformats.org/officeDocument/2006/relationships/hyperlink" Target="https://www.ebayinc.com/recommerce-report/" TargetMode="External" Id="rId113"/><Relationship Type="http://schemas.openxmlformats.org/officeDocument/2006/relationships/hyperlink" Target="https://www.ebayinc.com/recommerce-report/" TargetMode="External" Id="rId114"/><Relationship Type="http://schemas.openxmlformats.org/officeDocument/2006/relationships/hyperlink" Target="https://copag.com.br/balancosocial/pdfs/clientes-e-fornecedores-distribuindo-sorrisos.pdf" TargetMode="External" Id="rId115"/><Relationship Type="http://schemas.openxmlformats.org/officeDocument/2006/relationships/hyperlink" Target="https://copag.com.br/balancosocial/pdfs/clientes-e-fornecedores-distribuindo-sorrisos.pdf" TargetMode="External" Id="rId116"/><Relationship Type="http://schemas.openxmlformats.org/officeDocument/2006/relationships/table" Target="/xl/tables/table1.xml" Id="rId117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www.circana.com/post/global-toy-market-hits-123b-as-play-expands-across-ages-and-markets" TargetMode="External" Id="rId1"/><Relationship Type="http://schemas.openxmlformats.org/officeDocument/2006/relationships/hyperlink" Target="https://www.circana.com/post/global-toy-industry-rebounds-in-2025-as-sales-rise-7-fueled-by-pop-culture-collectibles-and-kidu" TargetMode="External" Id="rId2"/><Relationship Type="http://schemas.openxmlformats.org/officeDocument/2006/relationships/hyperlink" Target="https://www.circana.com/post/circana-reveals-regional-toy-market-dynamics-across-europe-the-americas-and-asia-pacific" TargetMode="External" Id="rId3"/><Relationship Type="http://schemas.openxmlformats.org/officeDocument/2006/relationships/hyperlink" Target="https://www.circana.com/post/us-toy-industry-posts-strongest-first-half-in-six-years-circana-reports" TargetMode="External" Id="rId4"/><Relationship Type="http://schemas.openxmlformats.org/officeDocument/2006/relationships/hyperlink" Target="https://corp.hasbro.com/news-releases/news-release-details/hasbro-reports-fourth-quarter-and-full-year-2025-financial" TargetMode="External" Id="rId5"/><Relationship Type="http://schemas.openxmlformats.org/officeDocument/2006/relationships/hyperlink" Target="https://newsroom.hasbro.com/node/36961" TargetMode="External" Id="rId6"/><Relationship Type="http://schemas.openxmlformats.org/officeDocument/2006/relationships/hyperlink" Target="https://corporate.pokemon.co.jp/en/aboutus/figures/" TargetMode="External" Id="rId7"/><Relationship Type="http://schemas.openxmlformats.org/officeDocument/2006/relationships/hyperlink" Target="https://corporate.pokemon.co.jp/en/business/cardgame/" TargetMode="External" Id="rId8"/><Relationship Type="http://schemas.openxmlformats.org/officeDocument/2006/relationships/hyperlink" Target="https://www.linkedin.com/posts/collectr-inc_2025-was-a-year-were-still-processing-at-activity-7413235631927001088-Joi6" TargetMode="External" Id="rId9"/><Relationship Type="http://schemas.openxmlformats.org/officeDocument/2006/relationships/hyperlink" Target="https://www.getcollectr.com/" TargetMode="External" Id="rId10"/><Relationship Type="http://schemas.openxmlformats.org/officeDocument/2006/relationships/hyperlink" Target="https://www.getcollectr.com/pro.html" TargetMode="External" Id="rId11"/><Relationship Type="http://schemas.openxmlformats.org/officeDocument/2006/relationships/hyperlink" Target="https://www.linkedin.com/posts/cardmarket-com_tradingcardgames-activity-7328071468594995200-smOn" TargetMode="External" Id="rId12"/><Relationship Type="http://schemas.openxmlformats.org/officeDocument/2006/relationships/hyperlink" Target="https://www.gemrate.com/september-2026-recap" TargetMode="External" Id="rId13"/><Relationship Type="http://schemas.openxmlformats.org/officeDocument/2006/relationships/hyperlink" Target="https://www.gemrate.com/faq" TargetMode="External" Id="rId14"/><Relationship Type="http://schemas.openxmlformats.org/officeDocument/2006/relationships/hyperlink" Target="https://investor.funko.com/news-and-events/press-releases/Press-Releases/2026/Funko-Reports-2025-Fourth-Quarter-Full-Year-Financial-Results-Provides-Full-Year-Outlook-for-2026/default.aspx" TargetMode="External" Id="rId15"/><Relationship Type="http://schemas.openxmlformats.org/officeDocument/2006/relationships/hyperlink" Target="https://investor.funko.com/news-and-events/press-releases/Press-Releases/2026/Funko-Reports-Strong-Second-Quarter-2026-Financial-Results-Reiterates-Full-Year-Net-Sales-Outlook-and-Raises-Adjusted-EBITDA-Guidance/default.aspx" TargetMode="External" Id="rId16"/><Relationship Type="http://schemas.openxmlformats.org/officeDocument/2006/relationships/hyperlink" Target="https://www1.hkexnews.hk/listedco/listconews/sehk/2026/0325/2026032500285.pdf" TargetMode="External" Id="rId17"/><Relationship Type="http://schemas.openxmlformats.org/officeDocument/2006/relationships/hyperlink" Target="https://www1.hkexnews.hk/listedco/listconews/sehk/2026/0820/2026082000353.pdf" TargetMode="External" Id="rId18"/><Relationship Type="http://schemas.openxmlformats.org/officeDocument/2006/relationships/hyperlink" Target="https://abrin.com.br/industria-de-brinquedos-supera-10-bilhoes/" TargetMode="External" Id="rId19"/><Relationship Type="http://schemas.openxmlformats.org/officeDocument/2006/relationships/hyperlink" Target="https://www.usmint.gov/content/dam/usmint/reports/2025-annual-report.pdf" TargetMode="External" Id="rId20"/><Relationship Type="http://schemas.openxmlformats.org/officeDocument/2006/relationships/hyperlink" Target="https://www.ha.com/heritage-auctions-press-releases-and-news/heritage-auctions-closes-2025-above-2.15-billion-for-its-fifth-consecutive-annual-sales-record.s?releaseId=5383" TargetMode="External" Id="rId21"/><Relationship Type="http://schemas.openxmlformats.org/officeDocument/2006/relationships/hyperlink" Target="https://stacksbowers.com/sbpressreleases/stacks-bowers-galleries-announces-record-shattering-325-million-year-of-auctions-in-2025/" TargetMode="External" Id="rId22"/><Relationship Type="http://schemas.openxmlformats.org/officeDocument/2006/relationships/hyperlink" Target="https://www.artbasel.com/stories/the-art-basel-and-ubs-global-art-market-report-2026" TargetMode="External" Id="rId23"/><Relationship Type="http://schemas.openxmlformats.org/officeDocument/2006/relationships/hyperlink" Target="https://www.ubs.com/us/en/wealth-management/who-we-serve/ultra-high-net-worth-investors/art-advisory/art-basel-art-market-report.html" TargetMode="External" Id="rId24"/><Relationship Type="http://schemas.openxmlformats.org/officeDocument/2006/relationships/hyperlink" Target="https://www.catawiki.com/en/press/1860-catawiki-crosses-100m-revenue-mark" TargetMode="External" Id="rId25"/><Relationship Type="http://schemas.openxmlformats.org/officeDocument/2006/relationships/hyperlink" Target="https://www.whatnot.com/seller" TargetMode="External" Id="rId26"/><Relationship Type="http://schemas.openxmlformats.org/officeDocument/2006/relationships/hyperlink" Target="https://en.numista.com/" TargetMode="External" Id="rId27"/><Relationship Type="http://schemas.openxmlformats.org/officeDocument/2006/relationships/hyperlink" Target="https://www.hobbydb.com/marketplaces/poppriceguide/subs/pop-price-guide-landing-page" TargetMode="External" Id="rId28"/><Relationship Type="http://schemas.openxmlformats.org/officeDocument/2006/relationships/hyperlink" Target="https://www.pricecharting.com/pricecharting-pro" TargetMode="External" Id="rId29"/><Relationship Type="http://schemas.openxmlformats.org/officeDocument/2006/relationships/hyperlink" Target="https://www.pricecharting.com/api-documentation" TargetMode="External" Id="rId30"/><Relationship Type="http://schemas.openxmlformats.org/officeDocument/2006/relationships/hyperlink" Target="https://help.cardmarket.com/en/cardmarket-api" TargetMode="External" Id="rId31"/><Relationship Type="http://schemas.openxmlformats.org/officeDocument/2006/relationships/hyperlink" Target="https://www.collx.app/faq" TargetMode="External" Id="rId32"/><Relationship Type="http://schemas.openxmlformats.org/officeDocument/2006/relationships/hyperlink" Target="https://help.hobbydb.com/support/solutions/articles/36000247575" TargetMode="External" Id="rId33"/><Relationship Type="http://schemas.openxmlformats.org/officeDocument/2006/relationships/hyperlink" Target="https://collectinsure.com/" TargetMode="External" Id="rId34"/><Relationship Type="http://schemas.openxmlformats.org/officeDocument/2006/relationships/hyperlink" Target="https://collectinsure.com/what-we-insure/" TargetMode="External" Id="rId35"/><Relationship Type="http://schemas.openxmlformats.org/officeDocument/2006/relationships/hyperlink" Target="https://collectinsure.com/pokemon-insurance/" TargetMode="External" Id="rId36"/><Relationship Type="http://schemas.openxmlformats.org/officeDocument/2006/relationships/hyperlink" Target="https://www.howdengroup.com/pt-pt/cover/fine-art-insurance" TargetMode="External" Id="rId37"/><Relationship Type="http://schemas.openxmlformats.org/officeDocument/2006/relationships/hyperlink" Target="https://www.portoseguro.com.br/content/dam/documentos/condicoes_gerais/seguro_residencia/habitual/cg-resid-veraneio-premium-private-dez-25.pdf" TargetMode="External" Id="rId38"/><Relationship Type="http://schemas.openxmlformats.org/officeDocument/2006/relationships/hyperlink" Target="https://www.hiscox.co.uk/existing-customers/collections-insurance" TargetMode="External" Id="rId39"/><Relationship Type="http://schemas.openxmlformats.org/officeDocument/2006/relationships/hyperlink" Target="https://trade.ec.europa.eu/access-to-markets/en/news/eu-introduces-new-import-controls-cultural-goods" TargetMode="External" Id="rId40"/><Relationship Type="http://schemas.openxmlformats.org/officeDocument/2006/relationships/hyperlink" Target="https://cnart.iphan.gov.br/cnart/" TargetMode="External" Id="rId41"/><Relationship Type="http://schemas.openxmlformats.org/officeDocument/2006/relationships/hyperlink" Target="https://www.gov.br/iphan/pt-br/servicos/saida-de-bens-culturais-do-brasil" TargetMode="External" Id="rId42"/><Relationship Type="http://schemas.openxmlformats.org/officeDocument/2006/relationships/hyperlink" Target="https://www.ebayinc.com/stories/news/ebay-inc-reports-fourth-quarter-and-full-year-2025-results/" TargetMode="External" Id="rId43"/><Relationship Type="http://schemas.openxmlformats.org/officeDocument/2006/relationships/hyperlink" Target="https://www.ebayinc.com/stories/news/ebay-inc-reports-second-quarter-2026-results/" TargetMode="External" Id="rId44"/><Relationship Type="http://schemas.openxmlformats.org/officeDocument/2006/relationships/hyperlink" Target="https://www.ebayinc.com/recommerce-report/" TargetMode="External" Id="rId45"/><Relationship Type="http://schemas.openxmlformats.org/officeDocument/2006/relationships/hyperlink" Target="https://www.ebay.co.uk/sellercentre/news/2024-june/product-research?targetgroup=B2C" TargetMode="External" Id="rId46"/><Relationship Type="http://schemas.openxmlformats.org/officeDocument/2006/relationships/hyperlink" Target="https://copag.com.br/balancosocial/pdfs/clientes-e-fornecedores-distribuindo-sorrisos.pdf" TargetMode="External" Id="rId47"/><Relationship Type="http://schemas.openxmlformats.org/officeDocument/2006/relationships/hyperlink" Target="https://loja.incm.pt/pages/plano-numismatico-2025" TargetMode="External" Id="rId48"/><Relationship Type="http://schemas.openxmlformats.org/officeDocument/2006/relationships/hyperlink" Target="https://collections.ludex.com/" TargetMode="External" Id="rId49"/><Relationship Type="http://schemas.openxmlformats.org/officeDocument/2006/relationships/hyperlink" Target="https://www.collx.app/collx-pro" TargetMode="External" Id="rId50"/><Relationship Type="http://schemas.openxmlformats.org/officeDocument/2006/relationships/table" Target="/xl/tables/table4.xml" Id="rId5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10" customWidth="1" min="2" max="2"/>
  </cols>
  <sheetData>
    <row r="1" ht="30" customHeight="1">
      <c r="A1" s="1" t="inlineStr">
        <is>
          <t>Topic</t>
        </is>
      </c>
      <c r="B1" s="1" t="inlineStr">
        <is>
          <t>Guidance</t>
        </is>
      </c>
    </row>
    <row r="2" ht="42" customHeight="1">
      <c r="A2" s="2" t="inlineStr">
        <is>
          <t>Research date</t>
        </is>
      </c>
      <c r="B2" s="2" t="inlineStr">
        <is>
          <t>13 October 2026. Public evidence; global with Brazil and Europe highlighted.</t>
        </is>
      </c>
    </row>
    <row r="3" ht="42" customHeight="1">
      <c r="A3" s="2" t="inlineStr">
        <is>
          <t>Purpose</t>
        </is>
      </c>
      <c r="B3" s="2" t="inlineStr">
        <is>
          <t>Assess whether collectibles can improve recurring use AND commercial value for Objais.</t>
        </is>
      </c>
    </row>
    <row r="4" ht="42" customHeight="1">
      <c r="A4" s="2" t="inlineStr">
        <is>
          <t>Files</t>
        </is>
      </c>
      <c r="B4" s="2" t="inlineStr">
        <is>
          <t>Report: Collectibles Market Research.pdf / .docx / .md. CSV reproduces Market Data.</t>
        </is>
      </c>
    </row>
    <row r="5" ht="42" customHeight="1">
      <c r="A5" s="2" t="inlineStr">
        <is>
          <t>Evidence ceiling</t>
        </is>
      </c>
      <c r="B5" s="2" t="inlineStr">
        <is>
          <t>No access to Objais contracts, cohorts, CAC, insurer lead acceptance or underwriting agreements.</t>
        </is>
      </c>
    </row>
    <row r="6" ht="42" customHeight="1">
      <c r="A6" s="2" t="inlineStr">
        <is>
          <t>Metric definitions</t>
        </is>
      </c>
      <c r="B6" s="2" t="inlineStr">
        <is>
          <t>Manufacturer revenue, retail sales, marketplace GMV, auction sales, grading counts and holdings are different quantities. Do not add them into a TAM.</t>
        </is>
      </c>
    </row>
    <row r="7" ht="42" customHeight="1">
      <c r="A7" s="2" t="inlineStr">
        <is>
          <t>Currency</t>
        </is>
      </c>
      <c r="B7" s="2" t="inlineStr">
        <is>
          <t>Reported native currency; no foreign-exchange conversion. 2025 vs H1 2026 and fiscal vs calendar years remain separate.</t>
        </is>
      </c>
    </row>
    <row r="8" ht="42" customHeight="1">
      <c r="A8" s="2" t="inlineStr">
        <is>
          <t>Percent values</t>
        </is>
      </c>
      <c r="B8" s="2" t="inlineStr">
        <is>
          <t>Market Data stores percentages as numbers: 32 means 32 percent, not 0.32.</t>
        </is>
      </c>
    </row>
    <row r="9" ht="42" customHeight="1">
      <c r="A9" s="2" t="inlineStr">
        <is>
          <t>Qualifiers</t>
        </is>
      </c>
      <c r="B9" s="2" t="inlineStr">
        <is>
          <t>Over, approximately, estimated and company claims are retained. Calculated rows show inferred changes, not publisher-reported values.</t>
        </is>
      </c>
    </row>
    <row r="10" ht="42" customHeight="1">
      <c r="A10" s="2" t="inlineStr">
        <is>
          <t>Counts</t>
        </is>
      </c>
      <c r="B10" s="2" t="inlineStr">
        <is>
          <t>116 numeric observations; 50 source records; 12 platform comparisons. Not an exhaustive census.</t>
        </is>
      </c>
    </row>
    <row r="11" ht="42" customHeight="1">
      <c r="A11" s="2" t="inlineStr">
        <is>
          <t>Evidence quality</t>
        </is>
      </c>
      <c r="B11" s="2" t="inlineStr">
        <is>
          <t>Company user/GMV claims are not independently audited. Some publisher PDFs were accessible only through indexed official excerpts; Sources states this.</t>
        </is>
      </c>
    </row>
    <row r="12" ht="42" customHeight="1">
      <c r="A12" s="2" t="inlineStr">
        <is>
          <t>Assessment</t>
        </is>
      </c>
      <c r="B12" s="2" t="inlineStr">
        <is>
          <t>Qualitative research judgement, not measured retention scores or validated underwriting demand.</t>
        </is>
      </c>
    </row>
    <row r="13" ht="42" customHeight="1">
      <c r="A13" s="2" t="inlineStr">
        <is>
          <t>Economics Model</t>
        </is>
      </c>
      <c r="B13" s="2" t="inlineStr">
        <is>
          <t>Blue cells are editable fictitious inputs. Excel recalculates formulas on opening; column D records the illustrative baseline for inspection.</t>
        </is>
      </c>
    </row>
    <row r="14" ht="42" customHeight="1">
      <c r="A14" s="2" t="inlineStr">
        <is>
          <t>Research Gaps</t>
        </is>
      </c>
      <c r="B14" s="2" t="inlineStr">
        <is>
          <t>Lists unavailable data and why it matters. No missing values are filled with market estimates.</t>
        </is>
      </c>
    </row>
    <row r="15" ht="42" customHeight="1">
      <c r="A15" s="2" t="inlineStr">
        <is>
          <t>Safety and scope</t>
        </is>
      </c>
      <c r="B15" s="2" t="inlineStr">
        <is>
          <t>No purchase, account creation, user outreach, insurance quote or binding policy was performed.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4" customWidth="1" min="3" max="3"/>
    <col width="40" customWidth="1" min="4" max="4"/>
    <col width="23" customWidth="1" min="5" max="5"/>
    <col width="16" customWidth="1" min="6" max="6"/>
    <col width="24" customWidth="1" min="7" max="7"/>
    <col width="23" customWidth="1" min="8" max="8"/>
    <col width="15" customWidth="1" min="9" max="9"/>
    <col width="75" customWidth="1" min="10" max="10"/>
    <col width="85" customWidth="1" min="11" max="11"/>
    <col width="18" customWidth="1" min="12" max="12"/>
  </cols>
  <sheetData>
    <row r="1" ht="30" customHeight="1">
      <c r="A1" s="1" t="inlineStr">
        <is>
          <t>metric_id</t>
        </is>
      </c>
      <c r="B1" s="1" t="inlineStr">
        <is>
          <t>segment</t>
        </is>
      </c>
      <c r="C1" s="1" t="inlineStr">
        <is>
          <t>geography</t>
        </is>
      </c>
      <c r="D1" s="1" t="inlineStr">
        <is>
          <t>metric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qualifier</t>
        </is>
      </c>
      <c r="H1" s="1" t="inlineStr">
        <is>
          <t>period</t>
        </is>
      </c>
      <c r="I1" s="1" t="inlineStr">
        <is>
          <t>source_id</t>
        </is>
      </c>
      <c r="J1" s="1" t="inlineStr">
        <is>
          <t>note</t>
        </is>
      </c>
      <c r="K1" s="1" t="inlineStr">
        <is>
          <t>source_url</t>
        </is>
      </c>
      <c r="L1" s="1" t="inlineStr">
        <is>
          <t>accessed</t>
        </is>
      </c>
    </row>
    <row r="2" ht="60" customHeight="1">
      <c r="A2" s="2" t="inlineStr">
        <is>
          <t>M001</t>
        </is>
      </c>
      <c r="B2" s="2" t="inlineStr">
        <is>
          <t>Toys broader context</t>
        </is>
      </c>
      <c r="C2" s="2" t="inlineStr">
        <is>
          <t>Global</t>
        </is>
      </c>
      <c r="D2" s="2" t="inlineStr">
        <is>
          <t>Annual sales</t>
        </is>
      </c>
      <c r="E2" s="3" t="n">
        <v>123000000000</v>
      </c>
      <c r="F2" s="2" t="inlineStr">
        <is>
          <t>USD</t>
        </is>
      </c>
      <c r="G2" s="2" t="inlineStr">
        <is>
          <t>Estimated</t>
        </is>
      </c>
      <c r="H2" s="2" t="inlineStr">
        <is>
          <t>2025</t>
        </is>
      </c>
      <c r="I2" s="2" t="inlineStr">
        <is>
          <t>S01</t>
        </is>
      </c>
      <c r="J2" s="2" t="inlineStr"/>
      <c r="K2" s="4" t="inlineStr">
        <is>
          <t>https://www.circana.com/post/global-toy-market-hits-123b-as-play-expands-across-ages-and-markets</t>
        </is>
      </c>
      <c r="L2" s="2" t="inlineStr">
        <is>
          <t>2026-10-13</t>
        </is>
      </c>
    </row>
    <row r="3" ht="60" customHeight="1">
      <c r="A3" s="2" t="inlineStr">
        <is>
          <t>M002</t>
        </is>
      </c>
      <c r="B3" s="2" t="inlineStr">
        <is>
          <t>Toys broader context</t>
        </is>
      </c>
      <c r="C3" s="2" t="inlineStr">
        <is>
          <t>Global</t>
        </is>
      </c>
      <c r="D3" s="2" t="inlineStr">
        <is>
          <t>Annual sales growth</t>
        </is>
      </c>
      <c r="E3" s="3" t="n">
        <v>8</v>
      </c>
      <c r="F3" s="2" t="inlineStr">
        <is>
          <t>percent</t>
        </is>
      </c>
      <c r="G3" s="2" t="inlineStr">
        <is>
          <t>Reported</t>
        </is>
      </c>
      <c r="H3" s="2" t="inlineStr">
        <is>
          <t>2025</t>
        </is>
      </c>
      <c r="I3" s="2" t="inlineStr">
        <is>
          <t>S01</t>
        </is>
      </c>
      <c r="J3" s="2" t="inlineStr"/>
      <c r="K3" s="4" t="inlineStr">
        <is>
          <t>https://www.circana.com/post/global-toy-market-hits-123b-as-play-expands-across-ages-and-markets</t>
        </is>
      </c>
      <c r="L3" s="2" t="inlineStr">
        <is>
          <t>2026-10-13</t>
        </is>
      </c>
    </row>
    <row r="4" ht="60" customHeight="1">
      <c r="A4" s="2" t="inlineStr">
        <is>
          <t>M003</t>
        </is>
      </c>
      <c r="B4" s="2" t="inlineStr">
        <is>
          <t>Toys broader context</t>
        </is>
      </c>
      <c r="C4" s="2" t="inlineStr">
        <is>
          <t>Global</t>
        </is>
      </c>
      <c r="D4" s="2" t="inlineStr">
        <is>
          <t>Sales share for recipients 15+</t>
        </is>
      </c>
      <c r="E4" s="3" t="n">
        <v>20</v>
      </c>
      <c r="F4" s="2" t="inlineStr">
        <is>
          <t>percent</t>
        </is>
      </c>
      <c r="G4" s="2" t="inlineStr">
        <is>
          <t>Approximately</t>
        </is>
      </c>
      <c r="H4" s="2" t="inlineStr">
        <is>
          <t>2025</t>
        </is>
      </c>
      <c r="I4" s="2" t="inlineStr">
        <is>
          <t>S01</t>
        </is>
      </c>
      <c r="J4" s="2" t="inlineStr"/>
      <c r="K4" s="4" t="inlineStr">
        <is>
          <t>https://www.circana.com/post/global-toy-market-hits-123b-as-play-expands-across-ages-and-markets</t>
        </is>
      </c>
      <c r="L4" s="2" t="inlineStr">
        <is>
          <t>2026-10-13</t>
        </is>
      </c>
    </row>
    <row r="5" ht="60" customHeight="1">
      <c r="A5" s="2" t="inlineStr">
        <is>
          <t>M004</t>
        </is>
      </c>
      <c r="B5" s="2" t="inlineStr">
        <is>
          <t>Toys broader context</t>
        </is>
      </c>
      <c r="C5" s="2" t="inlineStr">
        <is>
          <t>North America</t>
        </is>
      </c>
      <c r="D5" s="2" t="inlineStr">
        <is>
          <t>Global toy sales share</t>
        </is>
      </c>
      <c r="E5" s="3" t="n">
        <v>41</v>
      </c>
      <c r="F5" s="2" t="inlineStr">
        <is>
          <t>percent</t>
        </is>
      </c>
      <c r="G5" s="2" t="inlineStr">
        <is>
          <t>Reported</t>
        </is>
      </c>
      <c r="H5" s="2" t="inlineStr">
        <is>
          <t>2025</t>
        </is>
      </c>
      <c r="I5" s="2" t="inlineStr">
        <is>
          <t>S01</t>
        </is>
      </c>
      <c r="J5" s="2" t="inlineStr"/>
      <c r="K5" s="4" t="inlineStr">
        <is>
          <t>https://www.circana.com/post/global-toy-market-hits-123b-as-play-expands-across-ages-and-markets</t>
        </is>
      </c>
      <c r="L5" s="2" t="inlineStr">
        <is>
          <t>2026-10-13</t>
        </is>
      </c>
    </row>
    <row r="6" ht="60" customHeight="1">
      <c r="A6" s="2" t="inlineStr">
        <is>
          <t>M005</t>
        </is>
      </c>
      <c r="B6" s="2" t="inlineStr">
        <is>
          <t>Toys tracked market</t>
        </is>
      </c>
      <c r="C6" s="2" t="inlineStr">
        <is>
          <t>G12</t>
        </is>
      </c>
      <c r="D6" s="2" t="inlineStr">
        <is>
          <t>Value sales growth</t>
        </is>
      </c>
      <c r="E6" s="3" t="n">
        <v>7</v>
      </c>
      <c r="F6" s="2" t="inlineStr">
        <is>
          <t>percent</t>
        </is>
      </c>
      <c r="G6" s="2" t="inlineStr">
        <is>
          <t>Reported</t>
        </is>
      </c>
      <c r="H6" s="2" t="inlineStr">
        <is>
          <t>2025</t>
        </is>
      </c>
      <c r="I6" s="2" t="inlineStr">
        <is>
          <t>S02</t>
        </is>
      </c>
      <c r="J6" s="2" t="inlineStr"/>
      <c r="K6" s="4" t="inlineStr">
        <is>
          <t>https://www.circana.com/post/global-toy-industry-rebounds-in-2025-as-sales-rise-7-fueled-by-pop-culture-collectibles-and-kidu</t>
        </is>
      </c>
      <c r="L6" s="2" t="inlineStr">
        <is>
          <t>2026-10-13</t>
        </is>
      </c>
    </row>
    <row r="7" ht="60" customHeight="1">
      <c r="A7" s="2" t="inlineStr">
        <is>
          <t>M006</t>
        </is>
      </c>
      <c r="B7" s="2" t="inlineStr">
        <is>
          <t>Toys tracked market</t>
        </is>
      </c>
      <c r="C7" s="2" t="inlineStr">
        <is>
          <t>G12</t>
        </is>
      </c>
      <c r="D7" s="2" t="inlineStr">
        <is>
          <t>Unit sales growth</t>
        </is>
      </c>
      <c r="E7" s="3" t="n">
        <v>3</v>
      </c>
      <c r="F7" s="2" t="inlineStr">
        <is>
          <t>percent</t>
        </is>
      </c>
      <c r="G7" s="2" t="inlineStr">
        <is>
          <t>Reported</t>
        </is>
      </c>
      <c r="H7" s="2" t="inlineStr">
        <is>
          <t>2025</t>
        </is>
      </c>
      <c r="I7" s="2" t="inlineStr">
        <is>
          <t>S02</t>
        </is>
      </c>
      <c r="J7" s="2" t="inlineStr"/>
      <c r="K7" s="4" t="inlineStr">
        <is>
          <t>https://www.circana.com/post/global-toy-industry-rebounds-in-2025-as-sales-rise-7-fueled-by-pop-culture-collectibles-and-kidu</t>
        </is>
      </c>
      <c r="L7" s="2" t="inlineStr">
        <is>
          <t>2026-10-13</t>
        </is>
      </c>
    </row>
    <row r="8" ht="60" customHeight="1">
      <c r="A8" s="2" t="inlineStr">
        <is>
          <t>M007</t>
        </is>
      </c>
      <c r="B8" s="2" t="inlineStr">
        <is>
          <t>Collectible toys incl cards</t>
        </is>
      </c>
      <c r="C8" s="2" t="inlineStr">
        <is>
          <t>G12</t>
        </is>
      </c>
      <c r="D8" s="2" t="inlineStr">
        <is>
          <t>Value sales growth</t>
        </is>
      </c>
      <c r="E8" s="3" t="n">
        <v>32</v>
      </c>
      <c r="F8" s="2" t="inlineStr">
        <is>
          <t>percent</t>
        </is>
      </c>
      <c r="G8" s="2" t="inlineStr">
        <is>
          <t>Reported</t>
        </is>
      </c>
      <c r="H8" s="2" t="inlineStr">
        <is>
          <t>2025</t>
        </is>
      </c>
      <c r="I8" s="2" t="inlineStr">
        <is>
          <t>S02</t>
        </is>
      </c>
      <c r="J8" s="2" t="inlineStr"/>
      <c r="K8" s="4" t="inlineStr">
        <is>
          <t>https://www.circana.com/post/global-toy-industry-rebounds-in-2025-as-sales-rise-7-fueled-by-pop-culture-collectibles-and-kidu</t>
        </is>
      </c>
      <c r="L8" s="2" t="inlineStr">
        <is>
          <t>2026-10-13</t>
        </is>
      </c>
    </row>
    <row r="9" ht="60" customHeight="1">
      <c r="A9" s="2" t="inlineStr">
        <is>
          <t>M008</t>
        </is>
      </c>
      <c r="B9" s="2" t="inlineStr">
        <is>
          <t>Collectible toys incl cards</t>
        </is>
      </c>
      <c r="C9" s="2" t="inlineStr">
        <is>
          <t>G12</t>
        </is>
      </c>
      <c r="D9" s="2" t="inlineStr">
        <is>
          <t>Toy sales value share</t>
        </is>
      </c>
      <c r="E9" s="3" t="n">
        <v>19</v>
      </c>
      <c r="F9" s="2" t="inlineStr">
        <is>
          <t>percent</t>
        </is>
      </c>
      <c r="G9" s="2" t="inlineStr">
        <is>
          <t>Almost</t>
        </is>
      </c>
      <c r="H9" s="2" t="inlineStr">
        <is>
          <t>2025</t>
        </is>
      </c>
      <c r="I9" s="2" t="inlineStr">
        <is>
          <t>S02</t>
        </is>
      </c>
      <c r="J9" s="2" t="inlineStr"/>
      <c r="K9" s="4" t="inlineStr">
        <is>
          <t>https://www.circana.com/post/global-toy-industry-rebounds-in-2025-as-sales-rise-7-fueled-by-pop-culture-collectibles-and-kidu</t>
        </is>
      </c>
      <c r="L9" s="2" t="inlineStr">
        <is>
          <t>2026-10-13</t>
        </is>
      </c>
    </row>
    <row r="10" ht="60" customHeight="1">
      <c r="A10" s="2" t="inlineStr">
        <is>
          <t>M009</t>
        </is>
      </c>
      <c r="B10" s="2" t="inlineStr">
        <is>
          <t>Licensed toys</t>
        </is>
      </c>
      <c r="C10" s="2" t="inlineStr">
        <is>
          <t>G12</t>
        </is>
      </c>
      <c r="D10" s="2" t="inlineStr">
        <is>
          <t>Sales value share</t>
        </is>
      </c>
      <c r="E10" s="3" t="n">
        <v>37</v>
      </c>
      <c r="F10" s="2" t="inlineStr">
        <is>
          <t>percent</t>
        </is>
      </c>
      <c r="G10" s="2" t="inlineStr">
        <is>
          <t>Reported</t>
        </is>
      </c>
      <c r="H10" s="2" t="inlineStr">
        <is>
          <t>2025</t>
        </is>
      </c>
      <c r="I10" s="2" t="inlineStr">
        <is>
          <t>S02</t>
        </is>
      </c>
      <c r="J10" s="2" t="inlineStr"/>
      <c r="K10" s="4" t="inlineStr">
        <is>
          <t>https://www.circana.com/post/global-toy-industry-rebounds-in-2025-as-sales-rise-7-fueled-by-pop-culture-collectibles-and-kidu</t>
        </is>
      </c>
      <c r="L10" s="2" t="inlineStr">
        <is>
          <t>2026-10-13</t>
        </is>
      </c>
    </row>
    <row r="11" ht="60" customHeight="1">
      <c r="A11" s="2" t="inlineStr">
        <is>
          <t>M010</t>
        </is>
      </c>
      <c r="B11" s="2" t="inlineStr">
        <is>
          <t>Licensed toys</t>
        </is>
      </c>
      <c r="C11" s="2" t="inlineStr">
        <is>
          <t>G12</t>
        </is>
      </c>
      <c r="D11" s="2" t="inlineStr">
        <is>
          <t>Sales growth</t>
        </is>
      </c>
      <c r="E11" s="3" t="n">
        <v>15</v>
      </c>
      <c r="F11" s="2" t="inlineStr">
        <is>
          <t>percent</t>
        </is>
      </c>
      <c r="G11" s="2" t="inlineStr">
        <is>
          <t>Reported</t>
        </is>
      </c>
      <c r="H11" s="2" t="inlineStr">
        <is>
          <t>2025</t>
        </is>
      </c>
      <c r="I11" s="2" t="inlineStr">
        <is>
          <t>S02</t>
        </is>
      </c>
      <c r="J11" s="2" t="inlineStr"/>
      <c r="K11" s="4" t="inlineStr">
        <is>
          <t>https://www.circana.com/post/global-toy-industry-rebounds-in-2025-as-sales-rise-7-fueled-by-pop-culture-collectibles-and-kidu</t>
        </is>
      </c>
      <c r="L11" s="2" t="inlineStr">
        <is>
          <t>2026-10-13</t>
        </is>
      </c>
    </row>
    <row r="12" ht="60" customHeight="1">
      <c r="A12" s="2" t="inlineStr">
        <is>
          <t>M011</t>
        </is>
      </c>
      <c r="B12" s="2" t="inlineStr">
        <is>
          <t>Adult toy buying</t>
        </is>
      </c>
      <c r="C12" s="2" t="inlineStr">
        <is>
          <t>Europe</t>
        </is>
      </c>
      <c r="D12" s="2" t="inlineStr">
        <is>
          <t>Consumers buying toys for self or another adult</t>
        </is>
      </c>
      <c r="E12" s="3" t="n">
        <v>40</v>
      </c>
      <c r="F12" s="2" t="inlineStr">
        <is>
          <t>percent</t>
        </is>
      </c>
      <c r="G12" s="2" t="inlineStr">
        <is>
          <t>Nearly</t>
        </is>
      </c>
      <c r="H12" s="2" t="inlineStr">
        <is>
          <t>2025</t>
        </is>
      </c>
      <c r="I12" s="2" t="inlineStr">
        <is>
          <t>S02</t>
        </is>
      </c>
      <c r="J12" s="2" t="inlineStr">
        <is>
          <t>Survey measure; not collector app retention</t>
        </is>
      </c>
      <c r="K12" s="4" t="inlineStr">
        <is>
          <t>https://www.circana.com/post/global-toy-industry-rebounds-in-2025-as-sales-rise-7-fueled-by-pop-culture-collectibles-and-kidu</t>
        </is>
      </c>
      <c r="L12" s="2" t="inlineStr">
        <is>
          <t>2026-10-13</t>
        </is>
      </c>
    </row>
    <row r="13" ht="60" customHeight="1">
      <c r="A13" s="2" t="inlineStr">
        <is>
          <t>M012</t>
        </is>
      </c>
      <c r="B13" s="2" t="inlineStr">
        <is>
          <t>Toys broader context</t>
        </is>
      </c>
      <c r="C13" s="2" t="inlineStr">
        <is>
          <t>Brazil</t>
        </is>
      </c>
      <c r="D13" s="2" t="inlineStr">
        <is>
          <t>Value sales growth</t>
        </is>
      </c>
      <c r="E13" s="3" t="n">
        <v>2</v>
      </c>
      <c r="F13" s="2" t="inlineStr">
        <is>
          <t>percent</t>
        </is>
      </c>
      <c r="G13" s="2" t="inlineStr">
        <is>
          <t>Reported</t>
        </is>
      </c>
      <c r="H13" s="2" t="inlineStr">
        <is>
          <t>2025</t>
        </is>
      </c>
      <c r="I13" s="2" t="inlineStr">
        <is>
          <t>S02</t>
        </is>
      </c>
      <c r="J13" s="2" t="inlineStr"/>
      <c r="K13" s="4" t="inlineStr">
        <is>
          <t>https://www.circana.com/post/global-toy-industry-rebounds-in-2025-as-sales-rise-7-fueled-by-pop-culture-collectibles-and-kidu</t>
        </is>
      </c>
      <c r="L13" s="2" t="inlineStr">
        <is>
          <t>2026-10-13</t>
        </is>
      </c>
    </row>
    <row r="14" ht="60" customHeight="1">
      <c r="A14" s="2" t="inlineStr">
        <is>
          <t>M013</t>
        </is>
      </c>
      <c r="B14" s="2" t="inlineStr">
        <is>
          <t>Toys tracked market</t>
        </is>
      </c>
      <c r="C14" s="2" t="inlineStr">
        <is>
          <t>G14</t>
        </is>
      </c>
      <c r="D14" s="2" t="inlineStr">
        <is>
          <t>H1 value sales growth</t>
        </is>
      </c>
      <c r="E14" s="3" t="n">
        <v>14</v>
      </c>
      <c r="F14" s="2" t="inlineStr">
        <is>
          <t>percent</t>
        </is>
      </c>
      <c r="G14" s="2" t="inlineStr">
        <is>
          <t>Reported</t>
        </is>
      </c>
      <c r="H14" s="2" t="inlineStr">
        <is>
          <t>January-June 2026</t>
        </is>
      </c>
      <c r="I14" s="2" t="inlineStr">
        <is>
          <t>S03</t>
        </is>
      </c>
      <c r="J14" s="2" t="inlineStr"/>
      <c r="K14" s="4" t="inlineStr">
        <is>
          <t>https://www.circana.com/post/circana-reveals-regional-toy-market-dynamics-across-europe-the-americas-and-asia-pacific</t>
        </is>
      </c>
      <c r="L14" s="2" t="inlineStr">
        <is>
          <t>2026-10-13</t>
        </is>
      </c>
    </row>
    <row r="15" ht="60" customHeight="1">
      <c r="A15" s="2" t="inlineStr">
        <is>
          <t>M014</t>
        </is>
      </c>
      <c r="B15" s="2" t="inlineStr">
        <is>
          <t>Toys tracked market</t>
        </is>
      </c>
      <c r="C15" s="2" t="inlineStr">
        <is>
          <t>G14</t>
        </is>
      </c>
      <c r="D15" s="2" t="inlineStr">
        <is>
          <t>Rolling 12 month value growth</t>
        </is>
      </c>
      <c r="E15" s="3" t="n">
        <v>9.5</v>
      </c>
      <c r="F15" s="2" t="inlineStr">
        <is>
          <t>percent</t>
        </is>
      </c>
      <c r="G15" s="2" t="inlineStr">
        <is>
          <t>Reported</t>
        </is>
      </c>
      <c r="H15" s="2" t="inlineStr">
        <is>
          <t>12 months ending June 2026</t>
        </is>
      </c>
      <c r="I15" s="2" t="inlineStr">
        <is>
          <t>S03</t>
        </is>
      </c>
      <c r="J15" s="2" t="inlineStr"/>
      <c r="K15" s="4" t="inlineStr">
        <is>
          <t>https://www.circana.com/post/circana-reveals-regional-toy-market-dynamics-across-europe-the-americas-and-asia-pacific</t>
        </is>
      </c>
      <c r="L15" s="2" t="inlineStr">
        <is>
          <t>2026-10-13</t>
        </is>
      </c>
    </row>
    <row r="16" ht="60" customHeight="1">
      <c r="A16" s="2" t="inlineStr">
        <is>
          <t>M015</t>
        </is>
      </c>
      <c r="B16" s="2" t="inlineStr">
        <is>
          <t>Toys broader context</t>
        </is>
      </c>
      <c r="C16" s="2" t="inlineStr">
        <is>
          <t>LATAM</t>
        </is>
      </c>
      <c r="D16" s="2" t="inlineStr">
        <is>
          <t>December share of annual sales</t>
        </is>
      </c>
      <c r="E16" s="3" t="n">
        <v>32</v>
      </c>
      <c r="F16" s="2" t="inlineStr">
        <is>
          <t>percent</t>
        </is>
      </c>
      <c r="G16" s="2" t="inlineStr">
        <is>
          <t>Reported</t>
        </is>
      </c>
      <c r="H16" s="2" t="inlineStr">
        <is>
          <t>H1 2026 / rolling year</t>
        </is>
      </c>
      <c r="I16" s="2" t="inlineStr">
        <is>
          <t>S03</t>
        </is>
      </c>
      <c r="J16" s="2" t="inlineStr">
        <is>
          <t>Regional aggregate; not Brazil only</t>
        </is>
      </c>
      <c r="K16" s="4" t="inlineStr">
        <is>
          <t>https://www.circana.com/post/circana-reveals-regional-toy-market-dynamics-across-europe-the-americas-and-asia-pacific</t>
        </is>
      </c>
      <c r="L16" s="2" t="inlineStr">
        <is>
          <t>2026-10-13</t>
        </is>
      </c>
    </row>
    <row r="17" ht="60" customHeight="1">
      <c r="A17" s="2" t="inlineStr">
        <is>
          <t>M016</t>
        </is>
      </c>
      <c r="B17" s="2" t="inlineStr">
        <is>
          <t>Toys broader context</t>
        </is>
      </c>
      <c r="C17" s="2" t="inlineStr">
        <is>
          <t>Europe</t>
        </is>
      </c>
      <c r="D17" s="2" t="inlineStr">
        <is>
          <t>Annual spend per child under 10</t>
        </is>
      </c>
      <c r="E17" s="3" t="n">
        <v>240</v>
      </c>
      <c r="F17" s="2" t="inlineStr">
        <is>
          <t>USD</t>
        </is>
      </c>
      <c r="G17" s="2" t="inlineStr">
        <is>
          <t>Approximately</t>
        </is>
      </c>
      <c r="H17" s="2" t="inlineStr">
        <is>
          <t>2025</t>
        </is>
      </c>
      <c r="I17" s="2" t="inlineStr">
        <is>
          <t>S03</t>
        </is>
      </c>
      <c r="J17" s="2" t="inlineStr"/>
      <c r="K17" s="4" t="inlineStr">
        <is>
          <t>https://www.circana.com/post/circana-reveals-regional-toy-market-dynamics-across-europe-the-americas-and-asia-pacific</t>
        </is>
      </c>
      <c r="L17" s="2" t="inlineStr">
        <is>
          <t>2026-10-13</t>
        </is>
      </c>
    </row>
    <row r="18" ht="60" customHeight="1">
      <c r="A18" s="2" t="inlineStr">
        <is>
          <t>M017</t>
        </is>
      </c>
      <c r="B18" s="2" t="inlineStr">
        <is>
          <t>Toys broader context</t>
        </is>
      </c>
      <c r="C18" s="2" t="inlineStr">
        <is>
          <t>US</t>
        </is>
      </c>
      <c r="D18" s="2" t="inlineStr">
        <is>
          <t>H1 value sales growth</t>
        </is>
      </c>
      <c r="E18" s="3" t="n">
        <v>17</v>
      </c>
      <c r="F18" s="2" t="inlineStr">
        <is>
          <t>percent</t>
        </is>
      </c>
      <c r="G18" s="2" t="inlineStr">
        <is>
          <t>Reported</t>
        </is>
      </c>
      <c r="H18" s="2" t="inlineStr">
        <is>
          <t>H1 2026</t>
        </is>
      </c>
      <c r="I18" s="2" t="inlineStr">
        <is>
          <t>S04</t>
        </is>
      </c>
      <c r="J18" s="2" t="inlineStr"/>
      <c r="K18" s="4" t="inlineStr">
        <is>
          <t>https://www.circana.com/post/us-toy-industry-posts-strongest-first-half-in-six-years-circana-reports</t>
        </is>
      </c>
      <c r="L18" s="2" t="inlineStr">
        <is>
          <t>2026-10-13</t>
        </is>
      </c>
    </row>
    <row r="19" ht="60" customHeight="1">
      <c r="A19" s="2" t="inlineStr">
        <is>
          <t>M018</t>
        </is>
      </c>
      <c r="B19" s="2" t="inlineStr">
        <is>
          <t>Toys broader context</t>
        </is>
      </c>
      <c r="C19" s="2" t="inlineStr">
        <is>
          <t>US</t>
        </is>
      </c>
      <c r="D19" s="2" t="inlineStr">
        <is>
          <t>H1 unit sales growth</t>
        </is>
      </c>
      <c r="E19" s="3" t="n">
        <v>12</v>
      </c>
      <c r="F19" s="2" t="inlineStr">
        <is>
          <t>percent</t>
        </is>
      </c>
      <c r="G19" s="2" t="inlineStr">
        <is>
          <t>Reported</t>
        </is>
      </c>
      <c r="H19" s="2" t="inlineStr">
        <is>
          <t>H1 2026</t>
        </is>
      </c>
      <c r="I19" s="2" t="inlineStr">
        <is>
          <t>S04</t>
        </is>
      </c>
      <c r="J19" s="2" t="inlineStr"/>
      <c r="K19" s="4" t="inlineStr">
        <is>
          <t>https://www.circana.com/post/us-toy-industry-posts-strongest-first-half-in-six-years-circana-reports</t>
        </is>
      </c>
      <c r="L19" s="2" t="inlineStr">
        <is>
          <t>2026-10-13</t>
        </is>
      </c>
    </row>
    <row r="20" ht="60" customHeight="1">
      <c r="A20" s="2" t="inlineStr">
        <is>
          <t>M019</t>
        </is>
      </c>
      <c r="B20" s="2" t="inlineStr">
        <is>
          <t>Action figures and accessories</t>
        </is>
      </c>
      <c r="C20" s="2" t="inlineStr">
        <is>
          <t>US</t>
        </is>
      </c>
      <c r="D20" s="2" t="inlineStr">
        <is>
          <t>H1 value sales growth</t>
        </is>
      </c>
      <c r="E20" s="3" t="n">
        <v>10</v>
      </c>
      <c r="F20" s="2" t="inlineStr">
        <is>
          <t>percent</t>
        </is>
      </c>
      <c r="G20" s="2" t="inlineStr">
        <is>
          <t>Reported</t>
        </is>
      </c>
      <c r="H20" s="2" t="inlineStr">
        <is>
          <t>H1 2026</t>
        </is>
      </c>
      <c r="I20" s="2" t="inlineStr">
        <is>
          <t>S04</t>
        </is>
      </c>
      <c r="J20" s="2" t="inlineStr"/>
      <c r="K20" s="4" t="inlineStr">
        <is>
          <t>https://www.circana.com/post/us-toy-industry-posts-strongest-first-half-in-six-years-circana-reports</t>
        </is>
      </c>
      <c r="L20" s="2" t="inlineStr">
        <is>
          <t>2026-10-13</t>
        </is>
      </c>
    </row>
    <row r="21" ht="60" customHeight="1">
      <c r="A21" s="2" t="inlineStr">
        <is>
          <t>M020</t>
        </is>
      </c>
      <c r="B21" s="2" t="inlineStr">
        <is>
          <t>Games and puzzles incl TCGs</t>
        </is>
      </c>
      <c r="C21" s="2" t="inlineStr">
        <is>
          <t>US</t>
        </is>
      </c>
      <c r="D21" s="2" t="inlineStr">
        <is>
          <t>H1 value sales growth</t>
        </is>
      </c>
      <c r="E21" s="3" t="n">
        <v>45</v>
      </c>
      <c r="F21" s="2" t="inlineStr">
        <is>
          <t>percent</t>
        </is>
      </c>
      <c r="G21" s="2" t="inlineStr">
        <is>
          <t>Reported</t>
        </is>
      </c>
      <c r="H21" s="2" t="inlineStr">
        <is>
          <t>H1 2026</t>
        </is>
      </c>
      <c r="I21" s="2" t="inlineStr">
        <is>
          <t>S04</t>
        </is>
      </c>
      <c r="J21" s="2" t="inlineStr"/>
      <c r="K21" s="4" t="inlineStr">
        <is>
          <t>https://www.circana.com/post/us-toy-industry-posts-strongest-first-half-in-six-years-circana-reports</t>
        </is>
      </c>
      <c r="L21" s="2" t="inlineStr">
        <is>
          <t>2026-10-13</t>
        </is>
      </c>
    </row>
    <row r="22" ht="60" customHeight="1">
      <c r="A22" s="2" t="inlineStr">
        <is>
          <t>M021</t>
        </is>
      </c>
      <c r="B22" s="2" t="inlineStr">
        <is>
          <t>Licensed toys</t>
        </is>
      </c>
      <c r="C22" s="2" t="inlineStr">
        <is>
          <t>US</t>
        </is>
      </c>
      <c r="D22" s="2" t="inlineStr">
        <is>
          <t>H1 value sales growth</t>
        </is>
      </c>
      <c r="E22" s="3" t="n">
        <v>24</v>
      </c>
      <c r="F22" s="2" t="inlineStr">
        <is>
          <t>percent</t>
        </is>
      </c>
      <c r="G22" s="2" t="inlineStr">
        <is>
          <t>Reported</t>
        </is>
      </c>
      <c r="H22" s="2" t="inlineStr">
        <is>
          <t>H1 2026</t>
        </is>
      </c>
      <c r="I22" s="2" t="inlineStr">
        <is>
          <t>S04</t>
        </is>
      </c>
      <c r="J22" s="2" t="inlineStr"/>
      <c r="K22" s="4" t="inlineStr">
        <is>
          <t>https://www.circana.com/post/us-toy-industry-posts-strongest-first-half-in-six-years-circana-reports</t>
        </is>
      </c>
      <c r="L22" s="2" t="inlineStr">
        <is>
          <t>2026-10-13</t>
        </is>
      </c>
    </row>
    <row r="23" ht="60" customHeight="1">
      <c r="A23" s="2" t="inlineStr">
        <is>
          <t>M022</t>
        </is>
      </c>
      <c r="B23" s="2" t="inlineStr">
        <is>
          <t>Licensed toys</t>
        </is>
      </c>
      <c r="C23" s="2" t="inlineStr">
        <is>
          <t>US</t>
        </is>
      </c>
      <c r="D23" s="2" t="inlineStr">
        <is>
          <t>Share of H1 toy sales</t>
        </is>
      </c>
      <c r="E23" s="3" t="n">
        <v>39</v>
      </c>
      <c r="F23" s="2" t="inlineStr">
        <is>
          <t>percent</t>
        </is>
      </c>
      <c r="G23" s="2" t="inlineStr">
        <is>
          <t>Reported</t>
        </is>
      </c>
      <c r="H23" s="2" t="inlineStr">
        <is>
          <t>H1 2026</t>
        </is>
      </c>
      <c r="I23" s="2" t="inlineStr">
        <is>
          <t>S04</t>
        </is>
      </c>
      <c r="J23" s="2" t="inlineStr"/>
      <c r="K23" s="4" t="inlineStr">
        <is>
          <t>https://www.circana.com/post/us-toy-industry-posts-strongest-first-half-in-six-years-circana-reports</t>
        </is>
      </c>
      <c r="L23" s="2" t="inlineStr">
        <is>
          <t>2026-10-13</t>
        </is>
      </c>
    </row>
    <row r="24" ht="60" customHeight="1">
      <c r="A24" s="2" t="inlineStr">
        <is>
          <t>M023</t>
        </is>
      </c>
      <c r="B24" s="2" t="inlineStr">
        <is>
          <t>Magic brand</t>
        </is>
      </c>
      <c r="C24" s="2" t="inlineStr">
        <is>
          <t>Global</t>
        </is>
      </c>
      <c r="D24" s="2" t="inlineStr">
        <is>
          <t>Brand net revenue</t>
        </is>
      </c>
      <c r="E24" s="3" t="n">
        <v>1720100000</v>
      </c>
      <c r="F24" s="2" t="inlineStr">
        <is>
          <t>USD</t>
        </is>
      </c>
      <c r="G24" s="2" t="inlineStr">
        <is>
          <t>Reported</t>
        </is>
      </c>
      <c r="H24" s="2" t="inlineStr">
        <is>
          <t>FY 2025</t>
        </is>
      </c>
      <c r="I24" s="2" t="inlineStr">
        <is>
          <t>S05</t>
        </is>
      </c>
      <c r="J24" s="2" t="inlineStr"/>
      <c r="K24" s="4" t="inlineStr">
        <is>
          <t>https://corp.hasbro.com/news-releases/news-release-details/hasbro-reports-fourth-quarter-and-full-year-2025-financial</t>
        </is>
      </c>
      <c r="L24" s="2" t="inlineStr">
        <is>
          <t>2026-10-13</t>
        </is>
      </c>
    </row>
    <row r="25" ht="60" customHeight="1">
      <c r="A25" s="2" t="inlineStr">
        <is>
          <t>M024</t>
        </is>
      </c>
      <c r="B25" s="2" t="inlineStr">
        <is>
          <t>Magic brand</t>
        </is>
      </c>
      <c r="C25" s="2" t="inlineStr">
        <is>
          <t>Global</t>
        </is>
      </c>
      <c r="D25" s="2" t="inlineStr">
        <is>
          <t>Revenue growth</t>
        </is>
      </c>
      <c r="E25" s="3" t="n">
        <v>59</v>
      </c>
      <c r="F25" s="2" t="inlineStr">
        <is>
          <t>percent</t>
        </is>
      </c>
      <c r="G25" s="2" t="inlineStr">
        <is>
          <t>Reported</t>
        </is>
      </c>
      <c r="H25" s="2" t="inlineStr">
        <is>
          <t>FY 2025</t>
        </is>
      </c>
      <c r="I25" s="2" t="inlineStr">
        <is>
          <t>S05</t>
        </is>
      </c>
      <c r="J25" s="2" t="inlineStr"/>
      <c r="K25" s="4" t="inlineStr">
        <is>
          <t>https://corp.hasbro.com/news-releases/news-release-details/hasbro-reports-fourth-quarter-and-full-year-2025-financial</t>
        </is>
      </c>
      <c r="L25" s="2" t="inlineStr">
        <is>
          <t>2026-10-13</t>
        </is>
      </c>
    </row>
    <row r="26" ht="60" customHeight="1">
      <c r="A26" s="2" t="inlineStr">
        <is>
          <t>M025</t>
        </is>
      </c>
      <c r="B26" s="2" t="inlineStr">
        <is>
          <t>Wizards and digital gaming</t>
        </is>
      </c>
      <c r="C26" s="2" t="inlineStr">
        <is>
          <t>Global</t>
        </is>
      </c>
      <c r="D26" s="2" t="inlineStr">
        <is>
          <t>Segment net revenue</t>
        </is>
      </c>
      <c r="E26" s="3" t="n">
        <v>2186900000</v>
      </c>
      <c r="F26" s="2" t="inlineStr">
        <is>
          <t>USD</t>
        </is>
      </c>
      <c r="G26" s="2" t="inlineStr">
        <is>
          <t>Reported</t>
        </is>
      </c>
      <c r="H26" s="2" t="inlineStr">
        <is>
          <t>FY 2025</t>
        </is>
      </c>
      <c r="I26" s="2" t="inlineStr">
        <is>
          <t>S05</t>
        </is>
      </c>
      <c r="J26" s="2" t="inlineStr">
        <is>
          <t>Includes D&amp;D and other gaming; overlaps Magic</t>
        </is>
      </c>
      <c r="K26" s="4" t="inlineStr">
        <is>
          <t>https://corp.hasbro.com/news-releases/news-release-details/hasbro-reports-fourth-quarter-and-full-year-2025-financial</t>
        </is>
      </c>
      <c r="L26" s="2" t="inlineStr">
        <is>
          <t>2026-10-13</t>
        </is>
      </c>
    </row>
    <row r="27" ht="60" customHeight="1">
      <c r="A27" s="2" t="inlineStr">
        <is>
          <t>M026</t>
        </is>
      </c>
      <c r="B27" s="2" t="inlineStr">
        <is>
          <t>Wizards tabletop</t>
        </is>
      </c>
      <c r="C27" s="2" t="inlineStr">
        <is>
          <t>Global</t>
        </is>
      </c>
      <c r="D27" s="2" t="inlineStr">
        <is>
          <t>Tabletop net revenue</t>
        </is>
      </c>
      <c r="E27" s="3" t="n">
        <v>1686600000</v>
      </c>
      <c r="F27" s="2" t="inlineStr">
        <is>
          <t>USD</t>
        </is>
      </c>
      <c r="G27" s="2" t="inlineStr">
        <is>
          <t>Reported</t>
        </is>
      </c>
      <c r="H27" s="2" t="inlineStr">
        <is>
          <t>FY 2025</t>
        </is>
      </c>
      <c r="I27" s="2" t="inlineStr">
        <is>
          <t>S05</t>
        </is>
      </c>
      <c r="J27" s="2" t="inlineStr">
        <is>
          <t>Includes D&amp;D; not Magic physical-only revenue</t>
        </is>
      </c>
      <c r="K27" s="4" t="inlineStr">
        <is>
          <t>https://corp.hasbro.com/news-releases/news-release-details/hasbro-reports-fourth-quarter-and-full-year-2025-financial</t>
        </is>
      </c>
      <c r="L27" s="2" t="inlineStr">
        <is>
          <t>2026-10-13</t>
        </is>
      </c>
    </row>
    <row r="28" ht="60" customHeight="1">
      <c r="A28" s="2" t="inlineStr">
        <is>
          <t>M027</t>
        </is>
      </c>
      <c r="B28" s="2" t="inlineStr">
        <is>
          <t>Magic brand</t>
        </is>
      </c>
      <c r="C28" s="2" t="inlineStr">
        <is>
          <t>Global</t>
        </is>
      </c>
      <c r="D28" s="2" t="inlineStr">
        <is>
          <t>H1 brand net revenue</t>
        </is>
      </c>
      <c r="E28" s="3" t="n">
        <v>1014900000</v>
      </c>
      <c r="F28" s="2" t="inlineStr">
        <is>
          <t>USD</t>
        </is>
      </c>
      <c r="G28" s="2" t="inlineStr">
        <is>
          <t>Reported</t>
        </is>
      </c>
      <c r="H28" s="2" t="inlineStr">
        <is>
          <t>H1 2026</t>
        </is>
      </c>
      <c r="I28" s="2" t="inlineStr">
        <is>
          <t>S06</t>
        </is>
      </c>
      <c r="J28" s="2" t="inlineStr"/>
      <c r="K28" s="4" t="inlineStr">
        <is>
          <t>https://newsroom.hasbro.com/node/36961</t>
        </is>
      </c>
      <c r="L28" s="2" t="inlineStr">
        <is>
          <t>2026-10-13</t>
        </is>
      </c>
    </row>
    <row r="29" ht="60" customHeight="1">
      <c r="A29" s="2" t="inlineStr">
        <is>
          <t>M028</t>
        </is>
      </c>
      <c r="B29" s="2" t="inlineStr">
        <is>
          <t>Magic brand</t>
        </is>
      </c>
      <c r="C29" s="2" t="inlineStr">
        <is>
          <t>Global</t>
        </is>
      </c>
      <c r="D29" s="2" t="inlineStr">
        <is>
          <t>H1 revenue growth</t>
        </is>
      </c>
      <c r="E29" s="3" t="n">
        <v>34</v>
      </c>
      <c r="F29" s="2" t="inlineStr">
        <is>
          <t>percent</t>
        </is>
      </c>
      <c r="G29" s="2" t="inlineStr">
        <is>
          <t>Reported</t>
        </is>
      </c>
      <c r="H29" s="2" t="inlineStr">
        <is>
          <t>H1 2026</t>
        </is>
      </c>
      <c r="I29" s="2" t="inlineStr">
        <is>
          <t>S06</t>
        </is>
      </c>
      <c r="J29" s="2" t="inlineStr"/>
      <c r="K29" s="4" t="inlineStr">
        <is>
          <t>https://newsroom.hasbro.com/node/36961</t>
        </is>
      </c>
      <c r="L29" s="2" t="inlineStr">
        <is>
          <t>2026-10-13</t>
        </is>
      </c>
    </row>
    <row r="30" ht="60" customHeight="1">
      <c r="A30" s="2" t="inlineStr">
        <is>
          <t>M029</t>
        </is>
      </c>
      <c r="B30" s="2" t="inlineStr">
        <is>
          <t>Pokemon TCG</t>
        </is>
      </c>
      <c r="C30" s="2" t="inlineStr">
        <is>
          <t>Global</t>
        </is>
      </c>
      <c r="D30" s="2" t="inlineStr">
        <is>
          <t>Lifetime cards produced</t>
        </is>
      </c>
      <c r="E30" s="3" t="n">
        <v>85000000000</v>
      </c>
      <c r="F30" s="2" t="inlineStr">
        <is>
          <t>cards</t>
        </is>
      </c>
      <c r="G30" s="2" t="inlineStr">
        <is>
          <t>Over</t>
        </is>
      </c>
      <c r="H30" s="2" t="inlineStr">
        <is>
          <t>March 2026</t>
        </is>
      </c>
      <c r="I30" s="2" t="inlineStr">
        <is>
          <t>S07</t>
        </is>
      </c>
      <c r="J30" s="2" t="inlineStr">
        <is>
          <t>Indexed official-page value; lifetime production</t>
        </is>
      </c>
      <c r="K30" s="4" t="inlineStr">
        <is>
          <t>https://corporate.pokemon.co.jp/en/aboutus/figures/</t>
        </is>
      </c>
      <c r="L30" s="2" t="inlineStr">
        <is>
          <t>2026-10-13</t>
        </is>
      </c>
    </row>
    <row r="31" ht="60" customHeight="1">
      <c r="A31" s="2" t="inlineStr">
        <is>
          <t>M030</t>
        </is>
      </c>
      <c r="B31" s="2" t="inlineStr">
        <is>
          <t>Pokemon TCG</t>
        </is>
      </c>
      <c r="C31" s="2" t="inlineStr">
        <is>
          <t>Global</t>
        </is>
      </c>
      <c r="D31" s="2" t="inlineStr">
        <is>
          <t>Languages to date</t>
        </is>
      </c>
      <c r="E31" s="3" t="n">
        <v>16</v>
      </c>
      <c r="F31" s="2" t="inlineStr">
        <is>
          <t>languages</t>
        </is>
      </c>
      <c r="G31" s="2" t="inlineStr">
        <is>
          <t>Reported</t>
        </is>
      </c>
      <c r="H31" s="2" t="inlineStr">
        <is>
          <t>March 2026</t>
        </is>
      </c>
      <c r="I31" s="2" t="inlineStr">
        <is>
          <t>S07</t>
        </is>
      </c>
      <c r="J31" s="2" t="inlineStr"/>
      <c r="K31" s="4" t="inlineStr">
        <is>
          <t>https://corporate.pokemon.co.jp/en/aboutus/figures/</t>
        </is>
      </c>
      <c r="L31" s="2" t="inlineStr">
        <is>
          <t>2026-10-13</t>
        </is>
      </c>
    </row>
    <row r="32" ht="60" customHeight="1">
      <c r="A32" s="2" t="inlineStr">
        <is>
          <t>M031</t>
        </is>
      </c>
      <c r="B32" s="2" t="inlineStr">
        <is>
          <t>Pokemon TCG</t>
        </is>
      </c>
      <c r="C32" s="2" t="inlineStr">
        <is>
          <t>Global</t>
        </is>
      </c>
      <c r="D32" s="2" t="inlineStr">
        <is>
          <t>Countries and regions sold in</t>
        </is>
      </c>
      <c r="E32" s="3" t="n">
        <v>90</v>
      </c>
      <c r="F32" s="2" t="inlineStr">
        <is>
          <t>countries and regions</t>
        </is>
      </c>
      <c r="G32" s="2" t="inlineStr">
        <is>
          <t>Over</t>
        </is>
      </c>
      <c r="H32" s="2" t="inlineStr">
        <is>
          <t>March 2026</t>
        </is>
      </c>
      <c r="I32" s="2" t="inlineStr">
        <is>
          <t>S07</t>
        </is>
      </c>
      <c r="J32" s="2" t="inlineStr"/>
      <c r="K32" s="4" t="inlineStr">
        <is>
          <t>https://corporate.pokemon.co.jp/en/aboutus/figures/</t>
        </is>
      </c>
      <c r="L32" s="2" t="inlineStr">
        <is>
          <t>2026-10-13</t>
        </is>
      </c>
    </row>
    <row r="33" ht="60" customHeight="1">
      <c r="A33" s="2" t="inlineStr">
        <is>
          <t>M032</t>
        </is>
      </c>
      <c r="B33" s="2" t="inlineStr">
        <is>
          <t>Pokemon organised play</t>
        </is>
      </c>
      <c r="C33" s="2" t="inlineStr">
        <is>
          <t>Japan</t>
        </is>
      </c>
      <c r="D33" s="2" t="inlineStr">
        <is>
          <t>Card gyms</t>
        </is>
      </c>
      <c r="E33" s="3" t="n">
        <v>1800</v>
      </c>
      <c r="F33" s="2" t="inlineStr">
        <is>
          <t>venues</t>
        </is>
      </c>
      <c r="G33" s="2" t="inlineStr">
        <is>
          <t>Near</t>
        </is>
      </c>
      <c r="H33" s="2" t="inlineStr">
        <is>
          <t>May 2026</t>
        </is>
      </c>
      <c r="I33" s="2" t="inlineStr">
        <is>
          <t>S08</t>
        </is>
      </c>
      <c r="J33" s="2" t="inlineStr"/>
      <c r="K33" s="4" t="inlineStr">
        <is>
          <t>https://corporate.pokemon.co.jp/en/business/cardgame/</t>
        </is>
      </c>
      <c r="L33" s="2" t="inlineStr">
        <is>
          <t>2026-10-13</t>
        </is>
      </c>
    </row>
    <row r="34" ht="60" customHeight="1">
      <c r="A34" s="2" t="inlineStr">
        <is>
          <t>M033</t>
        </is>
      </c>
      <c r="B34" s="2" t="inlineStr">
        <is>
          <t>Pokemon organised play</t>
        </is>
      </c>
      <c r="C34" s="2" t="inlineStr">
        <is>
          <t>Japan</t>
        </is>
      </c>
      <c r="D34" s="2" t="inlineStr">
        <is>
          <t>Annual events</t>
        </is>
      </c>
      <c r="E34" s="3" t="n">
        <v>300000</v>
      </c>
      <c r="F34" s="2" t="inlineStr">
        <is>
          <t>events</t>
        </is>
      </c>
      <c r="G34" s="2" t="inlineStr">
        <is>
          <t>Roughly</t>
        </is>
      </c>
      <c r="H34" s="2" t="inlineStr">
        <is>
          <t>May 2026</t>
        </is>
      </c>
      <c r="I34" s="2" t="inlineStr">
        <is>
          <t>S08</t>
        </is>
      </c>
      <c r="J34" s="2" t="inlineStr"/>
      <c r="K34" s="4" t="inlineStr">
        <is>
          <t>https://corporate.pokemon.co.jp/en/business/cardgame/</t>
        </is>
      </c>
      <c r="L34" s="2" t="inlineStr">
        <is>
          <t>2026-10-13</t>
        </is>
      </c>
    </row>
    <row r="35" ht="60" customHeight="1">
      <c r="A35" s="2" t="inlineStr">
        <is>
          <t>M034</t>
        </is>
      </c>
      <c r="B35" s="2" t="inlineStr">
        <is>
          <t>Collector app</t>
        </is>
      </c>
      <c r="C35" s="2" t="inlineStr">
        <is>
          <t>Collectr global</t>
        </is>
      </c>
      <c r="D35" s="2" t="inlineStr">
        <is>
          <t>Users at year end</t>
        </is>
      </c>
      <c r="E35" s="3" t="n">
        <v>6300000</v>
      </c>
      <c r="F35" s="2" t="inlineStr">
        <is>
          <t>users</t>
        </is>
      </c>
      <c r="G35" s="2" t="inlineStr">
        <is>
          <t>Company claim</t>
        </is>
      </c>
      <c r="H35" s="2" t="inlineStr">
        <is>
          <t>2025 / year end</t>
        </is>
      </c>
      <c r="I35" s="2" t="inlineStr">
        <is>
          <t>S09</t>
        </is>
      </c>
      <c r="J35" s="2" t="inlineStr">
        <is>
          <t>Cumulative/registered definition not specified</t>
        </is>
      </c>
      <c r="K35" s="4" t="inlineStr">
        <is>
          <t>https://www.linkedin.com/posts/collectr-inc_2025-was-a-year-were-still-processing-at-activity-7413235631927001088-Joi6</t>
        </is>
      </c>
      <c r="L35" s="2" t="inlineStr">
        <is>
          <t>2026-10-13</t>
        </is>
      </c>
    </row>
    <row r="36" ht="60" customHeight="1">
      <c r="A36" s="2" t="inlineStr">
        <is>
          <t>M035</t>
        </is>
      </c>
      <c r="B36" s="2" t="inlineStr">
        <is>
          <t>Collector app</t>
        </is>
      </c>
      <c r="C36" s="2" t="inlineStr">
        <is>
          <t>Collectr global</t>
        </is>
      </c>
      <c r="D36" s="2" t="inlineStr">
        <is>
          <t>Annual app uses</t>
        </is>
      </c>
      <c r="E36" s="3" t="n">
        <v>1300000000</v>
      </c>
      <c r="F36" s="2" t="inlineStr">
        <is>
          <t>uses</t>
        </is>
      </c>
      <c r="G36" s="2" t="inlineStr">
        <is>
          <t>Company claim</t>
        </is>
      </c>
      <c r="H36" s="2" t="inlineStr">
        <is>
          <t>2025 / year end</t>
        </is>
      </c>
      <c r="I36" s="2" t="inlineStr">
        <is>
          <t>S09</t>
        </is>
      </c>
      <c r="J36" s="2" t="inlineStr">
        <is>
          <t>Uses not DAU or cohort retention</t>
        </is>
      </c>
      <c r="K36" s="4" t="inlineStr">
        <is>
          <t>https://www.linkedin.com/posts/collectr-inc_2025-was-a-year-were-still-processing-at-activity-7413235631927001088-Joi6</t>
        </is>
      </c>
      <c r="L36" s="2" t="inlineStr">
        <is>
          <t>2026-10-13</t>
        </is>
      </c>
    </row>
    <row r="37" ht="60" customHeight="1">
      <c r="A37" s="2" t="inlineStr">
        <is>
          <t>M036</t>
        </is>
      </c>
      <c r="B37" s="2" t="inlineStr">
        <is>
          <t>Collector app</t>
        </is>
      </c>
      <c r="C37" s="2" t="inlineStr">
        <is>
          <t>Collectr global</t>
        </is>
      </c>
      <c r="D37" s="2" t="inlineStr">
        <is>
          <t>Products tracked in inventories</t>
        </is>
      </c>
      <c r="E37" s="3" t="n">
        <v>700000000</v>
      </c>
      <c r="F37" s="2" t="inlineStr">
        <is>
          <t>inventory entries</t>
        </is>
      </c>
      <c r="G37" s="2" t="inlineStr">
        <is>
          <t>Over</t>
        </is>
      </c>
      <c r="H37" s="2" t="inlineStr">
        <is>
          <t>2025 / year end</t>
        </is>
      </c>
      <c r="I37" s="2" t="inlineStr">
        <is>
          <t>S09</t>
        </is>
      </c>
      <c r="J37" s="2" t="inlineStr">
        <is>
          <t>Not unique objects or owners</t>
        </is>
      </c>
      <c r="K37" s="4" t="inlineStr">
        <is>
          <t>https://www.linkedin.com/posts/collectr-inc_2025-was-a-year-were-still-processing-at-activity-7413235631927001088-Joi6</t>
        </is>
      </c>
      <c r="L37" s="2" t="inlineStr">
        <is>
          <t>2026-10-13</t>
        </is>
      </c>
    </row>
    <row r="38" ht="60" customHeight="1">
      <c r="A38" s="2" t="inlineStr">
        <is>
          <t>M037</t>
        </is>
      </c>
      <c r="B38" s="2" t="inlineStr">
        <is>
          <t>Collector app</t>
        </is>
      </c>
      <c r="C38" s="2" t="inlineStr">
        <is>
          <t>Collectr partners</t>
        </is>
      </c>
      <c r="D38" s="2" t="inlineStr">
        <is>
          <t>Partner GMV</t>
        </is>
      </c>
      <c r="E38" s="3" t="n">
        <v>100000000</v>
      </c>
      <c r="F38" s="2" t="inlineStr">
        <is>
          <t>USD</t>
        </is>
      </c>
      <c r="G38" s="2" t="inlineStr">
        <is>
          <t>Over</t>
        </is>
      </c>
      <c r="H38" s="2" t="inlineStr">
        <is>
          <t>2025 / year end</t>
        </is>
      </c>
      <c r="I38" s="2" t="inlineStr">
        <is>
          <t>S09</t>
        </is>
      </c>
      <c r="J38" s="2" t="inlineStr">
        <is>
          <t>Attributed partner sales; not Collectr revenue</t>
        </is>
      </c>
      <c r="K38" s="4" t="inlineStr">
        <is>
          <t>https://www.linkedin.com/posts/collectr-inc_2025-was-a-year-were-still-processing-at-activity-7413235631927001088-Joi6</t>
        </is>
      </c>
      <c r="L38" s="2" t="inlineStr">
        <is>
          <t>2026-10-13</t>
        </is>
      </c>
    </row>
    <row r="39" ht="60" customHeight="1">
      <c r="A39" s="2" t="inlineStr">
        <is>
          <t>M038</t>
        </is>
      </c>
      <c r="B39" s="2" t="inlineStr">
        <is>
          <t>Collector app</t>
        </is>
      </c>
      <c r="C39" s="2" t="inlineStr">
        <is>
          <t>Collectr global</t>
        </is>
      </c>
      <c r="D39" s="2" t="inlineStr">
        <is>
          <t>Collectors on current homepage</t>
        </is>
      </c>
      <c r="E39" s="3" t="n">
        <v>10000000</v>
      </c>
      <c r="F39" s="2" t="inlineStr">
        <is>
          <t>users</t>
        </is>
      </c>
      <c r="G39" s="2" t="inlineStr">
        <is>
          <t>Over</t>
        </is>
      </c>
      <c r="H39" s="2" t="inlineStr">
        <is>
          <t>Observed October 2026</t>
        </is>
      </c>
      <c r="I39" s="2" t="inlineStr">
        <is>
          <t>S10</t>
        </is>
      </c>
      <c r="J39" s="2" t="inlineStr">
        <is>
          <t>Undated company claim; not MAU</t>
        </is>
      </c>
      <c r="K39" s="4" t="inlineStr">
        <is>
          <t>https://www.getcollectr.com/</t>
        </is>
      </c>
      <c r="L39" s="2" t="inlineStr">
        <is>
          <t>2026-10-13</t>
        </is>
      </c>
    </row>
    <row r="40" ht="60" customHeight="1">
      <c r="A40" s="2" t="inlineStr">
        <is>
          <t>M039</t>
        </is>
      </c>
      <c r="B40" s="2" t="inlineStr">
        <is>
          <t>Collector software</t>
        </is>
      </c>
      <c r="C40" s="2" t="inlineStr">
        <is>
          <t>Collectr</t>
        </is>
      </c>
      <c r="D40" s="2" t="inlineStr">
        <is>
          <t>PRO annual billing</t>
        </is>
      </c>
      <c r="E40" s="3" t="n">
        <v>59.99</v>
      </c>
      <c r="F40" s="2" t="inlineStr">
        <is>
          <t>USD per year</t>
        </is>
      </c>
      <c r="G40" s="2" t="inlineStr">
        <is>
          <t>Advertised</t>
        </is>
      </c>
      <c r="H40" s="2" t="inlineStr">
        <is>
          <t>Observed October 2026</t>
        </is>
      </c>
      <c r="I40" s="2" t="inlineStr">
        <is>
          <t>S11</t>
        </is>
      </c>
      <c r="J40" s="2" t="inlineStr"/>
      <c r="K40" s="4" t="inlineStr">
        <is>
          <t>https://www.getcollectr.com/pro.html</t>
        </is>
      </c>
      <c r="L40" s="2" t="inlineStr">
        <is>
          <t>2026-10-13</t>
        </is>
      </c>
    </row>
    <row r="41" ht="60" customHeight="1">
      <c r="A41" s="2" t="inlineStr">
        <is>
          <t>M040</t>
        </is>
      </c>
      <c r="B41" s="2" t="inlineStr">
        <is>
          <t>Collector software</t>
        </is>
      </c>
      <c r="C41" s="2" t="inlineStr">
        <is>
          <t>Collectr</t>
        </is>
      </c>
      <c r="D41" s="2" t="inlineStr">
        <is>
          <t>PRO monthly billing</t>
        </is>
      </c>
      <c r="E41" s="3" t="n">
        <v>7.99</v>
      </c>
      <c r="F41" s="2" t="inlineStr">
        <is>
          <t>USD per month</t>
        </is>
      </c>
      <c r="G41" s="2" t="inlineStr">
        <is>
          <t>Advertised</t>
        </is>
      </c>
      <c r="H41" s="2" t="inlineStr">
        <is>
          <t>Observed October 2026</t>
        </is>
      </c>
      <c r="I41" s="2" t="inlineStr">
        <is>
          <t>S11</t>
        </is>
      </c>
      <c r="J41" s="2" t="inlineStr"/>
      <c r="K41" s="4" t="inlineStr">
        <is>
          <t>https://www.getcollectr.com/pro.html</t>
        </is>
      </c>
      <c r="L41" s="2" t="inlineStr">
        <is>
          <t>2026-10-13</t>
        </is>
      </c>
    </row>
    <row r="42" ht="60" customHeight="1">
      <c r="A42" s="2" t="inlineStr">
        <is>
          <t>M041</t>
        </is>
      </c>
      <c r="B42" s="2" t="inlineStr">
        <is>
          <t>TCG marketplace</t>
        </is>
      </c>
      <c r="C42" s="2" t="inlineStr">
        <is>
          <t>Cardmarket Europe</t>
        </is>
      </c>
      <c r="D42" s="2" t="inlineStr">
        <is>
          <t>Users</t>
        </is>
      </c>
      <c r="E42" s="3" t="n">
        <v>2000000</v>
      </c>
      <c r="F42" s="2" t="inlineStr">
        <is>
          <t>users</t>
        </is>
      </c>
      <c r="G42" s="2" t="inlineStr">
        <is>
          <t>Over</t>
        </is>
      </c>
      <c r="H42" s="2" t="inlineStr">
        <is>
          <t>2025 anniversary</t>
        </is>
      </c>
      <c r="I42" s="2" t="inlineStr">
        <is>
          <t>S12</t>
        </is>
      </c>
      <c r="J42" s="2" t="inlineStr"/>
      <c r="K42" s="4" t="inlineStr">
        <is>
          <t>https://www.linkedin.com/posts/cardmarket-com_tradingcardgames-activity-7328071468594995200-smOn</t>
        </is>
      </c>
      <c r="L42" s="2" t="inlineStr">
        <is>
          <t>2026-10-13</t>
        </is>
      </c>
    </row>
    <row r="43" ht="60" customHeight="1">
      <c r="A43" s="2" t="inlineStr">
        <is>
          <t>M042</t>
        </is>
      </c>
      <c r="B43" s="2" t="inlineStr">
        <is>
          <t>TCG marketplace</t>
        </is>
      </c>
      <c r="C43" s="2" t="inlineStr">
        <is>
          <t>Cardmarket Europe</t>
        </is>
      </c>
      <c r="D43" s="2" t="inlineStr">
        <is>
          <t>User countries</t>
        </is>
      </c>
      <c r="E43" s="3" t="n">
        <v>30</v>
      </c>
      <c r="F43" s="2" t="inlineStr">
        <is>
          <t>countries</t>
        </is>
      </c>
      <c r="G43" s="2" t="inlineStr">
        <is>
          <t>Reported</t>
        </is>
      </c>
      <c r="H43" s="2" t="inlineStr">
        <is>
          <t>2025 anniversary</t>
        </is>
      </c>
      <c r="I43" s="2" t="inlineStr">
        <is>
          <t>S12</t>
        </is>
      </c>
      <c r="J43" s="2" t="inlineStr"/>
      <c r="K43" s="4" t="inlineStr">
        <is>
          <t>https://www.linkedin.com/posts/cardmarket-com_tradingcardgames-activity-7328071468594995200-smOn</t>
        </is>
      </c>
      <c r="L43" s="2" t="inlineStr">
        <is>
          <t>2026-10-13</t>
        </is>
      </c>
    </row>
    <row r="44" ht="60" customHeight="1">
      <c r="A44" s="2" t="inlineStr">
        <is>
          <t>M043</t>
        </is>
      </c>
      <c r="B44" s="2" t="inlineStr">
        <is>
          <t>TCG marketplace</t>
        </is>
      </c>
      <c r="C44" s="2" t="inlineStr">
        <is>
          <t>Cardmarket Europe</t>
        </is>
      </c>
      <c r="D44" s="2" t="inlineStr">
        <is>
          <t>Lifetime sold articles</t>
        </is>
      </c>
      <c r="E44" s="3" t="n">
        <v>600000000</v>
      </c>
      <c r="F44" s="2" t="inlineStr">
        <is>
          <t>articles</t>
        </is>
      </c>
      <c r="G44" s="2" t="inlineStr">
        <is>
          <t>Over</t>
        </is>
      </c>
      <c r="H44" s="2" t="inlineStr">
        <is>
          <t>2025 anniversary</t>
        </is>
      </c>
      <c r="I44" s="2" t="inlineStr">
        <is>
          <t>S12</t>
        </is>
      </c>
      <c r="J44" s="2" t="inlineStr">
        <is>
          <t>Not annual transaction count</t>
        </is>
      </c>
      <c r="K44" s="4" t="inlineStr">
        <is>
          <t>https://www.linkedin.com/posts/cardmarket-com_tradingcardgames-activity-7328071468594995200-smOn</t>
        </is>
      </c>
      <c r="L44" s="2" t="inlineStr">
        <is>
          <t>2026-10-13</t>
        </is>
      </c>
    </row>
    <row r="45" ht="60" customHeight="1">
      <c r="A45" s="2" t="inlineStr">
        <is>
          <t>M044</t>
        </is>
      </c>
      <c r="B45" s="2" t="inlineStr">
        <is>
          <t>TCG marketplace</t>
        </is>
      </c>
      <c r="C45" s="2" t="inlineStr">
        <is>
          <t>Cardmarket Europe</t>
        </is>
      </c>
      <c r="D45" s="2" t="inlineStr">
        <is>
          <t>Active offers</t>
        </is>
      </c>
      <c r="E45" s="3" t="n">
        <v>500000000</v>
      </c>
      <c r="F45" s="2" t="inlineStr">
        <is>
          <t>offers</t>
        </is>
      </c>
      <c r="G45" s="2" t="inlineStr">
        <is>
          <t>Over</t>
        </is>
      </c>
      <c r="H45" s="2" t="inlineStr">
        <is>
          <t>2025 anniversary</t>
        </is>
      </c>
      <c r="I45" s="2" t="inlineStr">
        <is>
          <t>S12</t>
        </is>
      </c>
      <c r="J45" s="2" t="inlineStr">
        <is>
          <t>Offers may represent many low-value cards</t>
        </is>
      </c>
      <c r="K45" s="4" t="inlineStr">
        <is>
          <t>https://www.linkedin.com/posts/cardmarket-com_tradingcardgames-activity-7328071468594995200-smOn</t>
        </is>
      </c>
      <c r="L45" s="2" t="inlineStr">
        <is>
          <t>2026-10-13</t>
        </is>
      </c>
    </row>
    <row r="46" ht="60" customHeight="1">
      <c r="A46" s="2" t="inlineStr">
        <is>
          <t>M045</t>
        </is>
      </c>
      <c r="B46" s="2" t="inlineStr">
        <is>
          <t>Card grading</t>
        </is>
      </c>
      <c r="C46" s="2" t="inlineStr">
        <is>
          <t>Tracked major graders</t>
        </is>
      </c>
      <c r="D46" s="2" t="inlineStr">
        <is>
          <t>Monthly report additions</t>
        </is>
      </c>
      <c r="E46" s="3" t="n">
        <v>3520000</v>
      </c>
      <c r="F46" s="2" t="inlineStr">
        <is>
          <t>cards</t>
        </is>
      </c>
      <c r="G46" s="2" t="inlineStr">
        <is>
          <t>Approximately</t>
        </is>
      </c>
      <c r="H46" s="2" t="inlineStr">
        <is>
          <t>September 2026</t>
        </is>
      </c>
      <c r="I46" s="2" t="inlineStr">
        <is>
          <t>S13</t>
        </is>
      </c>
      <c r="J46" s="2" t="inlineStr">
        <is>
          <t>Excludes Beckett; CGC AUTH additions included</t>
        </is>
      </c>
      <c r="K46" s="4" t="inlineStr">
        <is>
          <t>https://www.gemrate.com/september-2026-recap</t>
        </is>
      </c>
      <c r="L46" s="2" t="inlineStr">
        <is>
          <t>2026-10-13</t>
        </is>
      </c>
    </row>
    <row r="47" ht="60" customHeight="1">
      <c r="A47" s="2" t="inlineStr">
        <is>
          <t>M046</t>
        </is>
      </c>
      <c r="B47" s="2" t="inlineStr">
        <is>
          <t>Card grading</t>
        </is>
      </c>
      <c r="C47" s="2" t="inlineStr">
        <is>
          <t>Tracked major graders</t>
        </is>
      </c>
      <c r="D47" s="2" t="inlineStr">
        <is>
          <t>Monthly growth</t>
        </is>
      </c>
      <c r="E47" s="3" t="n">
        <v>9</v>
      </c>
      <c r="F47" s="2" t="inlineStr">
        <is>
          <t>percent</t>
        </is>
      </c>
      <c r="G47" s="2" t="inlineStr">
        <is>
          <t>Reported</t>
        </is>
      </c>
      <c r="H47" s="2" t="inlineStr">
        <is>
          <t>September 2026</t>
        </is>
      </c>
      <c r="I47" s="2" t="inlineStr">
        <is>
          <t>S13</t>
        </is>
      </c>
      <c r="J47" s="2" t="inlineStr"/>
      <c r="K47" s="4" t="inlineStr">
        <is>
          <t>https://www.gemrate.com/september-2026-recap</t>
        </is>
      </c>
      <c r="L47" s="2" t="inlineStr">
        <is>
          <t>2026-10-13</t>
        </is>
      </c>
    </row>
    <row r="48" ht="60" customHeight="1">
      <c r="A48" s="2" t="inlineStr">
        <is>
          <t>M047</t>
        </is>
      </c>
      <c r="B48" s="2" t="inlineStr">
        <is>
          <t>Card grading</t>
        </is>
      </c>
      <c r="C48" s="2" t="inlineStr">
        <is>
          <t>Tracked major graders</t>
        </is>
      </c>
      <c r="D48" s="2" t="inlineStr">
        <is>
          <t>Year on year growth</t>
        </is>
      </c>
      <c r="E48" s="3" t="n">
        <v>62</v>
      </c>
      <c r="F48" s="2" t="inlineStr">
        <is>
          <t>percent</t>
        </is>
      </c>
      <c r="G48" s="2" t="inlineStr">
        <is>
          <t>Reported</t>
        </is>
      </c>
      <c r="H48" s="2" t="inlineStr">
        <is>
          <t>September 2026</t>
        </is>
      </c>
      <c r="I48" s="2" t="inlineStr">
        <is>
          <t>S13</t>
        </is>
      </c>
      <c r="J48" s="2" t="inlineStr"/>
      <c r="K48" s="4" t="inlineStr">
        <is>
          <t>https://www.gemrate.com/september-2026-recap</t>
        </is>
      </c>
      <c r="L48" s="2" t="inlineStr">
        <is>
          <t>2026-10-13</t>
        </is>
      </c>
    </row>
    <row r="49" ht="60" customHeight="1">
      <c r="A49" s="2" t="inlineStr">
        <is>
          <t>M048</t>
        </is>
      </c>
      <c r="B49" s="2" t="inlineStr">
        <is>
          <t>Card grading</t>
        </is>
      </c>
      <c r="C49" s="2" t="inlineStr">
        <is>
          <t>PSA</t>
        </is>
      </c>
      <c r="D49" s="2" t="inlineStr">
        <is>
          <t>Monthly report additions</t>
        </is>
      </c>
      <c r="E49" s="3" t="n">
        <v>2460000</v>
      </c>
      <c r="F49" s="2" t="inlineStr">
        <is>
          <t>cards</t>
        </is>
      </c>
      <c r="G49" s="2" t="inlineStr">
        <is>
          <t>Approximately</t>
        </is>
      </c>
      <c r="H49" s="2" t="inlineStr">
        <is>
          <t>September 2026</t>
        </is>
      </c>
      <c r="I49" s="2" t="inlineStr">
        <is>
          <t>S13</t>
        </is>
      </c>
      <c r="J49" s="2" t="inlineStr"/>
      <c r="K49" s="4" t="inlineStr">
        <is>
          <t>https://www.gemrate.com/september-2026-recap</t>
        </is>
      </c>
      <c r="L49" s="2" t="inlineStr">
        <is>
          <t>2026-10-13</t>
        </is>
      </c>
    </row>
    <row r="50" ht="60" customHeight="1">
      <c r="A50" s="2" t="inlineStr">
        <is>
          <t>M049</t>
        </is>
      </c>
      <c r="B50" s="2" t="inlineStr">
        <is>
          <t>Card grading</t>
        </is>
      </c>
      <c r="C50" s="2" t="inlineStr">
        <is>
          <t>CGC</t>
        </is>
      </c>
      <c r="D50" s="2" t="inlineStr">
        <is>
          <t>Monthly report additions</t>
        </is>
      </c>
      <c r="E50" s="3" t="n">
        <v>962000</v>
      </c>
      <c r="F50" s="2" t="inlineStr">
        <is>
          <t>cards</t>
        </is>
      </c>
      <c r="G50" s="2" t="inlineStr">
        <is>
          <t>Approximately</t>
        </is>
      </c>
      <c r="H50" s="2" t="inlineStr">
        <is>
          <t>September 2026</t>
        </is>
      </c>
      <c r="I50" s="2" t="inlineStr">
        <is>
          <t>S13</t>
        </is>
      </c>
      <c r="J50" s="2" t="inlineStr">
        <is>
          <t>Includes about 60k AUTH additions</t>
        </is>
      </c>
      <c r="K50" s="4" t="inlineStr">
        <is>
          <t>https://www.gemrate.com/september-2026-recap</t>
        </is>
      </c>
      <c r="L50" s="2" t="inlineStr">
        <is>
          <t>2026-10-13</t>
        </is>
      </c>
    </row>
    <row r="51" ht="60" customHeight="1">
      <c r="A51" s="2" t="inlineStr">
        <is>
          <t>M050</t>
        </is>
      </c>
      <c r="B51" s="2" t="inlineStr">
        <is>
          <t>Pop culture goods</t>
        </is>
      </c>
      <c r="C51" s="2" t="inlineStr">
        <is>
          <t>Funko global</t>
        </is>
      </c>
      <c r="D51" s="2" t="inlineStr">
        <is>
          <t>Annual net sales</t>
        </is>
      </c>
      <c r="E51" s="3" t="n">
        <v>908200000</v>
      </c>
      <c r="F51" s="2" t="inlineStr">
        <is>
          <t>USD</t>
        </is>
      </c>
      <c r="G51" s="2" t="inlineStr">
        <is>
          <t>Rounded</t>
        </is>
      </c>
      <c r="H51" s="2" t="inlineStr">
        <is>
          <t>2025</t>
        </is>
      </c>
      <c r="I51" s="2" t="inlineStr">
        <is>
          <t>S15</t>
        </is>
      </c>
      <c r="J51" s="2" t="inlineStr"/>
      <c r="K51" s="4" t="inlineStr">
        <is>
          <t>https://investor.funko.com/news-and-events/press-releases/Press-Releases/2026/Funko-Reports-2025-Fourth-Quarter-Full-Year-Financial-Results-Provides-Full-Year-Outlook-for-2026/default.aspx</t>
        </is>
      </c>
      <c r="L51" s="2" t="inlineStr">
        <is>
          <t>2026-10-13</t>
        </is>
      </c>
    </row>
    <row r="52" ht="60" customHeight="1">
      <c r="A52" s="2" t="inlineStr">
        <is>
          <t>M051</t>
        </is>
      </c>
      <c r="B52" s="2" t="inlineStr">
        <is>
          <t>Pop culture goods</t>
        </is>
      </c>
      <c r="C52" s="2" t="inlineStr">
        <is>
          <t>Funko global</t>
        </is>
      </c>
      <c r="D52" s="2" t="inlineStr">
        <is>
          <t>Annual net loss</t>
        </is>
      </c>
      <c r="E52" s="3" t="n">
        <v>67400000</v>
      </c>
      <c r="F52" s="2" t="inlineStr">
        <is>
          <t>USD</t>
        </is>
      </c>
      <c r="G52" s="2" t="inlineStr">
        <is>
          <t>Reported</t>
        </is>
      </c>
      <c r="H52" s="2" t="inlineStr">
        <is>
          <t>2025</t>
        </is>
      </c>
      <c r="I52" s="2" t="inlineStr">
        <is>
          <t>S15</t>
        </is>
      </c>
      <c r="J52" s="2" t="inlineStr">
        <is>
          <t>Loss magnitude</t>
        </is>
      </c>
      <c r="K52" s="4" t="inlineStr">
        <is>
          <t>https://investor.funko.com/news-and-events/press-releases/Press-Releases/2026/Funko-Reports-2025-Fourth-Quarter-Full-Year-Financial-Results-Provides-Full-Year-Outlook-for-2026/default.aspx</t>
        </is>
      </c>
      <c r="L52" s="2" t="inlineStr">
        <is>
          <t>2026-10-13</t>
        </is>
      </c>
    </row>
    <row r="53" ht="60" customHeight="1">
      <c r="A53" s="2" t="inlineStr">
        <is>
          <t>M052</t>
        </is>
      </c>
      <c r="B53" s="2" t="inlineStr">
        <is>
          <t>Pop culture goods</t>
        </is>
      </c>
      <c r="C53" s="2" t="inlineStr">
        <is>
          <t>Funko global</t>
        </is>
      </c>
      <c r="D53" s="2" t="inlineStr">
        <is>
          <t>Quarterly net sales</t>
        </is>
      </c>
      <c r="E53" s="3" t="n">
        <v>207719000</v>
      </c>
      <c r="F53" s="2" t="inlineStr">
        <is>
          <t>USD</t>
        </is>
      </c>
      <c r="G53" s="2" t="inlineStr">
        <is>
          <t>Reported</t>
        </is>
      </c>
      <c r="H53" s="2" t="inlineStr">
        <is>
          <t>Q2 2026</t>
        </is>
      </c>
      <c r="I53" s="2" t="inlineStr">
        <is>
          <t>S16</t>
        </is>
      </c>
      <c r="J53" s="2" t="inlineStr"/>
      <c r="K53" s="4" t="inlineStr">
        <is>
          <t>https://investor.funko.com/news-and-events/press-releases/Press-Releases/2026/Funko-Reports-Strong-Second-Quarter-2026-Financial-Results-Reiterates-Full-Year-Net-Sales-Outlook-and-Raises-Adjusted-EBITDA-Guidance/default.aspx</t>
        </is>
      </c>
      <c r="L53" s="2" t="inlineStr">
        <is>
          <t>2026-10-13</t>
        </is>
      </c>
    </row>
    <row r="54" ht="60" customHeight="1">
      <c r="A54" s="2" t="inlineStr">
        <is>
          <t>M053</t>
        </is>
      </c>
      <c r="B54" s="2" t="inlineStr">
        <is>
          <t>Pop culture goods</t>
        </is>
      </c>
      <c r="C54" s="2" t="inlineStr">
        <is>
          <t>Funko global</t>
        </is>
      </c>
      <c r="D54" s="2" t="inlineStr">
        <is>
          <t>Quarterly net sales growth</t>
        </is>
      </c>
      <c r="E54" s="3" t="n">
        <v>7.4</v>
      </c>
      <c r="F54" s="2" t="inlineStr">
        <is>
          <t>percent</t>
        </is>
      </c>
      <c r="G54" s="2" t="inlineStr">
        <is>
          <t>Reported</t>
        </is>
      </c>
      <c r="H54" s="2" t="inlineStr">
        <is>
          <t>Q2 2026</t>
        </is>
      </c>
      <c r="I54" s="2" t="inlineStr">
        <is>
          <t>S16</t>
        </is>
      </c>
      <c r="J54" s="2" t="inlineStr"/>
      <c r="K54" s="4" t="inlineStr">
        <is>
          <t>https://investor.funko.com/news-and-events/press-releases/Press-Releases/2026/Funko-Reports-Strong-Second-Quarter-2026-Financial-Results-Reiterates-Full-Year-Net-Sales-Outlook-and-Raises-Adjusted-EBITDA-Guidance/default.aspx</t>
        </is>
      </c>
      <c r="L54" s="2" t="inlineStr">
        <is>
          <t>2026-10-13</t>
        </is>
      </c>
    </row>
    <row r="55" ht="60" customHeight="1">
      <c r="A55" s="2" t="inlineStr">
        <is>
          <t>M054</t>
        </is>
      </c>
      <c r="B55" s="2" t="inlineStr">
        <is>
          <t>Core Collectibles</t>
        </is>
      </c>
      <c r="C55" s="2" t="inlineStr">
        <is>
          <t>Funko global</t>
        </is>
      </c>
      <c r="D55" s="2" t="inlineStr">
        <is>
          <t>Quarterly net sales</t>
        </is>
      </c>
      <c r="E55" s="3" t="n">
        <v>171641000</v>
      </c>
      <c r="F55" s="2" t="inlineStr">
        <is>
          <t>USD</t>
        </is>
      </c>
      <c r="G55" s="2" t="inlineStr">
        <is>
          <t>Reported</t>
        </is>
      </c>
      <c r="H55" s="2" t="inlineStr">
        <is>
          <t>Q2 2026</t>
        </is>
      </c>
      <c r="I55" s="2" t="inlineStr">
        <is>
          <t>S16</t>
        </is>
      </c>
      <c r="J55" s="2" t="inlineStr"/>
      <c r="K55" s="4" t="inlineStr">
        <is>
          <t>https://investor.funko.com/news-and-events/press-releases/Press-Releases/2026/Funko-Reports-Strong-Second-Quarter-2026-Financial-Results-Reiterates-Full-Year-Net-Sales-Outlook-and-Raises-Adjusted-EBITDA-Guidance/default.aspx</t>
        </is>
      </c>
      <c r="L55" s="2" t="inlineStr">
        <is>
          <t>2026-10-13</t>
        </is>
      </c>
    </row>
    <row r="56" ht="60" customHeight="1">
      <c r="A56" s="2" t="inlineStr">
        <is>
          <t>M055</t>
        </is>
      </c>
      <c r="B56" s="2" t="inlineStr">
        <is>
          <t>Core Collectibles</t>
        </is>
      </c>
      <c r="C56" s="2" t="inlineStr">
        <is>
          <t>Funko global</t>
        </is>
      </c>
      <c r="D56" s="2" t="inlineStr">
        <is>
          <t>Quarterly sales growth</t>
        </is>
      </c>
      <c r="E56" s="3" t="n">
        <v>9</v>
      </c>
      <c r="F56" s="2" t="inlineStr">
        <is>
          <t>percent</t>
        </is>
      </c>
      <c r="G56" s="2" t="inlineStr">
        <is>
          <t>Reported</t>
        </is>
      </c>
      <c r="H56" s="2" t="inlineStr">
        <is>
          <t>Q2 2026</t>
        </is>
      </c>
      <c r="I56" s="2" t="inlineStr">
        <is>
          <t>S16</t>
        </is>
      </c>
      <c r="J56" s="2" t="inlineStr"/>
      <c r="K56" s="4" t="inlineStr">
        <is>
          <t>https://investor.funko.com/news-and-events/press-releases/Press-Releases/2026/Funko-Reports-Strong-Second-Quarter-2026-Financial-Results-Reiterates-Full-Year-Net-Sales-Outlook-and-Raises-Adjusted-EBITDA-Guidance/default.aspx</t>
        </is>
      </c>
      <c r="L56" s="2" t="inlineStr">
        <is>
          <t>2026-10-13</t>
        </is>
      </c>
    </row>
    <row r="57" ht="60" customHeight="1">
      <c r="A57" s="2" t="inlineStr">
        <is>
          <t>M056</t>
        </is>
      </c>
      <c r="B57" s="2" t="inlineStr">
        <is>
          <t>Pop culture goods</t>
        </is>
      </c>
      <c r="C57" s="2" t="inlineStr">
        <is>
          <t>Funko Europe</t>
        </is>
      </c>
      <c r="D57" s="2" t="inlineStr">
        <is>
          <t>Quarterly net sales</t>
        </is>
      </c>
      <c r="E57" s="3" t="n">
        <v>68976000</v>
      </c>
      <c r="F57" s="2" t="inlineStr">
        <is>
          <t>USD</t>
        </is>
      </c>
      <c r="G57" s="2" t="inlineStr">
        <is>
          <t>Reported</t>
        </is>
      </c>
      <c r="H57" s="2" t="inlineStr">
        <is>
          <t>Q2 2026</t>
        </is>
      </c>
      <c r="I57" s="2" t="inlineStr">
        <is>
          <t>S16</t>
        </is>
      </c>
      <c r="J57" s="2" t="inlineStr"/>
      <c r="K57" s="4" t="inlineStr">
        <is>
          <t>https://investor.funko.com/news-and-events/press-releases/Press-Releases/2026/Funko-Reports-Strong-Second-Quarter-2026-Financial-Results-Reiterates-Full-Year-Net-Sales-Outlook-and-Raises-Adjusted-EBITDA-Guidance/default.aspx</t>
        </is>
      </c>
      <c r="L57" s="2" t="inlineStr">
        <is>
          <t>2026-10-13</t>
        </is>
      </c>
    </row>
    <row r="58" ht="60" customHeight="1">
      <c r="A58" s="2" t="inlineStr">
        <is>
          <t>M057</t>
        </is>
      </c>
      <c r="B58" s="2" t="inlineStr">
        <is>
          <t>Pop culture goods</t>
        </is>
      </c>
      <c r="C58" s="2" t="inlineStr">
        <is>
          <t>Funko Europe</t>
        </is>
      </c>
      <c r="D58" s="2" t="inlineStr">
        <is>
          <t>Quarterly sales growth</t>
        </is>
      </c>
      <c r="E58" s="3" t="n">
        <v>19.4</v>
      </c>
      <c r="F58" s="2" t="inlineStr">
        <is>
          <t>percent</t>
        </is>
      </c>
      <c r="G58" s="2" t="inlineStr">
        <is>
          <t>Reported</t>
        </is>
      </c>
      <c r="H58" s="2" t="inlineStr">
        <is>
          <t>Q2 2026</t>
        </is>
      </c>
      <c r="I58" s="2" t="inlineStr">
        <is>
          <t>S16</t>
        </is>
      </c>
      <c r="J58" s="2" t="inlineStr"/>
      <c r="K58" s="4" t="inlineStr">
        <is>
          <t>https://investor.funko.com/news-and-events/press-releases/Press-Releases/2026/Funko-Reports-Strong-Second-Quarter-2026-Financial-Results-Reiterates-Full-Year-Net-Sales-Outlook-and-Raises-Adjusted-EBITDA-Guidance/default.aspx</t>
        </is>
      </c>
      <c r="L58" s="2" t="inlineStr">
        <is>
          <t>2026-10-13</t>
        </is>
      </c>
    </row>
    <row r="59" ht="60" customHeight="1">
      <c r="A59" s="2" t="inlineStr">
        <is>
          <t>M058</t>
        </is>
      </c>
      <c r="B59" s="2" t="inlineStr">
        <is>
          <t>Pop culture goods</t>
        </is>
      </c>
      <c r="C59" s="2" t="inlineStr">
        <is>
          <t>Funko global</t>
        </is>
      </c>
      <c r="D59" s="2" t="inlineStr">
        <is>
          <t>H1 net sales</t>
        </is>
      </c>
      <c r="E59" s="3" t="n">
        <v>408638000</v>
      </c>
      <c r="F59" s="2" t="inlineStr">
        <is>
          <t>USD</t>
        </is>
      </c>
      <c r="G59" s="2" t="inlineStr">
        <is>
          <t>Reported</t>
        </is>
      </c>
      <c r="H59" s="2" t="inlineStr">
        <is>
          <t>H1 2026</t>
        </is>
      </c>
      <c r="I59" s="2" t="inlineStr">
        <is>
          <t>S16</t>
        </is>
      </c>
      <c r="J59" s="2" t="inlineStr"/>
      <c r="K59" s="4" t="inlineStr">
        <is>
          <t>https://investor.funko.com/news-and-events/press-releases/Press-Releases/2026/Funko-Reports-Strong-Second-Quarter-2026-Financial-Results-Reiterates-Full-Year-Net-Sales-Outlook-and-Raises-Adjusted-EBITDA-Guidance/default.aspx</t>
        </is>
      </c>
      <c r="L59" s="2" t="inlineStr">
        <is>
          <t>2026-10-13</t>
        </is>
      </c>
    </row>
    <row r="60" ht="60" customHeight="1">
      <c r="A60" s="2" t="inlineStr">
        <is>
          <t>M059</t>
        </is>
      </c>
      <c r="B60" s="2" t="inlineStr">
        <is>
          <t>Pop toys</t>
        </is>
      </c>
      <c r="C60" s="2" t="inlineStr">
        <is>
          <t>Pop Mart global</t>
        </is>
      </c>
      <c r="D60" s="2" t="inlineStr">
        <is>
          <t>Annual revenue</t>
        </is>
      </c>
      <c r="E60" s="3" t="n">
        <v>37120052000</v>
      </c>
      <c r="F60" s="2" t="inlineStr">
        <is>
          <t>RMB</t>
        </is>
      </c>
      <c r="G60" s="2" t="inlineStr">
        <is>
          <t>Reported</t>
        </is>
      </c>
      <c r="H60" s="2" t="inlineStr">
        <is>
          <t>2025</t>
        </is>
      </c>
      <c r="I60" s="2" t="inlineStr">
        <is>
          <t>S17</t>
        </is>
      </c>
      <c r="J60" s="2" t="inlineStr"/>
      <c r="K60" s="4" t="inlineStr">
        <is>
          <t>https://www1.hkexnews.hk/listedco/listconews/sehk/2026/0325/2026032500285.pdf</t>
        </is>
      </c>
      <c r="L60" s="2" t="inlineStr">
        <is>
          <t>2026-10-13</t>
        </is>
      </c>
    </row>
    <row r="61" ht="60" customHeight="1">
      <c r="A61" s="2" t="inlineStr">
        <is>
          <t>M060</t>
        </is>
      </c>
      <c r="B61" s="2" t="inlineStr">
        <is>
          <t>Pop toys</t>
        </is>
      </c>
      <c r="C61" s="2" t="inlineStr">
        <is>
          <t>Pop Mart global</t>
        </is>
      </c>
      <c r="D61" s="2" t="inlineStr">
        <is>
          <t>Annual revenue growth</t>
        </is>
      </c>
      <c r="E61" s="3" t="n">
        <v>184.7</v>
      </c>
      <c r="F61" s="2" t="inlineStr">
        <is>
          <t>percent</t>
        </is>
      </c>
      <c r="G61" s="2" t="inlineStr">
        <is>
          <t>Reported</t>
        </is>
      </c>
      <c r="H61" s="2" t="inlineStr">
        <is>
          <t>2025</t>
        </is>
      </c>
      <c r="I61" s="2" t="inlineStr">
        <is>
          <t>S17</t>
        </is>
      </c>
      <c r="J61" s="2" t="inlineStr"/>
      <c r="K61" s="4" t="inlineStr">
        <is>
          <t>https://www1.hkexnews.hk/listedco/listconews/sehk/2026/0325/2026032500285.pdf</t>
        </is>
      </c>
      <c r="L61" s="2" t="inlineStr">
        <is>
          <t>2026-10-13</t>
        </is>
      </c>
    </row>
    <row r="62" ht="60" customHeight="1">
      <c r="A62" s="2" t="inlineStr">
        <is>
          <t>M061</t>
        </is>
      </c>
      <c r="B62" s="2" t="inlineStr">
        <is>
          <t>Figure toys</t>
        </is>
      </c>
      <c r="C62" s="2" t="inlineStr">
        <is>
          <t>Pop Mart global</t>
        </is>
      </c>
      <c r="D62" s="2" t="inlineStr">
        <is>
          <t>Annual revenue</t>
        </is>
      </c>
      <c r="E62" s="3" t="n">
        <v>12022569000</v>
      </c>
      <c r="F62" s="2" t="inlineStr">
        <is>
          <t>RMB</t>
        </is>
      </c>
      <c r="G62" s="2" t="inlineStr">
        <is>
          <t>Reported</t>
        </is>
      </c>
      <c r="H62" s="2" t="inlineStr">
        <is>
          <t>2025</t>
        </is>
      </c>
      <c r="I62" s="2" t="inlineStr">
        <is>
          <t>S17</t>
        </is>
      </c>
      <c r="J62" s="2" t="inlineStr"/>
      <c r="K62" s="4" t="inlineStr">
        <is>
          <t>https://www1.hkexnews.hk/listedco/listconews/sehk/2026/0325/2026032500285.pdf</t>
        </is>
      </c>
      <c r="L62" s="2" t="inlineStr">
        <is>
          <t>2026-10-13</t>
        </is>
      </c>
    </row>
    <row r="63" ht="60" customHeight="1">
      <c r="A63" s="2" t="inlineStr">
        <is>
          <t>M062</t>
        </is>
      </c>
      <c r="B63" s="2" t="inlineStr">
        <is>
          <t>Figure toys</t>
        </is>
      </c>
      <c r="C63" s="2" t="inlineStr">
        <is>
          <t>Pop Mart global</t>
        </is>
      </c>
      <c r="D63" s="2" t="inlineStr">
        <is>
          <t>Annual revenue growth</t>
        </is>
      </c>
      <c r="E63" s="3" t="n">
        <v>73.3</v>
      </c>
      <c r="F63" s="2" t="inlineStr">
        <is>
          <t>percent</t>
        </is>
      </c>
      <c r="G63" s="2" t="inlineStr">
        <is>
          <t>Reported</t>
        </is>
      </c>
      <c r="H63" s="2" t="inlineStr">
        <is>
          <t>2025</t>
        </is>
      </c>
      <c r="I63" s="2" t="inlineStr">
        <is>
          <t>S17</t>
        </is>
      </c>
      <c r="J63" s="2" t="inlineStr"/>
      <c r="K63" s="4" t="inlineStr">
        <is>
          <t>https://www1.hkexnews.hk/listedco/listconews/sehk/2026/0325/2026032500285.pdf</t>
        </is>
      </c>
      <c r="L63" s="2" t="inlineStr">
        <is>
          <t>2026-10-13</t>
        </is>
      </c>
    </row>
    <row r="64" ht="60" customHeight="1">
      <c r="A64" s="2" t="inlineStr">
        <is>
          <t>M063</t>
        </is>
      </c>
      <c r="B64" s="2" t="inlineStr">
        <is>
          <t>Plush toys</t>
        </is>
      </c>
      <c r="C64" s="2" t="inlineStr">
        <is>
          <t>Pop Mart global</t>
        </is>
      </c>
      <c r="D64" s="2" t="inlineStr">
        <is>
          <t>Annual revenue</t>
        </is>
      </c>
      <c r="E64" s="3" t="n">
        <v>18708074000</v>
      </c>
      <c r="F64" s="2" t="inlineStr">
        <is>
          <t>RMB</t>
        </is>
      </c>
      <c r="G64" s="2" t="inlineStr">
        <is>
          <t>Reported</t>
        </is>
      </c>
      <c r="H64" s="2" t="inlineStr">
        <is>
          <t>2025</t>
        </is>
      </c>
      <c r="I64" s="2" t="inlineStr">
        <is>
          <t>S17</t>
        </is>
      </c>
      <c r="J64" s="2" t="inlineStr"/>
      <c r="K64" s="4" t="inlineStr">
        <is>
          <t>https://www1.hkexnews.hk/listedco/listconews/sehk/2026/0325/2026032500285.pdf</t>
        </is>
      </c>
      <c r="L64" s="2" t="inlineStr">
        <is>
          <t>2026-10-13</t>
        </is>
      </c>
    </row>
    <row r="65" ht="60" customHeight="1">
      <c r="A65" s="2" t="inlineStr">
        <is>
          <t>M064</t>
        </is>
      </c>
      <c r="B65" s="2" t="inlineStr">
        <is>
          <t>Plush toys</t>
        </is>
      </c>
      <c r="C65" s="2" t="inlineStr">
        <is>
          <t>Pop Mart global</t>
        </is>
      </c>
      <c r="D65" s="2" t="inlineStr">
        <is>
          <t>Revenue share</t>
        </is>
      </c>
      <c r="E65" s="3" t="n">
        <v>50.4</v>
      </c>
      <c r="F65" s="2" t="inlineStr">
        <is>
          <t>percent</t>
        </is>
      </c>
      <c r="G65" s="2" t="inlineStr">
        <is>
          <t>Reported</t>
        </is>
      </c>
      <c r="H65" s="2" t="inlineStr">
        <is>
          <t>2025</t>
        </is>
      </c>
      <c r="I65" s="2" t="inlineStr">
        <is>
          <t>S17</t>
        </is>
      </c>
      <c r="J65" s="2" t="inlineStr"/>
      <c r="K65" s="4" t="inlineStr">
        <is>
          <t>https://www1.hkexnews.hk/listedco/listconews/sehk/2026/0325/2026032500285.pdf</t>
        </is>
      </c>
      <c r="L65" s="2" t="inlineStr">
        <is>
          <t>2026-10-13</t>
        </is>
      </c>
    </row>
    <row r="66" ht="60" customHeight="1">
      <c r="A66" s="2" t="inlineStr">
        <is>
          <t>M065</t>
        </is>
      </c>
      <c r="B66" s="2" t="inlineStr">
        <is>
          <t>Pop toys</t>
        </is>
      </c>
      <c r="C66" s="2" t="inlineStr">
        <is>
          <t>Pop Mart Europe and other</t>
        </is>
      </c>
      <c r="D66" s="2" t="inlineStr">
        <is>
          <t>Annual revenue</t>
        </is>
      </c>
      <c r="E66" s="3" t="n">
        <v>1451119000</v>
      </c>
      <c r="F66" s="2" t="inlineStr">
        <is>
          <t>RMB</t>
        </is>
      </c>
      <c r="G66" s="2" t="inlineStr">
        <is>
          <t>Reported</t>
        </is>
      </c>
      <c r="H66" s="2" t="inlineStr">
        <is>
          <t>2025</t>
        </is>
      </c>
      <c r="I66" s="2" t="inlineStr">
        <is>
          <t>S17</t>
        </is>
      </c>
      <c r="J66" s="2" t="inlineStr"/>
      <c r="K66" s="4" t="inlineStr">
        <is>
          <t>https://www1.hkexnews.hk/listedco/listconews/sehk/2026/0325/2026032500285.pdf</t>
        </is>
      </c>
      <c r="L66" s="2" t="inlineStr">
        <is>
          <t>2026-10-13</t>
        </is>
      </c>
    </row>
    <row r="67" ht="60" customHeight="1">
      <c r="A67" s="2" t="inlineStr">
        <is>
          <t>M066</t>
        </is>
      </c>
      <c r="B67" s="2" t="inlineStr">
        <is>
          <t>Pop toys</t>
        </is>
      </c>
      <c r="C67" s="2" t="inlineStr">
        <is>
          <t>Pop Mart Europe and other</t>
        </is>
      </c>
      <c r="D67" s="2" t="inlineStr">
        <is>
          <t>Annual revenue growth</t>
        </is>
      </c>
      <c r="E67" s="3" t="n">
        <v>506.3</v>
      </c>
      <c r="F67" s="2" t="inlineStr">
        <is>
          <t>percent</t>
        </is>
      </c>
      <c r="G67" s="2" t="inlineStr">
        <is>
          <t>Reported</t>
        </is>
      </c>
      <c r="H67" s="2" t="inlineStr">
        <is>
          <t>2025</t>
        </is>
      </c>
      <c r="I67" s="2" t="inlineStr">
        <is>
          <t>S17</t>
        </is>
      </c>
      <c r="J67" s="2" t="inlineStr"/>
      <c r="K67" s="4" t="inlineStr">
        <is>
          <t>https://www1.hkexnews.hk/listedco/listconews/sehk/2026/0325/2026032500285.pdf</t>
        </is>
      </c>
      <c r="L67" s="2" t="inlineStr">
        <is>
          <t>2026-10-13</t>
        </is>
      </c>
    </row>
    <row r="68" ht="60" customHeight="1">
      <c r="A68" s="2" t="inlineStr">
        <is>
          <t>M067</t>
        </is>
      </c>
      <c r="B68" s="2" t="inlineStr">
        <is>
          <t>Pop toys</t>
        </is>
      </c>
      <c r="C68" s="2" t="inlineStr">
        <is>
          <t>Pop Mart global</t>
        </is>
      </c>
      <c r="D68" s="2" t="inlineStr">
        <is>
          <t>H1 revenue</t>
        </is>
      </c>
      <c r="E68" s="3" t="n">
        <v>17172921000</v>
      </c>
      <c r="F68" s="2" t="inlineStr">
        <is>
          <t>RMB</t>
        </is>
      </c>
      <c r="G68" s="2" t="inlineStr">
        <is>
          <t>Reported</t>
        </is>
      </c>
      <c r="H68" s="2" t="inlineStr">
        <is>
          <t>H1 2026</t>
        </is>
      </c>
      <c r="I68" s="2" t="inlineStr">
        <is>
          <t>S18</t>
        </is>
      </c>
      <c r="J68" s="2" t="inlineStr"/>
      <c r="K68" s="4" t="inlineStr">
        <is>
          <t>https://www1.hkexnews.hk/listedco/listconews/sehk/2026/0820/2026082000353.pdf</t>
        </is>
      </c>
      <c r="L68" s="2" t="inlineStr">
        <is>
          <t>2026-10-13</t>
        </is>
      </c>
    </row>
    <row r="69" ht="60" customHeight="1">
      <c r="A69" s="2" t="inlineStr">
        <is>
          <t>M068</t>
        </is>
      </c>
      <c r="B69" s="2" t="inlineStr">
        <is>
          <t>Pop toys</t>
        </is>
      </c>
      <c r="C69" s="2" t="inlineStr">
        <is>
          <t>Pop Mart global</t>
        </is>
      </c>
      <c r="D69" s="2" t="inlineStr">
        <is>
          <t>H1 revenue growth</t>
        </is>
      </c>
      <c r="E69" s="3" t="n">
        <v>23.8</v>
      </c>
      <c r="F69" s="2" t="inlineStr">
        <is>
          <t>percent</t>
        </is>
      </c>
      <c r="G69" s="2" t="inlineStr">
        <is>
          <t>Reported</t>
        </is>
      </c>
      <c r="H69" s="2" t="inlineStr">
        <is>
          <t>H1 2026</t>
        </is>
      </c>
      <c r="I69" s="2" t="inlineStr">
        <is>
          <t>S18</t>
        </is>
      </c>
      <c r="J69" s="2" t="inlineStr"/>
      <c r="K69" s="4" t="inlineStr">
        <is>
          <t>https://www1.hkexnews.hk/listedco/listconews/sehk/2026/0820/2026082000353.pdf</t>
        </is>
      </c>
      <c r="L69" s="2" t="inlineStr">
        <is>
          <t>2026-10-13</t>
        </is>
      </c>
    </row>
    <row r="70" ht="60" customHeight="1">
      <c r="A70" s="2" t="inlineStr">
        <is>
          <t>M069</t>
        </is>
      </c>
      <c r="B70" s="2" t="inlineStr">
        <is>
          <t>Pop toys</t>
        </is>
      </c>
      <c r="C70" s="2" t="inlineStr">
        <is>
          <t>Pop Mart overseas</t>
        </is>
      </c>
      <c r="D70" s="2" t="inlineStr">
        <is>
          <t>H1 revenue</t>
        </is>
      </c>
      <c r="E70" s="3" t="n">
        <v>4972412000</v>
      </c>
      <c r="F70" s="2" t="inlineStr">
        <is>
          <t>RMB</t>
        </is>
      </c>
      <c r="G70" s="2" t="inlineStr">
        <is>
          <t>Reported</t>
        </is>
      </c>
      <c r="H70" s="2" t="inlineStr">
        <is>
          <t>H1 2026</t>
        </is>
      </c>
      <c r="I70" s="2" t="inlineStr">
        <is>
          <t>S18</t>
        </is>
      </c>
      <c r="J70" s="2" t="inlineStr"/>
      <c r="K70" s="4" t="inlineStr">
        <is>
          <t>https://www1.hkexnews.hk/listedco/listconews/sehk/2026/0820/2026082000353.pdf</t>
        </is>
      </c>
      <c r="L70" s="2" t="inlineStr">
        <is>
          <t>2026-10-13</t>
        </is>
      </c>
    </row>
    <row r="71" ht="60" customHeight="1">
      <c r="A71" s="2" t="inlineStr">
        <is>
          <t>M070</t>
        </is>
      </c>
      <c r="B71" s="2" t="inlineStr">
        <is>
          <t>Pop toys</t>
        </is>
      </c>
      <c r="C71" s="2" t="inlineStr">
        <is>
          <t>Pop Mart overseas</t>
        </is>
      </c>
      <c r="D71" s="2" t="inlineStr">
        <is>
          <t>H1 revenue change</t>
        </is>
      </c>
      <c r="E71" s="3" t="n">
        <v>-11.1</v>
      </c>
      <c r="F71" s="2" t="inlineStr">
        <is>
          <t>percent</t>
        </is>
      </c>
      <c r="G71" s="2" t="inlineStr">
        <is>
          <t>Calculated</t>
        </is>
      </c>
      <c r="H71" s="2" t="inlineStr">
        <is>
          <t>H1 2026</t>
        </is>
      </c>
      <c r="I71" s="2" t="inlineStr">
        <is>
          <t>S18</t>
        </is>
      </c>
      <c r="J71" s="2" t="inlineStr">
        <is>
          <t>2026 / 2025 revenue ratio minus one</t>
        </is>
      </c>
      <c r="K71" s="4" t="inlineStr">
        <is>
          <t>https://www1.hkexnews.hk/listedco/listconews/sehk/2026/0820/2026082000353.pdf</t>
        </is>
      </c>
      <c r="L71" s="2" t="inlineStr">
        <is>
          <t>2026-10-13</t>
        </is>
      </c>
    </row>
    <row r="72" ht="60" customHeight="1">
      <c r="A72" s="2" t="inlineStr">
        <is>
          <t>M071</t>
        </is>
      </c>
      <c r="B72" s="2" t="inlineStr">
        <is>
          <t>Pop toys</t>
        </is>
      </c>
      <c r="C72" s="2" t="inlineStr">
        <is>
          <t>Pop Mart Europe and other</t>
        </is>
      </c>
      <c r="D72" s="2" t="inlineStr">
        <is>
          <t>H1 revenue</t>
        </is>
      </c>
      <c r="E72" s="3" t="n">
        <v>505730000</v>
      </c>
      <c r="F72" s="2" t="inlineStr">
        <is>
          <t>RMB</t>
        </is>
      </c>
      <c r="G72" s="2" t="inlineStr">
        <is>
          <t>Reported</t>
        </is>
      </c>
      <c r="H72" s="2" t="inlineStr">
        <is>
          <t>H1 2026</t>
        </is>
      </c>
      <c r="I72" s="2" t="inlineStr">
        <is>
          <t>S18</t>
        </is>
      </c>
      <c r="J72" s="2" t="inlineStr"/>
      <c r="K72" s="4" t="inlineStr">
        <is>
          <t>https://www1.hkexnews.hk/listedco/listconews/sehk/2026/0820/2026082000353.pdf</t>
        </is>
      </c>
      <c r="L72" s="2" t="inlineStr">
        <is>
          <t>2026-10-13</t>
        </is>
      </c>
    </row>
    <row r="73" ht="60" customHeight="1">
      <c r="A73" s="2" t="inlineStr">
        <is>
          <t>M072</t>
        </is>
      </c>
      <c r="B73" s="2" t="inlineStr">
        <is>
          <t>Pop toys</t>
        </is>
      </c>
      <c r="C73" s="2" t="inlineStr">
        <is>
          <t>Pop Mart Europe and other</t>
        </is>
      </c>
      <c r="D73" s="2" t="inlineStr">
        <is>
          <t>H1 revenue growth</t>
        </is>
      </c>
      <c r="E73" s="3" t="n">
        <v>5.9</v>
      </c>
      <c r="F73" s="2" t="inlineStr">
        <is>
          <t>percent</t>
        </is>
      </c>
      <c r="G73" s="2" t="inlineStr">
        <is>
          <t>Reported</t>
        </is>
      </c>
      <c r="H73" s="2" t="inlineStr">
        <is>
          <t>H1 2026</t>
        </is>
      </c>
      <c r="I73" s="2" t="inlineStr">
        <is>
          <t>S18</t>
        </is>
      </c>
      <c r="J73" s="2" t="inlineStr"/>
      <c r="K73" s="4" t="inlineStr">
        <is>
          <t>https://www1.hkexnews.hk/listedco/listconews/sehk/2026/0820/2026082000353.pdf</t>
        </is>
      </c>
      <c r="L73" s="2" t="inlineStr">
        <is>
          <t>2026-10-13</t>
        </is>
      </c>
    </row>
    <row r="74" ht="60" customHeight="1">
      <c r="A74" s="2" t="inlineStr">
        <is>
          <t>M073</t>
        </is>
      </c>
      <c r="B74" s="2" t="inlineStr">
        <is>
          <t>THE MONSTERS IP</t>
        </is>
      </c>
      <c r="C74" s="2" t="inlineStr">
        <is>
          <t>Pop Mart global</t>
        </is>
      </c>
      <c r="D74" s="2" t="inlineStr">
        <is>
          <t>H1 revenue</t>
        </is>
      </c>
      <c r="E74" s="3" t="n">
        <v>4454361000</v>
      </c>
      <c r="F74" s="2" t="inlineStr">
        <is>
          <t>RMB</t>
        </is>
      </c>
      <c r="G74" s="2" t="inlineStr">
        <is>
          <t>Reported</t>
        </is>
      </c>
      <c r="H74" s="2" t="inlineStr">
        <is>
          <t>H1 2026</t>
        </is>
      </c>
      <c r="I74" s="2" t="inlineStr">
        <is>
          <t>S18</t>
        </is>
      </c>
      <c r="J74" s="2" t="inlineStr"/>
      <c r="K74" s="4" t="inlineStr">
        <is>
          <t>https://www1.hkexnews.hk/listedco/listconews/sehk/2026/0820/2026082000353.pdf</t>
        </is>
      </c>
      <c r="L74" s="2" t="inlineStr">
        <is>
          <t>2026-10-13</t>
        </is>
      </c>
    </row>
    <row r="75" ht="60" customHeight="1">
      <c r="A75" s="2" t="inlineStr">
        <is>
          <t>M074</t>
        </is>
      </c>
      <c r="B75" s="2" t="inlineStr">
        <is>
          <t>THE MONSTERS IP</t>
        </is>
      </c>
      <c r="C75" s="2" t="inlineStr">
        <is>
          <t>Pop Mart global</t>
        </is>
      </c>
      <c r="D75" s="2" t="inlineStr">
        <is>
          <t>H1 revenue change</t>
        </is>
      </c>
      <c r="E75" s="3" t="n">
        <v>-7.5</v>
      </c>
      <c r="F75" s="2" t="inlineStr">
        <is>
          <t>percent</t>
        </is>
      </c>
      <c r="G75" s="2" t="inlineStr">
        <is>
          <t>Calculated</t>
        </is>
      </c>
      <c r="H75" s="2" t="inlineStr">
        <is>
          <t>H1 2026</t>
        </is>
      </c>
      <c r="I75" s="2" t="inlineStr">
        <is>
          <t>S18</t>
        </is>
      </c>
      <c r="J75" s="2" t="inlineStr">
        <is>
          <t>2026 / 2025 revenue ratio minus one</t>
        </is>
      </c>
      <c r="K75" s="4" t="inlineStr">
        <is>
          <t>https://www1.hkexnews.hk/listedco/listconews/sehk/2026/0820/2026082000353.pdf</t>
        </is>
      </c>
      <c r="L75" s="2" t="inlineStr">
        <is>
          <t>2026-10-13</t>
        </is>
      </c>
    </row>
    <row r="76" ht="60" customHeight="1">
      <c r="A76" s="2" t="inlineStr">
        <is>
          <t>M075</t>
        </is>
      </c>
      <c r="B76" s="2" t="inlineStr">
        <is>
          <t>Toys broader context</t>
        </is>
      </c>
      <c r="C76" s="2" t="inlineStr">
        <is>
          <t>Brazil</t>
        </is>
      </c>
      <c r="D76" s="2" t="inlineStr">
        <is>
          <t>Toy retail revenue</t>
        </is>
      </c>
      <c r="E76" s="3" t="n">
        <v>10390000000</v>
      </c>
      <c r="F76" s="2" t="inlineStr">
        <is>
          <t>BRL</t>
        </is>
      </c>
      <c r="G76" s="2" t="inlineStr">
        <is>
          <t>Reported</t>
        </is>
      </c>
      <c r="H76" s="2" t="inlineStr">
        <is>
          <t>2025</t>
        </is>
      </c>
      <c r="I76" s="2" t="inlineStr">
        <is>
          <t>S19</t>
        </is>
      </c>
      <c r="J76" s="2" t="inlineStr"/>
      <c r="K76" s="4" t="inlineStr">
        <is>
          <t>https://abrin.com.br/industria-de-brinquedos-supera-10-bilhoes/</t>
        </is>
      </c>
      <c r="L76" s="2" t="inlineStr">
        <is>
          <t>2026-10-13</t>
        </is>
      </c>
    </row>
    <row r="77" ht="60" customHeight="1">
      <c r="A77" s="2" t="inlineStr">
        <is>
          <t>M076</t>
        </is>
      </c>
      <c r="B77" s="2" t="inlineStr">
        <is>
          <t>Toys broader context</t>
        </is>
      </c>
      <c r="C77" s="2" t="inlineStr">
        <is>
          <t>Brazil</t>
        </is>
      </c>
      <c r="D77" s="2" t="inlineStr">
        <is>
          <t>Retail revenue growth</t>
        </is>
      </c>
      <c r="E77" s="3" t="n">
        <v>1.86</v>
      </c>
      <c r="F77" s="2" t="inlineStr">
        <is>
          <t>percent</t>
        </is>
      </c>
      <c r="G77" s="2" t="inlineStr">
        <is>
          <t>Reported</t>
        </is>
      </c>
      <c r="H77" s="2" t="inlineStr">
        <is>
          <t>2025</t>
        </is>
      </c>
      <c r="I77" s="2" t="inlineStr">
        <is>
          <t>S19</t>
        </is>
      </c>
      <c r="J77" s="2" t="inlineStr"/>
      <c r="K77" s="4" t="inlineStr">
        <is>
          <t>https://abrin.com.br/industria-de-brinquedos-supera-10-bilhoes/</t>
        </is>
      </c>
      <c r="L77" s="2" t="inlineStr">
        <is>
          <t>2026-10-13</t>
        </is>
      </c>
    </row>
    <row r="78" ht="60" customHeight="1">
      <c r="A78" s="2" t="inlineStr">
        <is>
          <t>M077</t>
        </is>
      </c>
      <c r="B78" s="2" t="inlineStr">
        <is>
          <t>Numismatic primary sales</t>
        </is>
      </c>
      <c r="C78" s="2" t="inlineStr">
        <is>
          <t>US Mint</t>
        </is>
      </c>
      <c r="D78" s="2" t="inlineStr">
        <is>
          <t>Revenue</t>
        </is>
      </c>
      <c r="E78" s="3" t="n">
        <v>490100000</v>
      </c>
      <c r="F78" s="2" t="inlineStr">
        <is>
          <t>USD</t>
        </is>
      </c>
      <c r="G78" s="2" t="inlineStr">
        <is>
          <t>Indexed report</t>
        </is>
      </c>
      <c r="H78" s="2" t="inlineStr">
        <is>
          <t>FY 2025</t>
        </is>
      </c>
      <c r="I78" s="2" t="inlineStr">
        <is>
          <t>S20</t>
        </is>
      </c>
      <c r="J78" s="2" t="inlineStr">
        <is>
          <t>Official indexed extract; not independently retrieved PDF</t>
        </is>
      </c>
      <c r="K78" s="4" t="inlineStr">
        <is>
          <t>https://www.usmint.gov/content/dam/usmint/reports/2025-annual-report.pdf</t>
        </is>
      </c>
      <c r="L78" s="2" t="inlineStr">
        <is>
          <t>2026-10-13</t>
        </is>
      </c>
    </row>
    <row r="79" ht="60" customHeight="1">
      <c r="A79" s="2" t="inlineStr">
        <is>
          <t>M078</t>
        </is>
      </c>
      <c r="B79" s="2" t="inlineStr">
        <is>
          <t>Numismatic primary sales</t>
        </is>
      </c>
      <c r="C79" s="2" t="inlineStr">
        <is>
          <t>US Mint</t>
        </is>
      </c>
      <c r="D79" s="2" t="inlineStr">
        <is>
          <t>Units sold</t>
        </is>
      </c>
      <c r="E79" s="3" t="n">
        <v>2900000</v>
      </c>
      <c r="F79" s="2" t="inlineStr">
        <is>
          <t>units</t>
        </is>
      </c>
      <c r="G79" s="2" t="inlineStr">
        <is>
          <t>Indexed report</t>
        </is>
      </c>
      <c r="H79" s="2" t="inlineStr">
        <is>
          <t>FY 2025</t>
        </is>
      </c>
      <c r="I79" s="2" t="inlineStr">
        <is>
          <t>S20</t>
        </is>
      </c>
      <c r="J79" s="2" t="inlineStr">
        <is>
          <t>Fiscal year; not secondary sales</t>
        </is>
      </c>
      <c r="K79" s="4" t="inlineStr">
        <is>
          <t>https://www.usmint.gov/content/dam/usmint/reports/2025-annual-report.pdf</t>
        </is>
      </c>
      <c r="L79" s="2" t="inlineStr">
        <is>
          <t>2026-10-13</t>
        </is>
      </c>
    </row>
    <row r="80" ht="60" customHeight="1">
      <c r="A80" s="2" t="inlineStr">
        <is>
          <t>M079</t>
        </is>
      </c>
      <c r="B80" s="2" t="inlineStr">
        <is>
          <t>Bullion primary sales</t>
        </is>
      </c>
      <c r="C80" s="2" t="inlineStr">
        <is>
          <t>US Mint</t>
        </is>
      </c>
      <c r="D80" s="2" t="inlineStr">
        <is>
          <t>Revenue</t>
        </is>
      </c>
      <c r="E80" s="3" t="n">
        <v>1600000000</v>
      </c>
      <c r="F80" s="2" t="inlineStr">
        <is>
          <t>USD</t>
        </is>
      </c>
      <c r="G80" s="2" t="inlineStr">
        <is>
          <t>Rounded indexed report</t>
        </is>
      </c>
      <c r="H80" s="2" t="inlineStr">
        <is>
          <t>FY 2025</t>
        </is>
      </c>
      <c r="I80" s="2" t="inlineStr">
        <is>
          <t>S20</t>
        </is>
      </c>
      <c r="J80" s="2" t="inlineStr">
        <is>
          <t>Separate from numismatic product sales</t>
        </is>
      </c>
      <c r="K80" s="4" t="inlineStr">
        <is>
          <t>https://www.usmint.gov/content/dam/usmint/reports/2025-annual-report.pdf</t>
        </is>
      </c>
      <c r="L80" s="2" t="inlineStr">
        <is>
          <t>2026-10-13</t>
        </is>
      </c>
    </row>
    <row r="81" ht="60" customHeight="1">
      <c r="A81" s="2" t="inlineStr">
        <is>
          <t>M080</t>
        </is>
      </c>
      <c r="B81" s="2" t="inlineStr">
        <is>
          <t>All auction categories</t>
        </is>
      </c>
      <c r="C81" s="2" t="inlineStr">
        <is>
          <t>Heritage global</t>
        </is>
      </c>
      <c r="D81" s="2" t="inlineStr">
        <is>
          <t>Total annual sales</t>
        </is>
      </c>
      <c r="E81" s="3" t="n">
        <v>2158204321</v>
      </c>
      <c r="F81" s="2" t="inlineStr">
        <is>
          <t>USD</t>
        </is>
      </c>
      <c r="G81" s="2" t="inlineStr">
        <is>
          <t>Reported</t>
        </is>
      </c>
      <c r="H81" s="2" t="inlineStr">
        <is>
          <t>2025</t>
        </is>
      </c>
      <c r="I81" s="2" t="inlineStr">
        <is>
          <t>S21</t>
        </is>
      </c>
      <c r="J81" s="2" t="inlineStr"/>
      <c r="K81" s="4" t="inlineStr">
        <is>
          <t>https://www.ha.com/heritage-auctions-press-releases-and-news/heritage-auctions-closes-2025-above-2.15-billion-for-its-fifth-consecutive-annual-sales-record.s?releaseId=5383</t>
        </is>
      </c>
      <c r="L81" s="2" t="inlineStr">
        <is>
          <t>2026-10-13</t>
        </is>
      </c>
    </row>
    <row r="82" ht="60" customHeight="1">
      <c r="A82" s="2" t="inlineStr">
        <is>
          <t>M081</t>
        </is>
      </c>
      <c r="B82" s="2" t="inlineStr">
        <is>
          <t>Coins and currency</t>
        </is>
      </c>
      <c r="C82" s="2" t="inlineStr">
        <is>
          <t>Heritage global</t>
        </is>
      </c>
      <c r="D82" s="2" t="inlineStr">
        <is>
          <t>Numismatic auction sales</t>
        </is>
      </c>
      <c r="E82" s="3" t="n">
        <v>470000000</v>
      </c>
      <c r="F82" s="2" t="inlineStr">
        <is>
          <t>USD</t>
        </is>
      </c>
      <c r="G82" s="2" t="inlineStr">
        <is>
          <t>Over</t>
        </is>
      </c>
      <c r="H82" s="2" t="inlineStr">
        <is>
          <t>2025</t>
        </is>
      </c>
      <c r="I82" s="2" t="inlineStr">
        <is>
          <t>S21</t>
        </is>
      </c>
      <c r="J82" s="2" t="inlineStr"/>
      <c r="K82" s="4" t="inlineStr">
        <is>
          <t>https://www.ha.com/heritage-auctions-press-releases-and-news/heritage-auctions-closes-2025-above-2.15-billion-for-its-fifth-consecutive-annual-sales-record.s?releaseId=5383</t>
        </is>
      </c>
      <c r="L82" s="2" t="inlineStr">
        <is>
          <t>2026-10-13</t>
        </is>
      </c>
    </row>
    <row r="83" ht="60" customHeight="1">
      <c r="A83" s="2" t="inlineStr">
        <is>
          <t>M082</t>
        </is>
      </c>
      <c r="B83" s="2" t="inlineStr">
        <is>
          <t>US coins</t>
        </is>
      </c>
      <c r="C83" s="2" t="inlineStr">
        <is>
          <t>Heritage global</t>
        </is>
      </c>
      <c r="D83" s="2" t="inlineStr">
        <is>
          <t>Auction sales</t>
        </is>
      </c>
      <c r="E83" s="3" t="n">
        <v>254900000</v>
      </c>
      <c r="F83" s="2" t="inlineStr">
        <is>
          <t>USD</t>
        </is>
      </c>
      <c r="G83" s="2" t="inlineStr">
        <is>
          <t>Reported</t>
        </is>
      </c>
      <c r="H83" s="2" t="inlineStr">
        <is>
          <t>2025</t>
        </is>
      </c>
      <c r="I83" s="2" t="inlineStr">
        <is>
          <t>S21</t>
        </is>
      </c>
      <c r="J83" s="2" t="inlineStr"/>
      <c r="K83" s="4" t="inlineStr">
        <is>
          <t>https://www.ha.com/heritage-auctions-press-releases-and-news/heritage-auctions-closes-2025-above-2.15-billion-for-its-fifth-consecutive-annual-sales-record.s?releaseId=5383</t>
        </is>
      </c>
      <c r="L83" s="2" t="inlineStr">
        <is>
          <t>2026-10-13</t>
        </is>
      </c>
    </row>
    <row r="84" ht="60" customHeight="1">
      <c r="A84" s="2" t="inlineStr">
        <is>
          <t>M083</t>
        </is>
      </c>
      <c r="B84" s="2" t="inlineStr">
        <is>
          <t>World and ancient coins</t>
        </is>
      </c>
      <c r="C84" s="2" t="inlineStr">
        <is>
          <t>Heritage global</t>
        </is>
      </c>
      <c r="D84" s="2" t="inlineStr">
        <is>
          <t>Auction sales</t>
        </is>
      </c>
      <c r="E84" s="3" t="n">
        <v>153700000</v>
      </c>
      <c r="F84" s="2" t="inlineStr">
        <is>
          <t>USD</t>
        </is>
      </c>
      <c r="G84" s="2" t="inlineStr">
        <is>
          <t>Reported</t>
        </is>
      </c>
      <c r="H84" s="2" t="inlineStr">
        <is>
          <t>2025</t>
        </is>
      </c>
      <c r="I84" s="2" t="inlineStr">
        <is>
          <t>S21</t>
        </is>
      </c>
      <c r="J84" s="2" t="inlineStr"/>
      <c r="K84" s="4" t="inlineStr">
        <is>
          <t>https://www.ha.com/heritage-auctions-press-releases-and-news/heritage-auctions-closes-2025-above-2.15-billion-for-its-fifth-consecutive-annual-sales-record.s?releaseId=5383</t>
        </is>
      </c>
      <c r="L84" s="2" t="inlineStr">
        <is>
          <t>2026-10-13</t>
        </is>
      </c>
    </row>
    <row r="85" ht="60" customHeight="1">
      <c r="A85" s="2" t="inlineStr">
        <is>
          <t>M084</t>
        </is>
      </c>
      <c r="B85" s="2" t="inlineStr">
        <is>
          <t>Currency</t>
        </is>
      </c>
      <c r="C85" s="2" t="inlineStr">
        <is>
          <t>Heritage global</t>
        </is>
      </c>
      <c r="D85" s="2" t="inlineStr">
        <is>
          <t>Auction sales</t>
        </is>
      </c>
      <c r="E85" s="3" t="n">
        <v>61900000</v>
      </c>
      <c r="F85" s="2" t="inlineStr">
        <is>
          <t>USD</t>
        </is>
      </c>
      <c r="G85" s="2" t="inlineStr">
        <is>
          <t>Reported</t>
        </is>
      </c>
      <c r="H85" s="2" t="inlineStr">
        <is>
          <t>2025</t>
        </is>
      </c>
      <c r="I85" s="2" t="inlineStr">
        <is>
          <t>S21</t>
        </is>
      </c>
      <c r="J85" s="2" t="inlineStr"/>
      <c r="K85" s="4" t="inlineStr">
        <is>
          <t>https://www.ha.com/heritage-auctions-press-releases-and-news/heritage-auctions-closes-2025-above-2.15-billion-for-its-fifth-consecutive-annual-sales-record.s?releaseId=5383</t>
        </is>
      </c>
      <c r="L85" s="2" t="inlineStr">
        <is>
          <t>2026-10-13</t>
        </is>
      </c>
    </row>
    <row r="86" ht="60" customHeight="1">
      <c r="A86" s="2" t="inlineStr">
        <is>
          <t>M085</t>
        </is>
      </c>
      <c r="B86" s="2" t="inlineStr">
        <is>
          <t>Sports cards and memorabilia</t>
        </is>
      </c>
      <c r="C86" s="2" t="inlineStr">
        <is>
          <t>Heritage global</t>
        </is>
      </c>
      <c r="D86" s="2" t="inlineStr">
        <is>
          <t>Auction sales</t>
        </is>
      </c>
      <c r="E86" s="3" t="n">
        <v>189200000</v>
      </c>
      <c r="F86" s="2" t="inlineStr">
        <is>
          <t>USD</t>
        </is>
      </c>
      <c r="G86" s="2" t="inlineStr">
        <is>
          <t>Reported</t>
        </is>
      </c>
      <c r="H86" s="2" t="inlineStr">
        <is>
          <t>2025</t>
        </is>
      </c>
      <c r="I86" s="2" t="inlineStr">
        <is>
          <t>S21</t>
        </is>
      </c>
      <c r="J86" s="2" t="inlineStr"/>
      <c r="K86" s="4" t="inlineStr">
        <is>
          <t>https://www.ha.com/heritage-auctions-press-releases-and-news/heritage-auctions-closes-2025-above-2.15-billion-for-its-fifth-consecutive-annual-sales-record.s?releaseId=5383</t>
        </is>
      </c>
      <c r="L86" s="2" t="inlineStr">
        <is>
          <t>2026-10-13</t>
        </is>
      </c>
    </row>
    <row r="87" ht="60" customHeight="1">
      <c r="A87" s="2" t="inlineStr">
        <is>
          <t>M086</t>
        </is>
      </c>
      <c r="B87" s="2" t="inlineStr">
        <is>
          <t>Numismatic auctions</t>
        </is>
      </c>
      <c r="C87" s="2" t="inlineStr">
        <is>
          <t>Stacks Bowers global</t>
        </is>
      </c>
      <c r="D87" s="2" t="inlineStr">
        <is>
          <t>Annual prices realised</t>
        </is>
      </c>
      <c r="E87" s="3" t="n">
        <v>325000000</v>
      </c>
      <c r="F87" s="2" t="inlineStr">
        <is>
          <t>USD</t>
        </is>
      </c>
      <c r="G87" s="2" t="inlineStr">
        <is>
          <t>Over</t>
        </is>
      </c>
      <c r="H87" s="2" t="inlineStr">
        <is>
          <t>2025</t>
        </is>
      </c>
      <c r="I87" s="2" t="inlineStr">
        <is>
          <t>S22</t>
        </is>
      </c>
      <c r="J87" s="2" t="inlineStr"/>
      <c r="K87" s="4" t="inlineStr">
        <is>
          <t>https://stacksbowers.com/sbpressreleases/stacks-bowers-galleries-announces-record-shattering-325-million-year-of-auctions-in-2025/</t>
        </is>
      </c>
      <c r="L87" s="2" t="inlineStr">
        <is>
          <t>2026-10-13</t>
        </is>
      </c>
    </row>
    <row r="88" ht="60" customHeight="1">
      <c r="A88" s="2" t="inlineStr">
        <is>
          <t>M087</t>
        </is>
      </c>
      <c r="B88" s="2" t="inlineStr">
        <is>
          <t>Numismatic auctions</t>
        </is>
      </c>
      <c r="C88" s="2" t="inlineStr">
        <is>
          <t>Stacks Bowers global</t>
        </is>
      </c>
      <c r="D88" s="2" t="inlineStr">
        <is>
          <t>Lots sold</t>
        </is>
      </c>
      <c r="E88" s="3" t="n">
        <v>134000</v>
      </c>
      <c r="F88" s="2" t="inlineStr">
        <is>
          <t>lots</t>
        </is>
      </c>
      <c r="G88" s="2" t="inlineStr">
        <is>
          <t>Over</t>
        </is>
      </c>
      <c r="H88" s="2" t="inlineStr">
        <is>
          <t>2025</t>
        </is>
      </c>
      <c r="I88" s="2" t="inlineStr">
        <is>
          <t>S22</t>
        </is>
      </c>
      <c r="J88" s="2" t="inlineStr"/>
      <c r="K88" s="4" t="inlineStr">
        <is>
          <t>https://stacksbowers.com/sbpressreleases/stacks-bowers-galleries-announces-record-shattering-325-million-year-of-auctions-in-2025/</t>
        </is>
      </c>
      <c r="L88" s="2" t="inlineStr">
        <is>
          <t>2026-10-13</t>
        </is>
      </c>
    </row>
    <row r="89" ht="60" customHeight="1">
      <c r="A89" s="2" t="inlineStr">
        <is>
          <t>M088</t>
        </is>
      </c>
      <c r="B89" s="2" t="inlineStr">
        <is>
          <t>Numismatic auctions</t>
        </is>
      </c>
      <c r="C89" s="2" t="inlineStr">
        <is>
          <t>Stacks Bowers global</t>
        </is>
      </c>
      <c r="D89" s="2" t="inlineStr">
        <is>
          <t>Separate auction sales</t>
        </is>
      </c>
      <c r="E89" s="3" t="n">
        <v>130</v>
      </c>
      <c r="F89" s="2" t="inlineStr">
        <is>
          <t>auctions</t>
        </is>
      </c>
      <c r="G89" s="2" t="inlineStr">
        <is>
          <t>Over</t>
        </is>
      </c>
      <c r="H89" s="2" t="inlineStr">
        <is>
          <t>2025</t>
        </is>
      </c>
      <c r="I89" s="2" t="inlineStr">
        <is>
          <t>S22</t>
        </is>
      </c>
      <c r="J89" s="2" t="inlineStr"/>
      <c r="K89" s="4" t="inlineStr">
        <is>
          <t>https://stacksbowers.com/sbpressreleases/stacks-bowers-galleries-announces-record-shattering-325-million-year-of-auctions-in-2025/</t>
        </is>
      </c>
      <c r="L89" s="2" t="inlineStr">
        <is>
          <t>2026-10-13</t>
        </is>
      </c>
    </row>
    <row r="90" ht="60" customHeight="1">
      <c r="A90" s="2" t="inlineStr">
        <is>
          <t>M089</t>
        </is>
      </c>
      <c r="B90" s="2" t="inlineStr">
        <is>
          <t>Art and antiques report scope</t>
        </is>
      </c>
      <c r="C90" s="2" t="inlineStr">
        <is>
          <t>Global</t>
        </is>
      </c>
      <c r="D90" s="2" t="inlineStr">
        <is>
          <t>Annual sales</t>
        </is>
      </c>
      <c r="E90" s="3" t="n">
        <v>59600000000</v>
      </c>
      <c r="F90" s="2" t="inlineStr">
        <is>
          <t>USD</t>
        </is>
      </c>
      <c r="G90" s="2" t="inlineStr">
        <is>
          <t>Estimated</t>
        </is>
      </c>
      <c r="H90" s="2" t="inlineStr">
        <is>
          <t>2025</t>
        </is>
      </c>
      <c r="I90" s="2" t="inlineStr">
        <is>
          <t>S23</t>
        </is>
      </c>
      <c r="J90" s="2" t="inlineStr"/>
      <c r="K90" s="4" t="inlineStr">
        <is>
          <t>https://www.artbasel.com/stories/the-art-basel-and-ubs-global-art-market-report-2026</t>
        </is>
      </c>
      <c r="L90" s="2" t="inlineStr">
        <is>
          <t>2026-10-13</t>
        </is>
      </c>
    </row>
    <row r="91" ht="60" customHeight="1">
      <c r="A91" s="2" t="inlineStr">
        <is>
          <t>M090</t>
        </is>
      </c>
      <c r="B91" s="2" t="inlineStr">
        <is>
          <t>Art and antiques report scope</t>
        </is>
      </c>
      <c r="C91" s="2" t="inlineStr">
        <is>
          <t>Global</t>
        </is>
      </c>
      <c r="D91" s="2" t="inlineStr">
        <is>
          <t>Annual sales growth</t>
        </is>
      </c>
      <c r="E91" s="3" t="n">
        <v>4</v>
      </c>
      <c r="F91" s="2" t="inlineStr">
        <is>
          <t>percent</t>
        </is>
      </c>
      <c r="G91" s="2" t="inlineStr">
        <is>
          <t>Reported</t>
        </is>
      </c>
      <c r="H91" s="2" t="inlineStr">
        <is>
          <t>2025</t>
        </is>
      </c>
      <c r="I91" s="2" t="inlineStr">
        <is>
          <t>S23</t>
        </is>
      </c>
      <c r="J91" s="2" t="inlineStr"/>
      <c r="K91" s="4" t="inlineStr">
        <is>
          <t>https://www.artbasel.com/stories/the-art-basel-and-ubs-global-art-market-report-2026</t>
        </is>
      </c>
      <c r="L91" s="2" t="inlineStr">
        <is>
          <t>2026-10-13</t>
        </is>
      </c>
    </row>
    <row r="92" ht="60" customHeight="1">
      <c r="A92" s="2" t="inlineStr">
        <is>
          <t>M091</t>
        </is>
      </c>
      <c r="B92" s="2" t="inlineStr">
        <is>
          <t>Art and antiques report scope</t>
        </is>
      </c>
      <c r="C92" s="2" t="inlineStr">
        <is>
          <t>EU</t>
        </is>
      </c>
      <c r="D92" s="2" t="inlineStr">
        <is>
          <t>Annual sales</t>
        </is>
      </c>
      <c r="E92" s="3" t="n">
        <v>8400000000</v>
      </c>
      <c r="F92" s="2" t="inlineStr">
        <is>
          <t>USD</t>
        </is>
      </c>
      <c r="G92" s="2" t="inlineStr">
        <is>
          <t>Estimated</t>
        </is>
      </c>
      <c r="H92" s="2" t="inlineStr">
        <is>
          <t>2025</t>
        </is>
      </c>
      <c r="I92" s="2" t="inlineStr">
        <is>
          <t>S23</t>
        </is>
      </c>
      <c r="J92" s="2" t="inlineStr"/>
      <c r="K92" s="4" t="inlineStr">
        <is>
          <t>https://www.artbasel.com/stories/the-art-basel-and-ubs-global-art-market-report-2026</t>
        </is>
      </c>
      <c r="L92" s="2" t="inlineStr">
        <is>
          <t>2026-10-13</t>
        </is>
      </c>
    </row>
    <row r="93" ht="60" customHeight="1">
      <c r="A93" s="2" t="inlineStr">
        <is>
          <t>M092</t>
        </is>
      </c>
      <c r="B93" s="2" t="inlineStr">
        <is>
          <t>Art and antiques report scope</t>
        </is>
      </c>
      <c r="C93" s="2" t="inlineStr">
        <is>
          <t>EU</t>
        </is>
      </c>
      <c r="D93" s="2" t="inlineStr">
        <is>
          <t>Annual sales growth</t>
        </is>
      </c>
      <c r="E93" s="3" t="n">
        <v>3</v>
      </c>
      <c r="F93" s="2" t="inlineStr">
        <is>
          <t>percent</t>
        </is>
      </c>
      <c r="G93" s="2" t="inlineStr">
        <is>
          <t>Reported</t>
        </is>
      </c>
      <c r="H93" s="2" t="inlineStr">
        <is>
          <t>2025</t>
        </is>
      </c>
      <c r="I93" s="2" t="inlineStr">
        <is>
          <t>S23</t>
        </is>
      </c>
      <c r="J93" s="2" t="inlineStr"/>
      <c r="K93" s="4" t="inlineStr">
        <is>
          <t>https://www.artbasel.com/stories/the-art-basel-and-ubs-global-art-market-report-2026</t>
        </is>
      </c>
      <c r="L93" s="2" t="inlineStr">
        <is>
          <t>2026-10-13</t>
        </is>
      </c>
    </row>
    <row r="94" ht="60" customHeight="1">
      <c r="A94" s="2" t="inlineStr">
        <is>
          <t>M093</t>
        </is>
      </c>
      <c r="B94" s="2" t="inlineStr">
        <is>
          <t>Art and antiques report scope</t>
        </is>
      </c>
      <c r="C94" s="2" t="inlineStr">
        <is>
          <t>France</t>
        </is>
      </c>
      <c r="D94" s="2" t="inlineStr">
        <is>
          <t>Annual sales</t>
        </is>
      </c>
      <c r="E94" s="3" t="n">
        <v>4500000000</v>
      </c>
      <c r="F94" s="2" t="inlineStr">
        <is>
          <t>USD</t>
        </is>
      </c>
      <c r="G94" s="2" t="inlineStr">
        <is>
          <t>Estimated</t>
        </is>
      </c>
      <c r="H94" s="2" t="inlineStr">
        <is>
          <t>2025</t>
        </is>
      </c>
      <c r="I94" s="2" t="inlineStr">
        <is>
          <t>S23</t>
        </is>
      </c>
      <c r="J94" s="2" t="inlineStr"/>
      <c r="K94" s="4" t="inlineStr">
        <is>
          <t>https://www.artbasel.com/stories/the-art-basel-and-ubs-global-art-market-report-2026</t>
        </is>
      </c>
      <c r="L94" s="2" t="inlineStr">
        <is>
          <t>2026-10-13</t>
        </is>
      </c>
    </row>
    <row r="95" ht="60" customHeight="1">
      <c r="A95" s="2" t="inlineStr">
        <is>
          <t>M094</t>
        </is>
      </c>
      <c r="B95" s="2" t="inlineStr">
        <is>
          <t>Art and antiques report scope</t>
        </is>
      </c>
      <c r="C95" s="2" t="inlineStr">
        <is>
          <t>France</t>
        </is>
      </c>
      <c r="D95" s="2" t="inlineStr">
        <is>
          <t>Annual sales growth</t>
        </is>
      </c>
      <c r="E95" s="3" t="n">
        <v>9</v>
      </c>
      <c r="F95" s="2" t="inlineStr">
        <is>
          <t>percent</t>
        </is>
      </c>
      <c r="G95" s="2" t="inlineStr">
        <is>
          <t>Reported</t>
        </is>
      </c>
      <c r="H95" s="2" t="inlineStr">
        <is>
          <t>2025</t>
        </is>
      </c>
      <c r="I95" s="2" t="inlineStr">
        <is>
          <t>S23</t>
        </is>
      </c>
      <c r="J95" s="2" t="inlineStr"/>
      <c r="K95" s="4" t="inlineStr">
        <is>
          <t>https://www.artbasel.com/stories/the-art-basel-and-ubs-global-art-market-report-2026</t>
        </is>
      </c>
      <c r="L95" s="2" t="inlineStr">
        <is>
          <t>2026-10-13</t>
        </is>
      </c>
    </row>
    <row r="96" ht="60" customHeight="1">
      <c r="A96" s="2" t="inlineStr">
        <is>
          <t>M095</t>
        </is>
      </c>
      <c r="B96" s="2" t="inlineStr">
        <is>
          <t>Art online channel</t>
        </is>
      </c>
      <c r="C96" s="2" t="inlineStr">
        <is>
          <t>Global</t>
        </is>
      </c>
      <c r="D96" s="2" t="inlineStr">
        <is>
          <t>Online annual sales</t>
        </is>
      </c>
      <c r="E96" s="3" t="n">
        <v>9200000000</v>
      </c>
      <c r="F96" s="2" t="inlineStr">
        <is>
          <t>USD</t>
        </is>
      </c>
      <c r="G96" s="2" t="inlineStr">
        <is>
          <t>Estimated</t>
        </is>
      </c>
      <c r="H96" s="2" t="inlineStr">
        <is>
          <t>2025</t>
        </is>
      </c>
      <c r="I96" s="2" t="inlineStr">
        <is>
          <t>S23</t>
        </is>
      </c>
      <c r="J96" s="2" t="inlineStr"/>
      <c r="K96" s="4" t="inlineStr">
        <is>
          <t>https://www.artbasel.com/stories/the-art-basel-and-ubs-global-art-market-report-2026</t>
        </is>
      </c>
      <c r="L96" s="2" t="inlineStr">
        <is>
          <t>2026-10-13</t>
        </is>
      </c>
    </row>
    <row r="97" ht="60" customHeight="1">
      <c r="A97" s="2" t="inlineStr">
        <is>
          <t>M096</t>
        </is>
      </c>
      <c r="B97" s="2" t="inlineStr">
        <is>
          <t>Art online channel</t>
        </is>
      </c>
      <c r="C97" s="2" t="inlineStr">
        <is>
          <t>Global</t>
        </is>
      </c>
      <c r="D97" s="2" t="inlineStr">
        <is>
          <t>Share of total market</t>
        </is>
      </c>
      <c r="E97" s="3" t="n">
        <v>15</v>
      </c>
      <c r="F97" s="2" t="inlineStr">
        <is>
          <t>percent</t>
        </is>
      </c>
      <c r="G97" s="2" t="inlineStr">
        <is>
          <t>Reported</t>
        </is>
      </c>
      <c r="H97" s="2" t="inlineStr">
        <is>
          <t>2025</t>
        </is>
      </c>
      <c r="I97" s="2" t="inlineStr">
        <is>
          <t>S23</t>
        </is>
      </c>
      <c r="J97" s="2" t="inlineStr"/>
      <c r="K97" s="4" t="inlineStr">
        <is>
          <t>https://www.artbasel.com/stories/the-art-basel-and-ubs-global-art-market-report-2026</t>
        </is>
      </c>
      <c r="L97" s="2" t="inlineStr">
        <is>
          <t>2026-10-13</t>
        </is>
      </c>
    </row>
    <row r="98" ht="60" customHeight="1">
      <c r="A98" s="2" t="inlineStr">
        <is>
          <t>M097</t>
        </is>
      </c>
      <c r="B98" s="2" t="inlineStr">
        <is>
          <t>Art and antiques report scope</t>
        </is>
      </c>
      <c r="C98" s="2" t="inlineStr">
        <is>
          <t>US</t>
        </is>
      </c>
      <c r="D98" s="2" t="inlineStr">
        <is>
          <t>Annual sales</t>
        </is>
      </c>
      <c r="E98" s="3" t="n">
        <v>26000000000</v>
      </c>
      <c r="F98" s="2" t="inlineStr">
        <is>
          <t>USD</t>
        </is>
      </c>
      <c r="G98" s="2" t="inlineStr">
        <is>
          <t>Estimated</t>
        </is>
      </c>
      <c r="H98" s="2" t="inlineStr">
        <is>
          <t>2025</t>
        </is>
      </c>
      <c r="I98" s="2" t="inlineStr">
        <is>
          <t>S24</t>
        </is>
      </c>
      <c r="J98" s="2" t="inlineStr"/>
      <c r="K98" s="4" t="inlineStr">
        <is>
          <t>https://www.ubs.com/us/en/wealth-management/who-we-serve/ultra-high-net-worth-investors/art-advisory/art-basel-art-market-report.html</t>
        </is>
      </c>
      <c r="L98" s="2" t="inlineStr">
        <is>
          <t>2026-10-13</t>
        </is>
      </c>
    </row>
    <row r="99" ht="60" customHeight="1">
      <c r="A99" s="2" t="inlineStr">
        <is>
          <t>M098</t>
        </is>
      </c>
      <c r="B99" s="2" t="inlineStr">
        <is>
          <t>Art and antiques report scope</t>
        </is>
      </c>
      <c r="C99" s="2" t="inlineStr">
        <is>
          <t>US</t>
        </is>
      </c>
      <c r="D99" s="2" t="inlineStr">
        <is>
          <t>Share of global market</t>
        </is>
      </c>
      <c r="E99" s="3" t="n">
        <v>44</v>
      </c>
      <c r="F99" s="2" t="inlineStr">
        <is>
          <t>percent</t>
        </is>
      </c>
      <c r="G99" s="2" t="inlineStr">
        <is>
          <t>Reported</t>
        </is>
      </c>
      <c r="H99" s="2" t="inlineStr">
        <is>
          <t>2025</t>
        </is>
      </c>
      <c r="I99" s="2" t="inlineStr">
        <is>
          <t>S24</t>
        </is>
      </c>
      <c r="J99" s="2" t="inlineStr"/>
      <c r="K99" s="4" t="inlineStr">
        <is>
          <t>https://www.ubs.com/us/en/wealth-management/who-we-serve/ultra-high-net-worth-investors/art-advisory/art-basel-art-market-report.html</t>
        </is>
      </c>
      <c r="L99" s="2" t="inlineStr">
        <is>
          <t>2026-10-13</t>
        </is>
      </c>
    </row>
    <row r="100" ht="60" customHeight="1">
      <c r="A100" s="2" t="inlineStr">
        <is>
          <t>M099</t>
        </is>
      </c>
      <c r="B100" s="2" t="inlineStr">
        <is>
          <t>Special objects marketplace</t>
        </is>
      </c>
      <c r="C100" s="2" t="inlineStr">
        <is>
          <t>Catawiki global</t>
        </is>
      </c>
      <c r="D100" s="2" t="inlineStr">
        <is>
          <t>Annual company revenue</t>
        </is>
      </c>
      <c r="E100" s="3" t="n">
        <v>105400000</v>
      </c>
      <c r="F100" s="2" t="inlineStr">
        <is>
          <t>EUR</t>
        </is>
      </c>
      <c r="G100" s="2" t="inlineStr">
        <is>
          <t>Reported</t>
        </is>
      </c>
      <c r="H100" s="2" t="inlineStr">
        <is>
          <t>2024</t>
        </is>
      </c>
      <c r="I100" s="2" t="inlineStr">
        <is>
          <t>S25</t>
        </is>
      </c>
      <c r="J100" s="2" t="inlineStr"/>
      <c r="K100" s="4" t="inlineStr">
        <is>
          <t>https://www.catawiki.com/en/press/1860-catawiki-crosses-100m-revenue-mark</t>
        </is>
      </c>
      <c r="L100" s="2" t="inlineStr">
        <is>
          <t>2026-10-13</t>
        </is>
      </c>
    </row>
    <row r="101" ht="60" customHeight="1">
      <c r="A101" s="2" t="inlineStr">
        <is>
          <t>M100</t>
        </is>
      </c>
      <c r="B101" s="2" t="inlineStr">
        <is>
          <t>Special objects marketplace</t>
        </is>
      </c>
      <c r="C101" s="2" t="inlineStr">
        <is>
          <t>Catawiki global</t>
        </is>
      </c>
      <c r="D101" s="2" t="inlineStr">
        <is>
          <t>Objects auctioned</t>
        </is>
      </c>
      <c r="E101" s="3" t="n">
        <v>3500000</v>
      </c>
      <c r="F101" s="2" t="inlineStr">
        <is>
          <t>objects</t>
        </is>
      </c>
      <c r="G101" s="2" t="inlineStr">
        <is>
          <t>Almost</t>
        </is>
      </c>
      <c r="H101" s="2" t="inlineStr">
        <is>
          <t>2024</t>
        </is>
      </c>
      <c r="I101" s="2" t="inlineStr">
        <is>
          <t>S25</t>
        </is>
      </c>
      <c r="J101" s="2" t="inlineStr"/>
      <c r="K101" s="4" t="inlineStr">
        <is>
          <t>https://www.catawiki.com/en/press/1860-catawiki-crosses-100m-revenue-mark</t>
        </is>
      </c>
      <c r="L101" s="2" t="inlineStr">
        <is>
          <t>2026-10-13</t>
        </is>
      </c>
    </row>
    <row r="102" ht="60" customHeight="1">
      <c r="A102" s="2" t="inlineStr">
        <is>
          <t>M101</t>
        </is>
      </c>
      <c r="B102" s="2" t="inlineStr">
        <is>
          <t>Special objects marketplace</t>
        </is>
      </c>
      <c r="C102" s="2" t="inlineStr">
        <is>
          <t>Catawiki global</t>
        </is>
      </c>
      <c r="D102" s="2" t="inlineStr">
        <is>
          <t>Returning buyers</t>
        </is>
      </c>
      <c r="E102" s="3" t="n">
        <v>500000</v>
      </c>
      <c r="F102" s="2" t="inlineStr">
        <is>
          <t>buyers</t>
        </is>
      </c>
      <c r="G102" s="2" t="inlineStr">
        <is>
          <t>Nearly</t>
        </is>
      </c>
      <c r="H102" s="2" t="inlineStr">
        <is>
          <t>2024</t>
        </is>
      </c>
      <c r="I102" s="2" t="inlineStr">
        <is>
          <t>S25</t>
        </is>
      </c>
      <c r="J102" s="2" t="inlineStr"/>
      <c r="K102" s="4" t="inlineStr">
        <is>
          <t>https://www.catawiki.com/en/press/1860-catawiki-crosses-100m-revenue-mark</t>
        </is>
      </c>
      <c r="L102" s="2" t="inlineStr">
        <is>
          <t>2026-10-13</t>
        </is>
      </c>
    </row>
    <row r="103" ht="60" customHeight="1">
      <c r="A103" s="2" t="inlineStr">
        <is>
          <t>M102</t>
        </is>
      </c>
      <c r="B103" s="2" t="inlineStr">
        <is>
          <t>Special objects marketplace</t>
        </is>
      </c>
      <c r="C103" s="2" t="inlineStr">
        <is>
          <t>Catawiki global</t>
        </is>
      </c>
      <c r="D103" s="2" t="inlineStr">
        <is>
          <t>Returning buyers share of total sales</t>
        </is>
      </c>
      <c r="E103" s="3" t="n">
        <v>90</v>
      </c>
      <c r="F103" s="2" t="inlineStr">
        <is>
          <t>percent</t>
        </is>
      </c>
      <c r="G103" s="2" t="inlineStr">
        <is>
          <t>Company claim</t>
        </is>
      </c>
      <c r="H103" s="2" t="inlineStr">
        <is>
          <t>2024</t>
        </is>
      </c>
      <c r="I103" s="2" t="inlineStr">
        <is>
          <t>S25</t>
        </is>
      </c>
      <c r="J103" s="2" t="inlineStr">
        <is>
          <t>Not a retention rate or antique-only metric</t>
        </is>
      </c>
      <c r="K103" s="4" t="inlineStr">
        <is>
          <t>https://www.catawiki.com/en/press/1860-catawiki-crosses-100m-revenue-mark</t>
        </is>
      </c>
      <c r="L103" s="2" t="inlineStr">
        <is>
          <t>2026-10-13</t>
        </is>
      </c>
    </row>
    <row r="104" ht="60" customHeight="1">
      <c r="A104" s="2" t="inlineStr">
        <is>
          <t>M103</t>
        </is>
      </c>
      <c r="B104" s="2" t="inlineStr">
        <is>
          <t>Special objects marketplace</t>
        </is>
      </c>
      <c r="C104" s="2" t="inlineStr">
        <is>
          <t>Catawiki Iberia</t>
        </is>
      </c>
      <c r="D104" s="2" t="inlineStr">
        <is>
          <t>New user growth</t>
        </is>
      </c>
      <c r="E104" s="3" t="n">
        <v>30</v>
      </c>
      <c r="F104" s="2" t="inlineStr">
        <is>
          <t>percent</t>
        </is>
      </c>
      <c r="G104" s="2" t="inlineStr">
        <is>
          <t>Company claim</t>
        </is>
      </c>
      <c r="H104" s="2" t="inlineStr">
        <is>
          <t>2024</t>
        </is>
      </c>
      <c r="I104" s="2" t="inlineStr">
        <is>
          <t>S25</t>
        </is>
      </c>
      <c r="J104" s="2" t="inlineStr">
        <is>
          <t>Iberia combines Spain and Portugal</t>
        </is>
      </c>
      <c r="K104" s="4" t="inlineStr">
        <is>
          <t>https://www.catawiki.com/en/press/1860-catawiki-crosses-100m-revenue-mark</t>
        </is>
      </c>
      <c r="L104" s="2" t="inlineStr">
        <is>
          <t>2026-10-13</t>
        </is>
      </c>
    </row>
    <row r="105" ht="60" customHeight="1">
      <c r="A105" s="2" t="inlineStr">
        <is>
          <t>M104</t>
        </is>
      </c>
      <c r="B105" s="2" t="inlineStr">
        <is>
          <t>Live commerce all categories</t>
        </is>
      </c>
      <c r="C105" s="2" t="inlineStr">
        <is>
          <t>Whatnot global</t>
        </is>
      </c>
      <c r="D105" s="2" t="inlineStr">
        <is>
          <t>Seller sales in year</t>
        </is>
      </c>
      <c r="E105" s="3" t="n">
        <v>8000000000</v>
      </c>
      <c r="F105" s="2" t="inlineStr">
        <is>
          <t>USD</t>
        </is>
      </c>
      <c r="G105" s="2" t="inlineStr">
        <is>
          <t>Company claim</t>
        </is>
      </c>
      <c r="H105" s="2" t="inlineStr">
        <is>
          <t>2025</t>
        </is>
      </c>
      <c r="I105" s="2" t="inlineStr">
        <is>
          <t>S26</t>
        </is>
      </c>
      <c r="J105" s="2" t="inlineStr"/>
      <c r="K105" s="4" t="inlineStr">
        <is>
          <t>https://www.whatnot.com/seller</t>
        </is>
      </c>
      <c r="L105" s="2" t="inlineStr">
        <is>
          <t>2026-10-13</t>
        </is>
      </c>
    </row>
    <row r="106" ht="60" customHeight="1">
      <c r="A106" s="2" t="inlineStr">
        <is>
          <t>M105</t>
        </is>
      </c>
      <c r="B106" s="2" t="inlineStr">
        <is>
          <t>Live commerce all categories</t>
        </is>
      </c>
      <c r="C106" s="2" t="inlineStr">
        <is>
          <t>Whatnot global</t>
        </is>
      </c>
      <c r="D106" s="2" t="inlineStr">
        <is>
          <t>Customers buying monthly</t>
        </is>
      </c>
      <c r="E106" s="3" t="n">
        <v>80</v>
      </c>
      <c r="F106" s="2" t="inlineStr">
        <is>
          <t>percent</t>
        </is>
      </c>
      <c r="G106" s="2" t="inlineStr">
        <is>
          <t>Company claim</t>
        </is>
      </c>
      <c r="H106" s="2" t="inlineStr">
        <is>
          <t>Undated current claim</t>
        </is>
      </c>
      <c r="I106" s="2" t="inlineStr">
        <is>
          <t>S26</t>
        </is>
      </c>
      <c r="J106" s="2" t="inlineStr">
        <is>
          <t>Denominator and cohort method unspecified</t>
        </is>
      </c>
      <c r="K106" s="4" t="inlineStr">
        <is>
          <t>https://www.whatnot.com/seller</t>
        </is>
      </c>
      <c r="L106" s="2" t="inlineStr">
        <is>
          <t>2026-10-13</t>
        </is>
      </c>
    </row>
    <row r="107" ht="60" customHeight="1">
      <c r="A107" s="2" t="inlineStr">
        <is>
          <t>M106</t>
        </is>
      </c>
      <c r="B107" s="2" t="inlineStr">
        <is>
          <t>Numismatic catalog</t>
        </is>
      </c>
      <c r="C107" s="2" t="inlineStr">
        <is>
          <t>Numista global</t>
        </is>
      </c>
      <c r="D107" s="2" t="inlineStr">
        <is>
          <t>Catalog types</t>
        </is>
      </c>
      <c r="E107" s="3" t="n">
        <v>540000</v>
      </c>
      <c r="F107" s="2" t="inlineStr">
        <is>
          <t>types</t>
        </is>
      </c>
      <c r="G107" s="2" t="inlineStr">
        <is>
          <t>Approximately</t>
        </is>
      </c>
      <c r="H107" s="2" t="inlineStr">
        <is>
          <t>Observed 13 October 2026</t>
        </is>
      </c>
      <c r="I107" s="2" t="inlineStr">
        <is>
          <t>S27</t>
        </is>
      </c>
      <c r="J107" s="2" t="inlineStr"/>
      <c r="K107" s="4" t="inlineStr">
        <is>
          <t>https://en.numista.com/</t>
        </is>
      </c>
      <c r="L107" s="2" t="inlineStr">
        <is>
          <t>2026-10-13</t>
        </is>
      </c>
    </row>
    <row r="108" ht="60" customHeight="1">
      <c r="A108" s="2" t="inlineStr">
        <is>
          <t>M107</t>
        </is>
      </c>
      <c r="B108" s="2" t="inlineStr">
        <is>
          <t>Numismatic swaps</t>
        </is>
      </c>
      <c r="C108" s="2" t="inlineStr">
        <is>
          <t>Numista global</t>
        </is>
      </c>
      <c r="D108" s="2" t="inlineStr">
        <is>
          <t>Swap ratings in past 30 days</t>
        </is>
      </c>
      <c r="E108" s="3" t="n">
        <v>1677</v>
      </c>
      <c r="F108" s="2" t="inlineStr">
        <is>
          <t>ratings</t>
        </is>
      </c>
      <c r="G108" s="2" t="inlineStr">
        <is>
          <t>Live counter</t>
        </is>
      </c>
      <c r="H108" s="2" t="inlineStr">
        <is>
          <t>Observed 13 October 2026</t>
        </is>
      </c>
      <c r="I108" s="2" t="inlineStr">
        <is>
          <t>S27</t>
        </is>
      </c>
      <c r="J108" s="2" t="inlineStr">
        <is>
          <t>Not distinct buyers or all swaps</t>
        </is>
      </c>
      <c r="K108" s="4" t="inlineStr">
        <is>
          <t>https://en.numista.com/</t>
        </is>
      </c>
      <c r="L108" s="2" t="inlineStr">
        <is>
          <t>2026-10-13</t>
        </is>
      </c>
    </row>
    <row r="109" ht="60" customHeight="1">
      <c r="A109" s="2" t="inlineStr">
        <is>
          <t>M108</t>
        </is>
      </c>
      <c r="B109" s="2" t="inlineStr">
        <is>
          <t>Collector software</t>
        </is>
      </c>
      <c r="C109" s="2" t="inlineStr">
        <is>
          <t>hobbyDB</t>
        </is>
      </c>
      <c r="D109" s="2" t="inlineStr">
        <is>
          <t>Annual subscription</t>
        </is>
      </c>
      <c r="E109" s="3" t="n">
        <v>29.99</v>
      </c>
      <c r="F109" s="2" t="inlineStr">
        <is>
          <t>USD per year</t>
        </is>
      </c>
      <c r="G109" s="2" t="inlineStr">
        <is>
          <t>Advertised</t>
        </is>
      </c>
      <c r="H109" s="2" t="inlineStr">
        <is>
          <t>Observed October 2026</t>
        </is>
      </c>
      <c r="I109" s="2" t="inlineStr">
        <is>
          <t>S28</t>
        </is>
      </c>
      <c r="J109" s="2" t="inlineStr"/>
      <c r="K109" s="4" t="inlineStr">
        <is>
          <t>https://www.hobbydb.com/marketplaces/poppriceguide/subs/pop-price-guide-landing-page</t>
        </is>
      </c>
      <c r="L109" s="2" t="inlineStr">
        <is>
          <t>2026-10-13</t>
        </is>
      </c>
    </row>
    <row r="110" ht="60" customHeight="1">
      <c r="A110" s="2" t="inlineStr">
        <is>
          <t>M109</t>
        </is>
      </c>
      <c r="B110" s="2" t="inlineStr">
        <is>
          <t>Collector software</t>
        </is>
      </c>
      <c r="C110" s="2" t="inlineStr">
        <is>
          <t>PriceCharting</t>
        </is>
      </c>
      <c r="D110" s="2" t="inlineStr">
        <is>
          <t>Collector annual subscription</t>
        </is>
      </c>
      <c r="E110" s="3" t="n">
        <v>59</v>
      </c>
      <c r="F110" s="2" t="inlineStr">
        <is>
          <t>USD per year</t>
        </is>
      </c>
      <c r="G110" s="2" t="inlineStr">
        <is>
          <t>Advertised</t>
        </is>
      </c>
      <c r="H110" s="2" t="inlineStr">
        <is>
          <t>Observed October 2026</t>
        </is>
      </c>
      <c r="I110" s="2" t="inlineStr">
        <is>
          <t>S29</t>
        </is>
      </c>
      <c r="J110" s="2" t="inlineStr"/>
      <c r="K110" s="4" t="inlineStr">
        <is>
          <t>https://www.pricecharting.com/pricecharting-pro</t>
        </is>
      </c>
      <c r="L110" s="2" t="inlineStr">
        <is>
          <t>2026-10-13</t>
        </is>
      </c>
    </row>
    <row r="111" ht="60" customHeight="1">
      <c r="A111" s="2" t="inlineStr">
        <is>
          <t>M110</t>
        </is>
      </c>
      <c r="B111" s="2" t="inlineStr">
        <is>
          <t>Collector software</t>
        </is>
      </c>
      <c r="C111" s="2" t="inlineStr">
        <is>
          <t>PriceCharting</t>
        </is>
      </c>
      <c r="D111" s="2" t="inlineStr">
        <is>
          <t>Legendary API plan</t>
        </is>
      </c>
      <c r="E111" s="3" t="n">
        <v>49</v>
      </c>
      <c r="F111" s="2" t="inlineStr">
        <is>
          <t>USD per month</t>
        </is>
      </c>
      <c r="G111" s="2" t="inlineStr">
        <is>
          <t>Advertised</t>
        </is>
      </c>
      <c r="H111" s="2" t="inlineStr">
        <is>
          <t>Observed October 2026</t>
        </is>
      </c>
      <c r="I111" s="2" t="inlineStr">
        <is>
          <t>S29</t>
        </is>
      </c>
      <c r="J111" s="2" t="inlineStr"/>
      <c r="K111" s="4" t="inlineStr">
        <is>
          <t>https://www.pricecharting.com/pricecharting-pro</t>
        </is>
      </c>
      <c r="L111" s="2" t="inlineStr">
        <is>
          <t>2026-10-13</t>
        </is>
      </c>
    </row>
    <row r="112" ht="60" customHeight="1">
      <c r="A112" s="2" t="inlineStr">
        <is>
          <t>M111</t>
        </is>
      </c>
      <c r="B112" s="2" t="inlineStr">
        <is>
          <t>Collectibles insurance</t>
        </is>
      </c>
      <c r="C112" s="2" t="inlineStr">
        <is>
          <t>CIS US</t>
        </is>
      </c>
      <c r="D112" s="2" t="inlineStr">
        <is>
          <t>Individual item/set schedule threshold</t>
        </is>
      </c>
      <c r="E112" s="3" t="n">
        <v>25000</v>
      </c>
      <c r="F112" s="2" t="inlineStr">
        <is>
          <t>USD</t>
        </is>
      </c>
      <c r="G112" s="2" t="inlineStr">
        <is>
          <t>Product term</t>
        </is>
      </c>
      <c r="H112" s="2" t="inlineStr">
        <is>
          <t>Observed October 2026</t>
        </is>
      </c>
      <c r="I112" s="2" t="inlineStr">
        <is>
          <t>S34</t>
        </is>
      </c>
      <c r="J112" s="2" t="inlineStr">
        <is>
          <t>Applies above threshold; not minimum insurable collection</t>
        </is>
      </c>
      <c r="K112" s="4" t="inlineStr">
        <is>
          <t>https://collectinsure.com/</t>
        </is>
      </c>
      <c r="L112" s="2" t="inlineStr">
        <is>
          <t>2026-10-13</t>
        </is>
      </c>
    </row>
    <row r="113" ht="60" customHeight="1">
      <c r="A113" s="2" t="inlineStr">
        <is>
          <t>M112</t>
        </is>
      </c>
      <c r="B113" s="2" t="inlineStr">
        <is>
          <t>Collectibles insurance</t>
        </is>
      </c>
      <c r="C113" s="2" t="inlineStr">
        <is>
          <t>CIS US</t>
        </is>
      </c>
      <c r="D113" s="2" t="inlineStr">
        <is>
          <t>Optional automatic monthly cover increase</t>
        </is>
      </c>
      <c r="E113" s="3" t="n">
        <v>1</v>
      </c>
      <c r="F113" s="2" t="inlineStr">
        <is>
          <t>percent per month</t>
        </is>
      </c>
      <c r="G113" s="2" t="inlineStr">
        <is>
          <t>Product term</t>
        </is>
      </c>
      <c r="H113" s="2" t="inlineStr">
        <is>
          <t>Observed October 2026</t>
        </is>
      </c>
      <c r="I113" s="2" t="inlineStr">
        <is>
          <t>S34</t>
        </is>
      </c>
      <c r="J113" s="2" t="inlineStr">
        <is>
          <t>Contractual option, not market appreciation forecast</t>
        </is>
      </c>
      <c r="K113" s="4" t="inlineStr">
        <is>
          <t>https://collectinsure.com/</t>
        </is>
      </c>
      <c r="L113" s="2" t="inlineStr">
        <is>
          <t>2026-10-13</t>
        </is>
      </c>
    </row>
    <row r="114" ht="60" customHeight="1">
      <c r="A114" s="2" t="inlineStr">
        <is>
          <t>M113</t>
        </is>
      </c>
      <c r="B114" s="2" t="inlineStr">
        <is>
          <t>Secondhand shopping</t>
        </is>
      </c>
      <c r="C114" s="2" t="inlineStr">
        <is>
          <t>Survey markets</t>
        </is>
      </c>
      <c r="D114" s="2" t="inlineStr">
        <is>
          <t>Shoppers buying at least monthly</t>
        </is>
      </c>
      <c r="E114" s="3" t="n">
        <v>47</v>
      </c>
      <c r="F114" s="2" t="inlineStr">
        <is>
          <t>percent</t>
        </is>
      </c>
      <c r="G114" s="2" t="inlineStr">
        <is>
          <t>Survey result</t>
        </is>
      </c>
      <c r="H114" s="2" t="inlineStr">
        <is>
          <t>2026</t>
        </is>
      </c>
      <c r="I114" s="2" t="inlineStr">
        <is>
          <t>S45</t>
        </is>
      </c>
      <c r="J114" s="2" t="inlineStr">
        <is>
          <t>Not TCG-specific</t>
        </is>
      </c>
      <c r="K114" s="4" t="inlineStr">
        <is>
          <t>https://www.ebayinc.com/recommerce-report/</t>
        </is>
      </c>
      <c r="L114" s="2" t="inlineStr">
        <is>
          <t>2026-10-13</t>
        </is>
      </c>
    </row>
    <row r="115" ht="60" customHeight="1">
      <c r="A115" s="2" t="inlineStr">
        <is>
          <t>M114</t>
        </is>
      </c>
      <c r="B115" s="2" t="inlineStr">
        <is>
          <t>Secondhand shopping</t>
        </is>
      </c>
      <c r="C115" s="2" t="inlineStr">
        <is>
          <t>Survey markets</t>
        </is>
      </c>
      <c r="D115" s="2" t="inlineStr">
        <is>
          <t>Shopper sample</t>
        </is>
      </c>
      <c r="E115" s="3" t="n">
        <v>10523</v>
      </c>
      <c r="F115" s="2" t="inlineStr">
        <is>
          <t>respondents</t>
        </is>
      </c>
      <c r="G115" s="2" t="inlineStr">
        <is>
          <t>Survey sample</t>
        </is>
      </c>
      <c r="H115" s="2" t="inlineStr">
        <is>
          <t>2026</t>
        </is>
      </c>
      <c r="I115" s="2" t="inlineStr">
        <is>
          <t>S45</t>
        </is>
      </c>
      <c r="J115" s="2" t="inlineStr"/>
      <c r="K115" s="4" t="inlineStr">
        <is>
          <t>https://www.ebayinc.com/recommerce-report/</t>
        </is>
      </c>
      <c r="L115" s="2" t="inlineStr">
        <is>
          <t>2026-10-13</t>
        </is>
      </c>
    </row>
    <row r="116" ht="60" customHeight="1">
      <c r="A116" s="2" t="inlineStr">
        <is>
          <t>M115</t>
        </is>
      </c>
      <c r="B116" s="2" t="inlineStr">
        <is>
          <t>Pokemon product cadence</t>
        </is>
      </c>
      <c r="C116" s="2" t="inlineStr">
        <is>
          <t>Brazil</t>
        </is>
      </c>
      <c r="D116" s="2" t="inlineStr">
        <is>
          <t>Expansions in year</t>
        </is>
      </c>
      <c r="E116" s="3" t="n">
        <v>6</v>
      </c>
      <c r="F116" s="2" t="inlineStr">
        <is>
          <t>expansions</t>
        </is>
      </c>
      <c r="G116" s="2" t="inlineStr">
        <is>
          <t>Historical publisher report</t>
        </is>
      </c>
      <c r="H116" s="2" t="inlineStr">
        <is>
          <t>2023</t>
        </is>
      </c>
      <c r="I116" s="2" t="inlineStr">
        <is>
          <t>S47</t>
        </is>
      </c>
      <c r="J116" s="2" t="inlineStr"/>
      <c r="K116" s="4" t="inlineStr">
        <is>
          <t>https://copag.com.br/balancosocial/pdfs/clientes-e-fornecedores-distribuindo-sorrisos.pdf</t>
        </is>
      </c>
      <c r="L116" s="2" t="inlineStr">
        <is>
          <t>2026-10-13</t>
        </is>
      </c>
    </row>
    <row r="117" ht="60" customHeight="1">
      <c r="A117" s="2" t="inlineStr">
        <is>
          <t>M116</t>
        </is>
      </c>
      <c r="B117" s="2" t="inlineStr">
        <is>
          <t>Pokemon product cadence</t>
        </is>
      </c>
      <c r="C117" s="2" t="inlineStr">
        <is>
          <t>Brazil</t>
        </is>
      </c>
      <c r="D117" s="2" t="inlineStr">
        <is>
          <t>New products in year</t>
        </is>
      </c>
      <c r="E117" s="3" t="n">
        <v>57</v>
      </c>
      <c r="F117" s="2" t="inlineStr">
        <is>
          <t>products</t>
        </is>
      </c>
      <c r="G117" s="2" t="inlineStr">
        <is>
          <t>Historical publisher report</t>
        </is>
      </c>
      <c r="H117" s="2" t="inlineStr">
        <is>
          <t>2023</t>
        </is>
      </c>
      <c r="I117" s="2" t="inlineStr">
        <is>
          <t>S47</t>
        </is>
      </c>
      <c r="J117" s="2" t="inlineStr"/>
      <c r="K117" s="4" t="inlineStr">
        <is>
          <t>https://copag.com.br/balancosocial/pdfs/clientes-e-fornecedores-distribuindo-sorrisos.pdf</t>
        </is>
      </c>
      <c r="L117" s="2" t="inlineStr">
        <is>
          <t>2026-10-13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</hyperlinks>
  <pageMargins left="0.75" right="0.75" top="1" bottom="1" header="0.5" footer="0.5"/>
  <tableParts count="1">
    <tablePart xmlns:r="http://schemas.openxmlformats.org/officeDocument/2006/relationships" r:id="rId117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3" customWidth="1" min="2" max="2"/>
    <col width="20" customWidth="1" min="3" max="3"/>
    <col width="65" customWidth="1" min="4" max="4"/>
    <col width="32" customWidth="1" min="5" max="5"/>
    <col width="70" customWidth="1" min="6" max="6"/>
    <col width="23" customWidth="1" min="7" max="7"/>
  </cols>
  <sheetData>
    <row r="1" ht="30" customHeight="1">
      <c r="A1" s="1" t="inlineStr">
        <is>
          <t>Platform</t>
        </is>
      </c>
      <c r="B1" s="1" t="inlineStr">
        <is>
          <t>Category</t>
        </is>
      </c>
      <c r="C1" s="1" t="inlineStr">
        <is>
          <t>Geography</t>
        </is>
      </c>
      <c r="D1" s="1" t="inlineStr">
        <is>
          <t>Capabilities</t>
        </is>
      </c>
      <c r="E1" s="1" t="inlineStr">
        <is>
          <t>Business model</t>
        </is>
      </c>
      <c r="F1" s="1" t="inlineStr">
        <is>
          <t>Implication for Objais</t>
        </is>
      </c>
      <c r="G1" s="1" t="inlineStr">
        <is>
          <t>Source IDs</t>
        </is>
      </c>
    </row>
    <row r="2" ht="60" customHeight="1">
      <c r="A2" s="2" t="inlineStr">
        <is>
          <t>Collectr</t>
        </is>
      </c>
      <c r="B2" s="2" t="inlineStr">
        <is>
          <t>TCGs</t>
        </is>
      </c>
      <c r="C2" s="2" t="inlineStr">
        <is>
          <t>Global</t>
        </is>
      </c>
      <c r="D2" s="2" t="inlineStr">
        <is>
          <t>Scanning, portfolios, price history, trade comparison, social</t>
        </is>
      </c>
      <c r="E2" s="2" t="inlineStr">
        <is>
          <t>Freemium; PRO</t>
        </is>
      </c>
      <c r="F2" s="2" t="inlineStr">
        <is>
          <t>Strong incumbent for daily collection tasks</t>
        </is>
      </c>
      <c r="G2" s="2" t="inlineStr">
        <is>
          <t>S10; S11</t>
        </is>
      </c>
    </row>
    <row r="3" ht="60" customHeight="1">
      <c r="A3" s="2" t="inlineStr">
        <is>
          <t>CollX</t>
        </is>
      </c>
      <c r="B3" s="2" t="inlineStr">
        <is>
          <t>Sports cards and TCGs</t>
        </is>
      </c>
      <c r="C3" s="2" t="inlineStr">
        <is>
          <t>Primarily US-facing</t>
        </is>
      </c>
      <c r="D3" s="2" t="inlineStr">
        <is>
          <t>Scan, variants, marketplace, collections; manual condition</t>
        </is>
      </c>
      <c r="E3" s="2" t="inlineStr">
        <is>
          <t>PRO and marketplace</t>
        </is>
      </c>
      <c r="F3" s="2" t="inlineStr">
        <is>
          <t>Identification is already offered; documented price fallbacks</t>
        </is>
      </c>
      <c r="G3" s="2" t="inlineStr">
        <is>
          <t>S32; S50</t>
        </is>
      </c>
    </row>
    <row r="4" ht="60" customHeight="1">
      <c r="A4" s="2" t="inlineStr">
        <is>
          <t>Ludex</t>
        </is>
      </c>
      <c r="B4" s="2" t="inlineStr">
        <is>
          <t>Cards</t>
        </is>
      </c>
      <c r="C4" s="2" t="inlineStr">
        <is>
          <t>Global app</t>
        </is>
      </c>
      <c r="D4" s="2" t="inlineStr">
        <is>
          <t>Scanning, collection and price tracking</t>
        </is>
      </c>
      <c r="E4" s="2" t="inlineStr">
        <is>
          <t>Membership</t>
        </is>
      </c>
      <c r="F4" s="2" t="inlineStr">
        <is>
          <t>Another specialist tool; performance not tested</t>
        </is>
      </c>
      <c r="G4" s="2" t="inlineStr">
        <is>
          <t>S49</t>
        </is>
      </c>
    </row>
    <row r="5" ht="60" customHeight="1">
      <c r="A5" s="2" t="inlineStr">
        <is>
          <t>PriceCharting</t>
        </is>
      </c>
      <c r="B5" s="2" t="inlineStr">
        <is>
          <t>Cards, games, comics</t>
        </is>
      </c>
      <c r="C5" s="2" t="inlineStr">
        <is>
          <t>Global; USD-oriented</t>
        </is>
      </c>
      <c r="D5" s="2" t="inlineStr">
        <is>
          <t>Sold-price reference, inventory, alerts, API</t>
        </is>
      </c>
      <c r="E5" s="2" t="inlineStr">
        <is>
          <t>Free plus subscriptions</t>
        </is>
      </c>
      <c r="F5" s="2" t="inlineStr">
        <is>
          <t>Possible data provider; no historical API and rights need agreement</t>
        </is>
      </c>
      <c r="G5" s="2" t="inlineStr">
        <is>
          <t>S29; S30</t>
        </is>
      </c>
    </row>
    <row r="6" ht="60" customHeight="1">
      <c r="A6" s="2" t="inlineStr">
        <is>
          <t>Cardmarket</t>
        </is>
      </c>
      <c r="B6" s="2" t="inlineStr">
        <is>
          <t>TCGs</t>
        </is>
      </c>
      <c r="C6" s="2" t="inlineStr">
        <is>
          <t>Europe</t>
        </is>
      </c>
      <c r="D6" s="2" t="inlineStr">
        <is>
          <t>Marketplace, inventory and trade infrastructure</t>
        </is>
      </c>
      <c r="E6" s="2" t="inlineStr">
        <is>
          <t>Transaction platform</t>
        </is>
      </c>
      <c r="F6" s="2" t="inlineStr">
        <is>
          <t>Large installed base; API closed to new applicants</t>
        </is>
      </c>
      <c r="G6" s="2" t="inlineStr">
        <is>
          <t>S12; S31</t>
        </is>
      </c>
    </row>
    <row r="7" ht="60" customHeight="1">
      <c r="A7" s="2" t="inlineStr">
        <is>
          <t>eBay</t>
        </is>
      </c>
      <c r="B7" s="2" t="inlineStr">
        <is>
          <t>Multiple collectibles</t>
        </is>
      </c>
      <c r="C7" s="2" t="inlineStr">
        <is>
          <t>Global</t>
        </is>
      </c>
      <c r="D7" s="2" t="inlineStr">
        <is>
          <t>Marketplace, AI scanning, grading, authenticity, sold research</t>
        </is>
      </c>
      <c r="E7" s="2" t="inlineStr">
        <is>
          <t>Marketplace fees</t>
        </is>
      </c>
      <c r="F7" s="2" t="inlineStr">
        <is>
          <t>Owns transaction context and data; acquisition competitor</t>
        </is>
      </c>
      <c r="G7" s="2" t="inlineStr">
        <is>
          <t>S43; S44; S46</t>
        </is>
      </c>
    </row>
    <row r="8" ht="60" customHeight="1">
      <c r="A8" s="2" t="inlineStr">
        <is>
          <t>Whatnot</t>
        </is>
      </c>
      <c r="B8" s="2" t="inlineStr">
        <is>
          <t>Cards, toys, comics and other goods</t>
        </is>
      </c>
      <c r="C8" s="2" t="inlineStr">
        <is>
          <t>US and Europe-led</t>
        </is>
      </c>
      <c r="D8" s="2" t="inlineStr">
        <is>
          <t>Live sales, community, seller analytics</t>
        </is>
      </c>
      <c r="E8" s="2" t="inlineStr">
        <is>
          <t>Transaction platform</t>
        </is>
      </c>
      <c r="F8" s="2" t="inlineStr">
        <is>
          <t>Demonstrates frequent commerce; broad company claims</t>
        </is>
      </c>
      <c r="G8" s="2" t="inlineStr">
        <is>
          <t>S26</t>
        </is>
      </c>
    </row>
    <row r="9" ht="60" customHeight="1">
      <c r="A9" s="2" t="inlineStr">
        <is>
          <t>hobbyDB / Pop Price Guide</t>
        </is>
      </c>
      <c r="B9" s="2" t="inlineStr">
        <is>
          <t>Figures, toys, diecast and other collectibles</t>
        </is>
      </c>
      <c r="C9" s="2" t="inlineStr">
        <is>
          <t>Global</t>
        </is>
      </c>
      <c r="D9" s="2" t="inlineStr">
        <is>
          <t>Catalog, values, inventory, wishlist, trades</t>
        </is>
      </c>
      <c r="E9" s="2" t="inlineStr">
        <is>
          <t>Free plus annual plan</t>
        </is>
      </c>
      <c r="F9" s="2" t="inlineStr">
        <is>
          <t>Competes in figures; pricing source quality is part of product</t>
        </is>
      </c>
      <c r="G9" s="2" t="inlineStr">
        <is>
          <t>S28; S33</t>
        </is>
      </c>
    </row>
    <row r="10" ht="60" customHeight="1">
      <c r="A10" s="2" t="inlineStr">
        <is>
          <t>Numista</t>
        </is>
      </c>
      <c r="B10" s="2" t="inlineStr">
        <is>
          <t>Coins and banknotes</t>
        </is>
      </c>
      <c r="C10" s="2" t="inlineStr">
        <is>
          <t>Global including Portuguese</t>
        </is>
      </c>
      <c r="D10" s="2" t="inlineStr">
        <is>
          <t>Catalog, inventories, swaps, forums</t>
        </is>
      </c>
      <c r="E10" s="2" t="inlineStr">
        <is>
          <t>Free registration; other terms vary</t>
        </is>
      </c>
      <c r="F10" s="2" t="inlineStr">
        <is>
          <t>Strong specialist community and taxonomy</t>
        </is>
      </c>
      <c r="G10" s="2" t="inlineStr">
        <is>
          <t>S27</t>
        </is>
      </c>
    </row>
    <row r="11" ht="60" customHeight="1">
      <c r="A11" s="2" t="inlineStr">
        <is>
          <t>Catawiki</t>
        </is>
      </c>
      <c r="B11" s="2" t="inlineStr">
        <is>
          <t>Special objects incl antiques and coins</t>
        </is>
      </c>
      <c r="C11" s="2" t="inlineStr">
        <is>
          <t>Europe-led international</t>
        </is>
      </c>
      <c r="D11" s="2" t="inlineStr">
        <is>
          <t>Curated auctions and repeat buyer relationships</t>
        </is>
      </c>
      <c r="E11" s="2" t="inlineStr">
        <is>
          <t>Platform revenue</t>
        </is>
      </c>
      <c r="F11" s="2" t="inlineStr">
        <is>
          <t>Demonstrates collector repeat buying across categories</t>
        </is>
      </c>
      <c r="G11" s="2" t="inlineStr">
        <is>
          <t>S25</t>
        </is>
      </c>
    </row>
    <row r="12" ht="60" customHeight="1">
      <c r="A12" s="2" t="inlineStr">
        <is>
          <t>Collectibles Insurance Services</t>
        </is>
      </c>
      <c r="B12" s="2" t="inlineStr">
        <is>
          <t>Cards, toys, coins and other collections</t>
        </is>
      </c>
      <c r="C12" s="2" t="inlineStr">
        <is>
          <t>US</t>
        </is>
      </c>
      <c r="D12" s="2" t="inlineStr">
        <is>
          <t>Collection policies and dealer products</t>
        </is>
      </c>
      <c r="E12" s="2" t="inlineStr">
        <is>
          <t>Insurance distribution</t>
        </is>
      </c>
      <c r="F12" s="2" t="inlineStr">
        <is>
          <t>Underwriting reference; no assumed cross-border access</t>
        </is>
      </c>
      <c r="G12" s="2" t="inlineStr">
        <is>
          <t>S34; S35; S36</t>
        </is>
      </c>
    </row>
    <row r="13" ht="60" customHeight="1">
      <c r="A13" s="2" t="inlineStr">
        <is>
          <t>Howden Portugal</t>
        </is>
      </c>
      <c r="B13" s="2" t="inlineStr">
        <is>
          <t>Art, antiques, coins and other collections</t>
        </is>
      </c>
      <c r="C13" s="2" t="inlineStr">
        <is>
          <t>Portugal / international placement</t>
        </is>
      </c>
      <c r="D13" s="2" t="inlineStr">
        <is>
          <t>Specialist broker placement</t>
        </is>
      </c>
      <c r="E13" s="2" t="inlineStr">
        <is>
          <t>Insurance distribution</t>
        </is>
      </c>
      <c r="F13" s="2" t="inlineStr">
        <is>
          <t>Potential market counterpart; no partnership assumed</t>
        </is>
      </c>
      <c r="G13" s="2" t="inlineStr">
        <is>
          <t>S37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50" customWidth="1" min="3" max="3"/>
    <col width="44" customWidth="1" min="4" max="4"/>
    <col width="25" customWidth="1" min="5" max="5"/>
    <col width="36" customWidth="1" min="6" max="6"/>
    <col width="70" customWidth="1" min="7" max="7"/>
  </cols>
  <sheetData>
    <row r="1" ht="30" customHeight="1">
      <c r="A1" s="1" t="inlineStr">
        <is>
          <t>Category</t>
        </is>
      </c>
      <c r="B1" s="1" t="inlineStr">
        <is>
          <t>Recurring use potential</t>
        </is>
      </c>
      <c r="C1" s="1" t="inlineStr">
        <is>
          <t>Insurance hypothesis</t>
        </is>
      </c>
      <c r="D1" s="1" t="inlineStr">
        <is>
          <t>Data ecosystem</t>
        </is>
      </c>
      <c r="E1" s="1" t="inlineStr">
        <is>
          <t>Competition</t>
        </is>
      </c>
      <c r="F1" s="1" t="inlineStr">
        <is>
          <t>Research priority</t>
        </is>
      </c>
      <c r="G1" s="1" t="inlineStr">
        <is>
          <t>Main unresolved issue</t>
        </is>
      </c>
    </row>
    <row r="2" ht="60" customHeight="1">
      <c r="A2" s="2" t="inlineStr">
        <is>
          <t>TCGs</t>
        </is>
      </c>
      <c r="B2" s="2" t="inlineStr">
        <is>
          <t>High potential</t>
        </is>
      </c>
      <c r="C2" s="2" t="inlineStr">
        <is>
          <t>Moderate, concentrated in valuable collections</t>
        </is>
      </c>
      <c r="D2" s="2" t="inlineStr">
        <is>
          <t>Strong price/catalog ecosystem</t>
        </is>
      </c>
      <c r="E2" s="2" t="inlineStr">
        <is>
          <t>Very high</t>
        </is>
      </c>
      <c r="F2" s="2" t="inlineStr">
        <is>
          <t>First retention experiment</t>
        </is>
      </c>
      <c r="G2" s="2" t="inlineStr">
        <is>
          <t>Need differentiation beyond scan and price</t>
        </is>
      </c>
    </row>
    <row r="3" ht="60" customHeight="1">
      <c r="A3" s="2" t="inlineStr">
        <is>
          <t>Coins and banknotes</t>
        </is>
      </c>
      <c r="B3" s="2" t="inlineStr">
        <is>
          <t>Moderate potential</t>
        </is>
      </c>
      <c r="C3" s="2" t="inlineStr">
        <is>
          <t>Potentially strong for valuable holdings</t>
        </is>
      </c>
      <c r="D3" s="2" t="inlineStr">
        <is>
          <t>Strong taxonomy; grade and authenticity difficult</t>
        </is>
      </c>
      <c r="E3" s="2" t="inlineStr">
        <is>
          <t>High</t>
        </is>
      </c>
      <c r="F3" s="2" t="inlineStr">
        <is>
          <t>Parallel insurance experiment</t>
        </is>
      </c>
      <c r="G3" s="2" t="inlineStr">
        <is>
          <t>Separate bullion, modern coins and ancient coins</t>
        </is>
      </c>
    </row>
    <row r="4" ht="60" customHeight="1">
      <c r="A4" s="2" t="inlineStr">
        <is>
          <t>Figures and designer toys</t>
        </is>
      </c>
      <c r="B4" s="2" t="inlineStr">
        <is>
          <t>Moderate to high potential</t>
        </is>
      </c>
      <c r="C4" s="2" t="inlineStr">
        <is>
          <t>Collection-dependent</t>
        </is>
      </c>
      <c r="D4" s="2" t="inlineStr">
        <is>
          <t>SKU catalogs useful; boxes and variants matter</t>
        </is>
      </c>
      <c r="E4" s="2" t="inlineStr">
        <is>
          <t>High</t>
        </is>
      </c>
      <c r="F4" s="2" t="inlineStr">
        <is>
          <t>Second wave</t>
        </is>
      </c>
      <c r="G4" s="2" t="inlineStr">
        <is>
          <t>Avoid dependence on one fashionable IP</t>
        </is>
      </c>
    </row>
    <row r="5" ht="60" customHeight="1">
      <c r="A5" s="2" t="inlineStr">
        <is>
          <t>Antiques and decorative objects</t>
        </is>
      </c>
      <c r="B5" s="2" t="inlineStr">
        <is>
          <t>Variable potential</t>
        </is>
      </c>
      <c r="C5" s="2" t="inlineStr">
        <is>
          <t>Potentially strong for valuable collections</t>
        </is>
      </c>
      <c r="D5" s="2" t="inlineStr">
        <is>
          <t>Heterogeneous; specialist appraisal often necessary</t>
        </is>
      </c>
      <c r="E5" s="2" t="inlineStr">
        <is>
          <t>High</t>
        </is>
      </c>
      <c r="F5" s="2" t="inlineStr">
        <is>
          <t>Selective expansion</t>
        </is>
      </c>
      <c r="G5" s="2" t="inlineStr">
        <is>
          <t>Use provenance/documentation before instant valuation</t>
        </is>
      </c>
    </row>
    <row r="6" ht="60" customHeight="1">
      <c r="A6" s="2" t="inlineStr">
        <is>
          <t>Archaeological antiquities</t>
        </is>
      </c>
      <c r="B6" s="2" t="inlineStr">
        <is>
          <t>Unproven</t>
        </is>
      </c>
      <c r="C6" s="2" t="inlineStr">
        <is>
          <t>Case-specific</t>
        </is>
      </c>
      <c r="D6" s="2" t="inlineStr">
        <is>
          <t>Complex provenance and authenticity</t>
        </is>
      </c>
      <c r="E6" s="2" t="inlineStr">
        <is>
          <t>Specialist</t>
        </is>
      </c>
      <c r="F6" s="2" t="inlineStr">
        <is>
          <t>Defer broad rollout</t>
        </is>
      </c>
      <c r="G6" s="2" t="inlineStr">
        <is>
          <t>Trade, title and import/export requirements</t>
        </is>
      </c>
    </row>
    <row r="7" ht="60" customHeight="1">
      <c r="A7" s="2" t="inlineStr">
        <is>
          <t>Comics, vintage games, diecast</t>
        </is>
      </c>
      <c r="B7" s="2" t="inlineStr">
        <is>
          <t>Plausible adjacency</t>
        </is>
      </c>
      <c r="C7" s="2" t="inlineStr">
        <is>
          <t>Collection-dependent</t>
        </is>
      </c>
      <c r="D7" s="2" t="inlineStr">
        <is>
          <t>Some structured data available</t>
        </is>
      </c>
      <c r="E7" s="2" t="inlineStr">
        <is>
          <t>High</t>
        </is>
      </c>
      <c r="F7" s="2" t="inlineStr">
        <is>
          <t>Watch list</t>
        </is>
      </c>
      <c r="G7" s="2" t="inlineStr">
        <is>
          <t>Validate each niche independently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007D89"/>
    <outlinePr summaryBelow="1" summaryRight="1"/>
    <pageSetUpPr/>
  </sheetPr>
  <dimension ref="A1:D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0" customWidth="1" min="2" max="2"/>
    <col width="92" customWidth="1" min="3" max="3"/>
    <col width="28" customWidth="1" min="4" max="4"/>
  </cols>
  <sheetData>
    <row r="1" ht="30" customHeight="1">
      <c r="A1" s="1" t="inlineStr">
        <is>
          <t>Metric</t>
        </is>
      </c>
      <c r="B1" s="1" t="inlineStr">
        <is>
          <t>Editable input or formula</t>
        </is>
      </c>
      <c r="C1" s="1" t="inlineStr">
        <is>
          <t>Definition</t>
        </is>
      </c>
      <c r="D1" s="1" t="inlineStr">
        <is>
          <t>Illustrative baseline value</t>
        </is>
      </c>
    </row>
    <row r="2" ht="42" customHeight="1">
      <c r="A2" s="5" t="inlineStr">
        <is>
          <t>ILLUSTRATIVE INPUTS</t>
        </is>
      </c>
      <c r="B2" s="5" t="n"/>
      <c r="C2" s="5" t="inlineStr">
        <is>
          <t>All inputs below are fictitious; not Objais results.</t>
        </is>
      </c>
      <c r="D2" s="5" t="n"/>
    </row>
    <row r="3" ht="42" customHeight="1">
      <c r="A3" s="2" t="inlineStr">
        <is>
          <t>Acquired users</t>
        </is>
      </c>
      <c r="B3" s="6" t="n">
        <v>1000</v>
      </c>
      <c r="C3" s="2" t="inlineStr">
        <is>
          <t>Count of users acquired in the model year.</t>
        </is>
      </c>
      <c r="D3" s="3" t="n">
        <v>1000</v>
      </c>
    </row>
    <row r="4" ht="42" customHeight="1">
      <c r="A4" s="2" t="inlineStr">
        <is>
          <t>Activation rate</t>
        </is>
      </c>
      <c r="B4" s="7" t="n">
        <v>0.4</v>
      </c>
      <c r="C4" s="2" t="inlineStr">
        <is>
          <t>Share of acquired users completing useful collection setup.</t>
        </is>
      </c>
      <c r="D4" s="8" t="n">
        <v>0.4</v>
      </c>
    </row>
    <row r="5" ht="42" customHeight="1">
      <c r="A5" s="2" t="inlineStr">
        <is>
          <t>Paid leads per activated user</t>
        </is>
      </c>
      <c r="B5" s="6" t="n">
        <v>0.15</v>
      </c>
      <c r="C5" s="2" t="inlineStr">
        <is>
          <t>Already incorporates insurer acceptance and payment.</t>
        </is>
      </c>
      <c r="D5" s="3" t="n">
        <v>0.15</v>
      </c>
    </row>
    <row r="6" ht="42" customHeight="1">
      <c r="A6" s="2" t="inlineStr">
        <is>
          <t>Net revenue per paid lead EUR</t>
        </is>
      </c>
      <c r="B6" s="6" t="n">
        <v>40</v>
      </c>
      <c r="C6" s="2" t="inlineStr">
        <is>
          <t>Net received by Objais, not insurance premium.</t>
        </is>
      </c>
      <c r="D6" s="3" t="n">
        <v>40</v>
      </c>
    </row>
    <row r="7" ht="42" customHeight="1">
      <c r="A7" s="2" t="inlineStr">
        <is>
          <t>Acquisition cost per acquired user EUR</t>
        </is>
      </c>
      <c r="B7" s="6" t="n">
        <v>3</v>
      </c>
      <c r="C7" s="2" t="inlineStr">
        <is>
          <t>Marketing/distribution cost per user acquired.</t>
        </is>
      </c>
      <c r="D7" s="3" t="n">
        <v>3</v>
      </c>
    </row>
    <row r="8" ht="42" customHeight="1">
      <c r="A8" s="2" t="inlineStr">
        <is>
          <t>Variable cost per activated user EUR</t>
        </is>
      </c>
      <c r="B8" s="6" t="n">
        <v>2</v>
      </c>
      <c r="C8" s="2" t="inlineStr">
        <is>
          <t>Annual collection/valuation/support cost per activated user.</t>
        </is>
      </c>
      <c r="D8" s="3" t="n">
        <v>2</v>
      </c>
    </row>
    <row r="9" ht="42" customHeight="1">
      <c r="A9" s="2" t="inlineStr">
        <is>
          <t>Subscription conversion among activated</t>
        </is>
      </c>
      <c r="B9" s="7" t="n">
        <v>0.05</v>
      </c>
      <c r="C9" s="2" t="inlineStr">
        <is>
          <t>Hypothetical paid conversion.</t>
        </is>
      </c>
      <c r="D9" s="8" t="n">
        <v>0.05</v>
      </c>
    </row>
    <row r="10" ht="42" customHeight="1">
      <c r="A10" s="2" t="inlineStr">
        <is>
          <t>Annual net subscription revenue EUR</t>
        </is>
      </c>
      <c r="B10" s="6" t="n">
        <v>30</v>
      </c>
      <c r="C10" s="2" t="inlineStr">
        <is>
          <t>Net annual revenue per paying subscriber.</t>
        </is>
      </c>
      <c r="D10" s="3" t="n">
        <v>30</v>
      </c>
    </row>
    <row r="11" ht="42" customHeight="1">
      <c r="A11" s="2" t="inlineStr">
        <is>
          <t>Annual referred GMV per activated EUR</t>
        </is>
      </c>
      <c r="B11" s="6" t="n">
        <v>50</v>
      </c>
      <c r="C11" s="2" t="inlineStr">
        <is>
          <t>Hypothetical attributable transaction value.</t>
        </is>
      </c>
      <c r="D11" s="3" t="n">
        <v>50</v>
      </c>
    </row>
    <row r="12" ht="42" customHeight="1">
      <c r="A12" s="2" t="inlineStr">
        <is>
          <t>Net transaction take rate</t>
        </is>
      </c>
      <c r="B12" s="7" t="n">
        <v>0.01</v>
      </c>
      <c r="C12" s="2" t="inlineStr">
        <is>
          <t>Hypothetical realised fee after direct deductions.</t>
        </is>
      </c>
      <c r="D12" s="8" t="n">
        <v>0.01</v>
      </c>
    </row>
    <row r="13" ht="42" customHeight="1">
      <c r="A13" s="2" t="inlineStr">
        <is>
          <t>Renewal revenue EUR</t>
        </is>
      </c>
      <c r="B13" s="6" t="n">
        <v>0</v>
      </c>
      <c r="C13" s="2" t="inlineStr">
        <is>
          <t>Zero under assumed one-off lead model; do not imply renewal rights.</t>
        </is>
      </c>
      <c r="D13" s="3" t="n">
        <v>0</v>
      </c>
    </row>
    <row r="14" ht="42" customHeight="1">
      <c r="A14" s="5" t="inlineStr">
        <is>
          <t>CALCULATED OUTPUTS</t>
        </is>
      </c>
      <c r="B14" s="5" t="n"/>
      <c r="C14" s="5" t="inlineStr">
        <is>
          <t>Contribution excludes salaries, fixed costs and taxes.</t>
        </is>
      </c>
      <c r="D14" s="5" t="n"/>
    </row>
    <row r="15" ht="42" customHeight="1">
      <c r="A15" s="2" t="inlineStr">
        <is>
          <t>Activated users</t>
        </is>
      </c>
      <c r="B15" s="2">
        <f>B3*B4</f>
        <v/>
      </c>
      <c r="C15" s="2" t="inlineStr">
        <is>
          <t>Acquired users times activation.</t>
        </is>
      </c>
      <c r="D15" s="3" t="n">
        <v>400</v>
      </c>
    </row>
    <row r="16" ht="42" customHeight="1">
      <c r="A16" s="2" t="inlineStr">
        <is>
          <t>Paid leads</t>
        </is>
      </c>
      <c r="B16" s="2">
        <f>B15*B5</f>
        <v/>
      </c>
      <c r="C16" s="2" t="inlineStr">
        <is>
          <t>Activated users times paid leads per activated user.</t>
        </is>
      </c>
      <c r="D16" s="3" t="n">
        <v>60</v>
      </c>
    </row>
    <row r="17" ht="42" customHeight="1">
      <c r="A17" s="2" t="inlineStr">
        <is>
          <t>Lead revenue EUR</t>
        </is>
      </c>
      <c r="B17" s="2">
        <f>B16*B6</f>
        <v/>
      </c>
      <c r="C17" s="2" t="inlineStr">
        <is>
          <t>Paid leads times net fee.</t>
        </is>
      </c>
      <c r="D17" s="3" t="n">
        <v>2400</v>
      </c>
    </row>
    <row r="18" ht="42" customHeight="1">
      <c r="A18" s="2" t="inlineStr">
        <is>
          <t>Acquisition cost EUR</t>
        </is>
      </c>
      <c r="B18" s="2">
        <f>B3*B7</f>
        <v/>
      </c>
      <c r="C18" s="2" t="inlineStr">
        <is>
          <t>Acquired users times acquisition cost.</t>
        </is>
      </c>
      <c r="D18" s="3" t="n">
        <v>3000</v>
      </c>
    </row>
    <row r="19" ht="42" customHeight="1">
      <c r="A19" s="2" t="inlineStr">
        <is>
          <t>Variable cost EUR</t>
        </is>
      </c>
      <c r="B19" s="2">
        <f>B15*B8</f>
        <v/>
      </c>
      <c r="C19" s="2" t="inlineStr">
        <is>
          <t>Activated users times variable cost.</t>
        </is>
      </c>
      <c r="D19" s="3" t="n">
        <v>800</v>
      </c>
    </row>
    <row r="20" ht="42" customHeight="1">
      <c r="A20" s="2" t="inlineStr">
        <is>
          <t>Lead-only contribution EUR</t>
        </is>
      </c>
      <c r="B20" s="2">
        <f>B17-B18-B19</f>
        <v/>
      </c>
      <c r="C20" s="2" t="inlineStr">
        <is>
          <t>Revenue less acquisition and variable cost.</t>
        </is>
      </c>
      <c r="D20" s="3" t="n">
        <v>-1400</v>
      </c>
    </row>
    <row r="21" ht="42" customHeight="1">
      <c r="A21" s="2" t="inlineStr">
        <is>
          <t>Subscription revenue EUR</t>
        </is>
      </c>
      <c r="B21" s="2">
        <f>B15*B9*B10</f>
        <v/>
      </c>
      <c r="C21" s="2" t="inlineStr">
        <is>
          <t>Activated users times conversion times annual net revenue.</t>
        </is>
      </c>
      <c r="D21" s="3" t="n">
        <v>600</v>
      </c>
    </row>
    <row r="22" ht="42" customHeight="1">
      <c r="A22" s="2" t="inlineStr">
        <is>
          <t>Transaction revenue EUR</t>
        </is>
      </c>
      <c r="B22" s="2">
        <f>B15*B11*B12</f>
        <v/>
      </c>
      <c r="C22" s="2" t="inlineStr">
        <is>
          <t>Activated users times referred GMV times net take.</t>
        </is>
      </c>
      <c r="D22" s="3" t="n">
        <v>200</v>
      </c>
    </row>
    <row r="23" ht="42" customHeight="1">
      <c r="A23" s="2" t="inlineStr">
        <is>
          <t>Combined contribution EUR</t>
        </is>
      </c>
      <c r="B23" s="2">
        <f>B20+B21+B22+B13</f>
        <v/>
      </c>
      <c r="C23" s="2" t="inlineStr">
        <is>
          <t>Includes renewal input only if contractually earned.</t>
        </is>
      </c>
      <c r="D23" s="3" t="n">
        <v>-600</v>
      </c>
    </row>
    <row r="24" ht="42" customHeight="1">
      <c r="A24" s="2" t="inlineStr">
        <is>
          <t>Lead-only break-even CAC EUR</t>
        </is>
      </c>
      <c r="B24" s="2">
        <f>IFERROR((B17-B19)/B3,0)</f>
        <v/>
      </c>
      <c r="C24" s="2" t="inlineStr">
        <is>
          <t>Maximum acquisition cost per acquired user before fixed costs.</t>
        </is>
      </c>
      <c r="D24" s="3" t="n">
        <v>1.6</v>
      </c>
    </row>
    <row r="25" ht="42" customHeight="1">
      <c r="A25" s="2" t="inlineStr">
        <is>
          <t>Combined break-even CAC EUR</t>
        </is>
      </c>
      <c r="B25" s="2">
        <f>IFERROR((B17+B21+B22+B13-B19)/B3,0)</f>
        <v/>
      </c>
      <c r="C25" s="2" t="inlineStr">
        <is>
          <t>Maximum acquisition cost per acquired user before fixed costs.</t>
        </is>
      </c>
      <c r="D25" s="3" t="n">
        <v>2.4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6" customWidth="1" min="2" max="2"/>
    <col width="90" customWidth="1" min="3" max="3"/>
    <col width="24" customWidth="1" min="4" max="4"/>
    <col width="32" customWidth="1" min="5" max="5"/>
    <col width="100" customWidth="1" min="6" max="6"/>
    <col width="18" customWidth="1" min="7" max="7"/>
  </cols>
  <sheetData>
    <row r="1" ht="30" customHeight="1">
      <c r="A1" s="1" t="inlineStr">
        <is>
          <t>source_id</t>
        </is>
      </c>
      <c r="B1" s="1" t="inlineStr">
        <is>
          <t>title</t>
        </is>
      </c>
      <c r="C1" s="1" t="inlineStr">
        <is>
          <t>url</t>
        </is>
      </c>
      <c r="D1" s="1" t="inlineStr">
        <is>
          <t>period</t>
        </is>
      </c>
      <c r="E1" s="1" t="inlineStr">
        <is>
          <t>basis</t>
        </is>
      </c>
      <c r="F1" s="1" t="inlineStr">
        <is>
          <t>limitation</t>
        </is>
      </c>
      <c r="G1" s="1" t="inlineStr">
        <is>
          <t>accessed</t>
        </is>
      </c>
    </row>
    <row r="2" ht="60" customHeight="1">
      <c r="A2" s="2" t="inlineStr">
        <is>
          <t>S01</t>
        </is>
      </c>
      <c r="B2" s="2" t="inlineStr">
        <is>
          <t>Circana global toy report</t>
        </is>
      </c>
      <c r="C2" s="4" t="inlineStr">
        <is>
          <t>https://www.circana.com/post/global-toy-market-hits-123b-as-play-expands-across-ages-and-markets</t>
        </is>
      </c>
      <c r="D2" s="2" t="inlineStr">
        <is>
          <t>2025</t>
        </is>
      </c>
      <c r="E2" s="2" t="inlineStr">
        <is>
          <t>Research provider estimate</t>
        </is>
      </c>
      <c r="F2" s="2" t="inlineStr">
        <is>
          <t>All toys; not collectible figures alone</t>
        </is>
      </c>
      <c r="G2" s="2" t="inlineStr">
        <is>
          <t>2026-10-13</t>
        </is>
      </c>
    </row>
    <row r="3" ht="60" customHeight="1">
      <c r="A3" s="2" t="inlineStr">
        <is>
          <t>S02</t>
        </is>
      </c>
      <c r="B3" s="2" t="inlineStr">
        <is>
          <t>Circana G12 toy results</t>
        </is>
      </c>
      <c r="C3" s="4" t="inlineStr">
        <is>
          <t>https://www.circana.com/post/global-toy-industry-rebounds-in-2025-as-sales-rise-7-fueled-by-pop-culture-collectibles-and-kidu</t>
        </is>
      </c>
      <c r="D3" s="2" t="inlineStr">
        <is>
          <t>2025</t>
        </is>
      </c>
      <c r="E3" s="2" t="inlineStr">
        <is>
          <t>Retail tracking and consumer research</t>
        </is>
      </c>
      <c r="F3" s="2" t="inlineStr">
        <is>
          <t>12 tracked markets; collectibles includes cards and figures</t>
        </is>
      </c>
      <c r="G3" s="2" t="inlineStr">
        <is>
          <t>2026-10-13</t>
        </is>
      </c>
    </row>
    <row r="4" ht="60" customHeight="1">
      <c r="A4" s="2" t="inlineStr">
        <is>
          <t>S03</t>
        </is>
      </c>
      <c r="B4" s="2" t="inlineStr">
        <is>
          <t>Circana regional toy dynamics</t>
        </is>
      </c>
      <c r="C4" s="4" t="inlineStr">
        <is>
          <t>https://www.circana.com/post/circana-reveals-regional-toy-market-dynamics-across-europe-the-americas-and-asia-pacific</t>
        </is>
      </c>
      <c r="D4" s="2" t="inlineStr">
        <is>
          <t>H1 2026 / rolling year</t>
        </is>
      </c>
      <c r="E4" s="2" t="inlineStr">
        <is>
          <t>Retail tracking</t>
        </is>
      </c>
      <c r="F4" s="2" t="inlineStr">
        <is>
          <t>G14 coverage differs from 2025 G12; LATAM is not Brazil alone</t>
        </is>
      </c>
      <c r="G4" s="2" t="inlineStr">
        <is>
          <t>2026-10-13</t>
        </is>
      </c>
    </row>
    <row r="5" ht="60" customHeight="1">
      <c r="A5" s="2" t="inlineStr">
        <is>
          <t>S04</t>
        </is>
      </c>
      <c r="B5" s="2" t="inlineStr">
        <is>
          <t>Circana US first half</t>
        </is>
      </c>
      <c r="C5" s="4" t="inlineStr">
        <is>
          <t>https://www.circana.com/post/us-toy-industry-posts-strongest-first-half-in-six-years-circana-reports</t>
        </is>
      </c>
      <c r="D5" s="2" t="inlineStr">
        <is>
          <t>H1 2026</t>
        </is>
      </c>
      <c r="E5" s="2" t="inlineStr">
        <is>
          <t>Retail tracking</t>
        </is>
      </c>
      <c r="F5" s="2" t="inlineStr">
        <is>
          <t>US; category growth is not user retention</t>
        </is>
      </c>
      <c r="G5" s="2" t="inlineStr">
        <is>
          <t>2026-10-13</t>
        </is>
      </c>
    </row>
    <row r="6" ht="60" customHeight="1">
      <c r="A6" s="2" t="inlineStr">
        <is>
          <t>S05</t>
        </is>
      </c>
      <c r="B6" s="2" t="inlineStr">
        <is>
          <t>Hasbro FY 2025</t>
        </is>
      </c>
      <c r="C6" s="4" t="inlineStr">
        <is>
          <t>https://corp.hasbro.com/news-releases/news-release-details/hasbro-reports-fourth-quarter-and-full-year-2025-financial</t>
        </is>
      </c>
      <c r="D6" s="2" t="inlineStr">
        <is>
          <t>FY 2025</t>
        </is>
      </c>
      <c r="E6" s="2" t="inlineStr">
        <is>
          <t>Issuer financial disclosure</t>
        </is>
      </c>
      <c r="F6" s="2" t="inlineStr">
        <is>
          <t>Magic includes tabletop and digital; manufacturer revenue is not resale GMV</t>
        </is>
      </c>
      <c r="G6" s="2" t="inlineStr">
        <is>
          <t>2026-10-13</t>
        </is>
      </c>
    </row>
    <row r="7" ht="60" customHeight="1">
      <c r="A7" s="2" t="inlineStr">
        <is>
          <t>S06</t>
        </is>
      </c>
      <c r="B7" s="2" t="inlineStr">
        <is>
          <t>Hasbro Q2 and H1 2026</t>
        </is>
      </c>
      <c r="C7" s="4" t="inlineStr">
        <is>
          <t>https://newsroom.hasbro.com/node/36961</t>
        </is>
      </c>
      <c r="D7" s="2" t="inlineStr">
        <is>
          <t>H1 2026</t>
        </is>
      </c>
      <c r="E7" s="2" t="inlineStr">
        <is>
          <t>Issuer financial disclosure</t>
        </is>
      </c>
      <c r="F7" s="2" t="inlineStr">
        <is>
          <t>Magic brand revenue includes digital</t>
        </is>
      </c>
      <c r="G7" s="2" t="inlineStr">
        <is>
          <t>2026-10-13</t>
        </is>
      </c>
    </row>
    <row r="8" ht="60" customHeight="1">
      <c r="A8" s="2" t="inlineStr">
        <is>
          <t>S07</t>
        </is>
      </c>
      <c r="B8" s="2" t="inlineStr">
        <is>
          <t>Pokemon corporate figures</t>
        </is>
      </c>
      <c r="C8" s="4" t="inlineStr">
        <is>
          <t>https://corporate.pokemon.co.jp/en/aboutus/figures/</t>
        </is>
      </c>
      <c r="D8" s="2" t="inlineStr">
        <is>
          <t>March 2026</t>
        </is>
      </c>
      <c r="E8" s="2" t="inlineStr">
        <is>
          <t>Publisher statistics</t>
        </is>
      </c>
      <c r="F8" s="2" t="inlineStr">
        <is>
          <t>Lifetime production, not annual sales; animated counters absent in plain HTML; values available in indexed official page</t>
        </is>
      </c>
      <c r="G8" s="2" t="inlineStr">
        <is>
          <t>2026-10-13</t>
        </is>
      </c>
    </row>
    <row r="9" ht="60" customHeight="1">
      <c r="A9" s="2" t="inlineStr">
        <is>
          <t>S08</t>
        </is>
      </c>
      <c r="B9" s="2" t="inlineStr">
        <is>
          <t>Pokemon TCG business</t>
        </is>
      </c>
      <c r="C9" s="4" t="inlineStr">
        <is>
          <t>https://corporate.pokemon.co.jp/en/business/cardgame/</t>
        </is>
      </c>
      <c r="D9" s="2" t="inlineStr">
        <is>
          <t>May 2026</t>
        </is>
      </c>
      <c r="E9" s="2" t="inlineStr">
        <is>
          <t>Publisher operational claims</t>
        </is>
      </c>
      <c r="F9" s="2" t="inlineStr">
        <is>
          <t>Japan only; event count is not unique players</t>
        </is>
      </c>
      <c r="G9" s="2" t="inlineStr">
        <is>
          <t>2026-10-13</t>
        </is>
      </c>
    </row>
    <row r="10" ht="60" customHeight="1">
      <c r="A10" s="2" t="inlineStr">
        <is>
          <t>S09</t>
        </is>
      </c>
      <c r="B10" s="2" t="inlineStr">
        <is>
          <t>Collectr 2025 recap</t>
        </is>
      </c>
      <c r="C10" s="4" t="inlineStr">
        <is>
          <t>https://www.linkedin.com/posts/collectr-inc_2025-was-a-year-were-still-processing-at-activity-7413235631927001088-Joi6</t>
        </is>
      </c>
      <c r="D10" s="2" t="inlineStr">
        <is>
          <t>2025 / year end</t>
        </is>
      </c>
      <c r="E10" s="2" t="inlineStr">
        <is>
          <t>Company self-report</t>
        </is>
      </c>
      <c r="F10" s="2" t="inlineStr">
        <is>
          <t>Users are not MAU; app uses are not retained users; partner GMV not app revenue</t>
        </is>
      </c>
      <c r="G10" s="2" t="inlineStr">
        <is>
          <t>2026-10-13</t>
        </is>
      </c>
    </row>
    <row r="11" ht="60" customHeight="1">
      <c r="A11" s="2" t="inlineStr">
        <is>
          <t>S10</t>
        </is>
      </c>
      <c r="B11" s="2" t="inlineStr">
        <is>
          <t>Collectr current product</t>
        </is>
      </c>
      <c r="C11" s="4" t="inlineStr">
        <is>
          <t>https://www.getcollectr.com/</t>
        </is>
      </c>
      <c r="D11" s="2" t="inlineStr">
        <is>
          <t>Observed October 2026</t>
        </is>
      </c>
      <c r="E11" s="2" t="inlineStr">
        <is>
          <t>Product marketing</t>
        </is>
      </c>
      <c r="F11" s="2" t="inlineStr">
        <is>
          <t>User claim has no independently audited active-user definition</t>
        </is>
      </c>
      <c r="G11" s="2" t="inlineStr">
        <is>
          <t>2026-10-13</t>
        </is>
      </c>
    </row>
    <row r="12" ht="60" customHeight="1">
      <c r="A12" s="2" t="inlineStr">
        <is>
          <t>S11</t>
        </is>
      </c>
      <c r="B12" s="2" t="inlineStr">
        <is>
          <t>Collectr PRO</t>
        </is>
      </c>
      <c r="C12" s="4" t="inlineStr">
        <is>
          <t>https://www.getcollectr.com/pro.html</t>
        </is>
      </c>
      <c r="D12" s="2" t="inlineStr">
        <is>
          <t>Observed October 2026</t>
        </is>
      </c>
      <c r="E12" s="2" t="inlineStr">
        <is>
          <t>Advertised subscription</t>
        </is>
      </c>
      <c r="F12" s="2" t="inlineStr">
        <is>
          <t>USD; regional and promotional prices may differ</t>
        </is>
      </c>
      <c r="G12" s="2" t="inlineStr">
        <is>
          <t>2026-10-13</t>
        </is>
      </c>
    </row>
    <row r="13" ht="60" customHeight="1">
      <c r="A13" s="2" t="inlineStr">
        <is>
          <t>S12</t>
        </is>
      </c>
      <c r="B13" s="2" t="inlineStr">
        <is>
          <t>Cardmarket eighteenth anniversary</t>
        </is>
      </c>
      <c r="C13" s="4" t="inlineStr">
        <is>
          <t>https://www.linkedin.com/posts/cardmarket-com_tradingcardgames-activity-7328071468594995200-smOn</t>
        </is>
      </c>
      <c r="D13" s="2" t="inlineStr">
        <is>
          <t>2025 anniversary</t>
        </is>
      </c>
      <c r="E13" s="2" t="inlineStr">
        <is>
          <t>Company self-report</t>
        </is>
      </c>
      <c r="F13" s="2" t="inlineStr">
        <is>
          <t>Lifetime items and active offers are not annual GMV or unique buyers</t>
        </is>
      </c>
      <c r="G13" s="2" t="inlineStr">
        <is>
          <t>2026-10-13</t>
        </is>
      </c>
    </row>
    <row r="14" ht="60" customHeight="1">
      <c r="A14" s="2" t="inlineStr">
        <is>
          <t>S13</t>
        </is>
      </c>
      <c r="B14" s="2" t="inlineStr">
        <is>
          <t>GemRate September recap</t>
        </is>
      </c>
      <c r="C14" s="4" t="inlineStr">
        <is>
          <t>https://www.gemrate.com/september-2026-recap</t>
        </is>
      </c>
      <c r="D14" s="2" t="inlineStr">
        <is>
          <t>September 2026</t>
        </is>
      </c>
      <c r="E14" s="2" t="inlineStr">
        <is>
          <t>Population report aggregation</t>
        </is>
      </c>
      <c r="F14" s="2" t="inlineStr">
        <is>
          <t>Excludes Beckett; includes approximately 60k CGC AUTH additions; not unique cards or sales</t>
        </is>
      </c>
      <c r="G14" s="2" t="inlineStr">
        <is>
          <t>2026-10-13</t>
        </is>
      </c>
    </row>
    <row r="15" ht="60" customHeight="1">
      <c r="A15" s="2" t="inlineStr">
        <is>
          <t>S14</t>
        </is>
      </c>
      <c r="B15" s="2" t="inlineStr">
        <is>
          <t>GemRate methodology</t>
        </is>
      </c>
      <c r="C15" s="4" t="inlineStr">
        <is>
          <t>https://www.gemrate.com/faq</t>
        </is>
      </c>
      <c r="D15" s="2" t="inlineStr">
        <is>
          <t>Observed October 2026</t>
        </is>
      </c>
      <c r="E15" s="2" t="inlineStr">
        <is>
          <t>Methodology disclosure</t>
        </is>
      </c>
      <c r="F15" s="2" t="inlineStr">
        <is>
          <t>Snapshot changes can reflect recategorisation and corrections</t>
        </is>
      </c>
      <c r="G15" s="2" t="inlineStr">
        <is>
          <t>2026-10-13</t>
        </is>
      </c>
    </row>
    <row r="16" ht="60" customHeight="1">
      <c r="A16" s="2" t="inlineStr">
        <is>
          <t>S15</t>
        </is>
      </c>
      <c r="B16" s="2" t="inlineStr">
        <is>
          <t>Funko FY 2025</t>
        </is>
      </c>
      <c r="C16" s="4" t="inlineStr">
        <is>
          <t>https://investor.funko.com/news-and-events/press-releases/Press-Releases/2026/Funko-Reports-2025-Fourth-Quarter-Full-Year-Financial-Results-Provides-Full-Year-Outlook-for-2026/default.aspx</t>
        </is>
      </c>
      <c r="D16" s="2" t="inlineStr">
        <is>
          <t>2025</t>
        </is>
      </c>
      <c r="E16" s="2" t="inlineStr">
        <is>
          <t>Issuer financial disclosure</t>
        </is>
      </c>
      <c r="F16" s="2" t="inlineStr">
        <is>
          <t>Company includes multiple brands; not global action figure market</t>
        </is>
      </c>
      <c r="G16" s="2" t="inlineStr">
        <is>
          <t>2026-10-13</t>
        </is>
      </c>
    </row>
    <row r="17" ht="60" customHeight="1">
      <c r="A17" s="2" t="inlineStr">
        <is>
          <t>S16</t>
        </is>
      </c>
      <c r="B17" s="2" t="inlineStr">
        <is>
          <t>Funko Q2 2026</t>
        </is>
      </c>
      <c r="C17" s="4" t="inlineStr">
        <is>
          <t>https://investor.funko.com/news-and-events/press-releases/Press-Releases/2026/Funko-Reports-Strong-Second-Quarter-2026-Financial-Results-Reiterates-Full-Year-Net-Sales-Outlook-and-Raises-Adjusted-EBITDA-Guidance/default.aspx</t>
        </is>
      </c>
      <c r="D17" s="2" t="inlineStr">
        <is>
          <t>Q2 / H1 2026</t>
        </is>
      </c>
      <c r="E17" s="2" t="inlineStr">
        <is>
          <t>Issuer financial disclosure</t>
        </is>
      </c>
      <c r="F17" s="2" t="inlineStr">
        <is>
          <t>Profit includes tariff benefit; Core Collectibles is an issuer category</t>
        </is>
      </c>
      <c r="G17" s="2" t="inlineStr">
        <is>
          <t>2026-10-13</t>
        </is>
      </c>
    </row>
    <row r="18" ht="60" customHeight="1">
      <c r="A18" s="2" t="inlineStr">
        <is>
          <t>S17</t>
        </is>
      </c>
      <c r="B18" s="2" t="inlineStr">
        <is>
          <t>Pop Mart annual results</t>
        </is>
      </c>
      <c r="C18" s="4" t="inlineStr">
        <is>
          <t>https://www1.hkexnews.hk/listedco/listconews/sehk/2026/0325/2026032500285.pdf</t>
        </is>
      </c>
      <c r="D18" s="2" t="inlineStr">
        <is>
          <t>2025</t>
        </is>
      </c>
      <c r="E18" s="2" t="inlineStr">
        <is>
          <t>Audited issuer results</t>
        </is>
      </c>
      <c r="F18" s="2" t="inlineStr">
        <is>
          <t>RMB; broad pop toys incl plush, figures and other products; tables on printed pages 27 and 34</t>
        </is>
      </c>
      <c r="G18" s="2" t="inlineStr">
        <is>
          <t>2026-10-13</t>
        </is>
      </c>
    </row>
    <row r="19" ht="60" customHeight="1">
      <c r="A19" s="2" t="inlineStr">
        <is>
          <t>S18</t>
        </is>
      </c>
      <c r="B19" s="2" t="inlineStr">
        <is>
          <t>Pop Mart interim results</t>
        </is>
      </c>
      <c r="C19" s="4" t="inlineStr">
        <is>
          <t>https://www1.hkexnews.hk/listedco/listconews/sehk/2026/0820/2026082000353.pdf</t>
        </is>
      </c>
      <c r="D19" s="2" t="inlineStr">
        <is>
          <t>H1 2026</t>
        </is>
      </c>
      <c r="E19" s="2" t="inlineStr">
        <is>
          <t>Unaudited issuer results</t>
        </is>
      </c>
      <c r="F19" s="2" t="inlineStr">
        <is>
          <t>RMB; Overseas excludes mainland China, Hong Kong, Macau and Taiwan; Europe grouped with other regions</t>
        </is>
      </c>
      <c r="G19" s="2" t="inlineStr">
        <is>
          <t>2026-10-13</t>
        </is>
      </c>
    </row>
    <row r="20" ht="60" customHeight="1">
      <c r="A20" s="2" t="inlineStr">
        <is>
          <t>S19</t>
        </is>
      </c>
      <c r="B20" s="2" t="inlineStr">
        <is>
          <t>ABRIN Brazilian toy retail</t>
        </is>
      </c>
      <c r="C20" s="4" t="inlineStr">
        <is>
          <t>https://abrin.com.br/industria-de-brinquedos-supera-10-bilhoes/</t>
        </is>
      </c>
      <c r="D20" s="2" t="inlineStr">
        <is>
          <t>2025</t>
        </is>
      </c>
      <c r="E20" s="2" t="inlineStr">
        <is>
          <t>Trade fair statement citing Abrinq yearbook</t>
        </is>
      </c>
      <c r="F20" s="2" t="inlineStr">
        <is>
          <t>BRL; whole toy retail, not Brazilian collectibles TAM</t>
        </is>
      </c>
      <c r="G20" s="2" t="inlineStr">
        <is>
          <t>2026-10-13</t>
        </is>
      </c>
    </row>
    <row r="21" ht="60" customHeight="1">
      <c r="A21" s="2" t="inlineStr">
        <is>
          <t>S20</t>
        </is>
      </c>
      <c r="B21" s="2" t="inlineStr">
        <is>
          <t>US Mint annual report</t>
        </is>
      </c>
      <c r="C21" s="4" t="inlineStr">
        <is>
          <t>https://www.usmint.gov/content/dam/usmint/reports/2025-annual-report.pdf</t>
        </is>
      </c>
      <c r="D21" s="2" t="inlineStr">
        <is>
          <t>FY 2025</t>
        </is>
      </c>
      <c r="E21" s="2" t="inlineStr">
        <is>
          <t>Official report indexed extract</t>
        </is>
      </c>
      <c r="F21" s="2" t="inlineStr">
        <is>
          <t>Fiscal year; one issuer primary sales only; full PDF retrieval unavailable at review</t>
        </is>
      </c>
      <c r="G21" s="2" t="inlineStr">
        <is>
          <t>2026-10-13</t>
        </is>
      </c>
    </row>
    <row r="22" ht="60" customHeight="1">
      <c r="A22" s="2" t="inlineStr">
        <is>
          <t>S21</t>
        </is>
      </c>
      <c r="B22" s="2" t="inlineStr">
        <is>
          <t>Heritage annual auction results</t>
        </is>
      </c>
      <c r="C22" s="4" t="inlineStr">
        <is>
          <t>https://www.ha.com/heritage-auctions-press-releases-and-news/heritage-auctions-closes-2025-above-2.15-billion-for-its-fifth-consecutive-annual-sales-record.s?releaseId=5383</t>
        </is>
      </c>
      <c r="D22" s="2" t="inlineStr">
        <is>
          <t>2025</t>
        </is>
      </c>
      <c r="E22" s="2" t="inlineStr">
        <is>
          <t>Auction house reported sales</t>
        </is>
      </c>
      <c r="F22" s="2" t="inlineStr">
        <is>
          <t>Categories nested within company total; sales not auction-house revenue; basis follows house definition</t>
        </is>
      </c>
      <c r="G22" s="2" t="inlineStr">
        <is>
          <t>2026-10-13</t>
        </is>
      </c>
    </row>
    <row r="23" ht="60" customHeight="1">
      <c r="A23" s="2" t="inlineStr">
        <is>
          <t>S22</t>
        </is>
      </c>
      <c r="B23" s="2" t="inlineStr">
        <is>
          <t>Stacks Bowers annual auctions</t>
        </is>
      </c>
      <c r="C23" s="4" t="inlineStr">
        <is>
          <t>https://stacksbowers.com/sbpressreleases/stacks-bowers-galleries-announces-record-shattering-325-million-year-of-auctions-in-2025/</t>
        </is>
      </c>
      <c r="D23" s="2" t="inlineStr">
        <is>
          <t>2025</t>
        </is>
      </c>
      <c r="E23" s="2" t="inlineStr">
        <is>
          <t>Auction house reported sales</t>
        </is>
      </c>
      <c r="F23" s="2" t="inlineStr">
        <is>
          <t>Public auctions; can include resale of previously sold objects; not global numismatics TAM</t>
        </is>
      </c>
      <c r="G23" s="2" t="inlineStr">
        <is>
          <t>2026-10-13</t>
        </is>
      </c>
    </row>
    <row r="24" ht="60" customHeight="1">
      <c r="A24" s="2" t="inlineStr">
        <is>
          <t>S23</t>
        </is>
      </c>
      <c r="B24" s="2" t="inlineStr">
        <is>
          <t>Art Basel UBS report summary</t>
        </is>
      </c>
      <c r="C24" s="4" t="inlineStr">
        <is>
          <t>https://www.artbasel.com/stories/the-art-basel-and-ubs-global-art-market-report-2026</t>
        </is>
      </c>
      <c r="D24" s="2" t="inlineStr">
        <is>
          <t>2025</t>
        </is>
      </c>
      <c r="E24" s="2" t="inlineStr">
        <is>
          <t>Arts Economics market estimate</t>
        </is>
      </c>
      <c r="F24" s="2" t="inlineStr">
        <is>
          <t>Art and antiques covered by report; not all vintage goods; country totals nested in world total</t>
        </is>
      </c>
      <c r="G24" s="2" t="inlineStr">
        <is>
          <t>2026-10-13</t>
        </is>
      </c>
    </row>
    <row r="25" ht="60" customHeight="1">
      <c r="A25" s="2" t="inlineStr">
        <is>
          <t>S24</t>
        </is>
      </c>
      <c r="B25" s="2" t="inlineStr">
        <is>
          <t>UBS US report summary</t>
        </is>
      </c>
      <c r="C25" s="4" t="inlineStr">
        <is>
          <t>https://www.ubs.com/us/en/wealth-management/who-we-serve/ultra-high-net-worth-investors/art-advisory/art-basel-art-market-report.html</t>
        </is>
      </c>
      <c r="D25" s="2" t="inlineStr">
        <is>
          <t>2025</t>
        </is>
      </c>
      <c r="E25" s="2" t="inlineStr">
        <is>
          <t>Same Arts Economics report</t>
        </is>
      </c>
      <c r="F25" s="2" t="inlineStr">
        <is>
          <t>Not an independent second estimate</t>
        </is>
      </c>
      <c r="G25" s="2" t="inlineStr">
        <is>
          <t>2026-10-13</t>
        </is>
      </c>
    </row>
    <row r="26" ht="60" customHeight="1">
      <c r="A26" s="2" t="inlineStr">
        <is>
          <t>S25</t>
        </is>
      </c>
      <c r="B26" s="2" t="inlineStr">
        <is>
          <t>Catawiki FY24 results</t>
        </is>
      </c>
      <c r="C26" s="4" t="inlineStr">
        <is>
          <t>https://www.catawiki.com/en/press/1860-catawiki-crosses-100m-revenue-mark</t>
        </is>
      </c>
      <c r="D26" s="2" t="inlineStr">
        <is>
          <t>2024</t>
        </is>
      </c>
      <c r="E26" s="2" t="inlineStr">
        <is>
          <t>Company reported results</t>
        </is>
      </c>
      <c r="F26" s="2" t="inlineStr">
        <is>
          <t>Multiple categories; returning-buyer sales share is not a cohort retention rate</t>
        </is>
      </c>
      <c r="G26" s="2" t="inlineStr">
        <is>
          <t>2026-10-13</t>
        </is>
      </c>
    </row>
    <row r="27" ht="60" customHeight="1">
      <c r="A27" s="2" t="inlineStr">
        <is>
          <t>S26</t>
        </is>
      </c>
      <c r="B27" s="2" t="inlineStr">
        <is>
          <t>Whatnot seller information</t>
        </is>
      </c>
      <c r="C27" s="4" t="inlineStr">
        <is>
          <t>https://www.whatnot.com/seller</t>
        </is>
      </c>
      <c r="D27" s="2" t="inlineStr">
        <is>
          <t>2025 / current undated claim</t>
        </is>
      </c>
      <c r="E27" s="2" t="inlineStr">
        <is>
          <t>Company marketing</t>
        </is>
      </c>
      <c r="F27" s="2" t="inlineStr">
        <is>
          <t>All platform categories; monthly purchase claim denominator and cohort method unspecified</t>
        </is>
      </c>
      <c r="G27" s="2" t="inlineStr">
        <is>
          <t>2026-10-13</t>
        </is>
      </c>
    </row>
    <row r="28" ht="60" customHeight="1">
      <c r="A28" s="2" t="inlineStr">
        <is>
          <t>S27</t>
        </is>
      </c>
      <c r="B28" s="2" t="inlineStr">
        <is>
          <t>Numista homepage</t>
        </is>
      </c>
      <c r="C28" s="4" t="inlineStr">
        <is>
          <t>https://en.numista.com/</t>
        </is>
      </c>
      <c r="D28" s="2" t="inlineStr">
        <is>
          <t>Observed 13 October 2026</t>
        </is>
      </c>
      <c r="E28" s="2" t="inlineStr">
        <is>
          <t>Live platform counters</t>
        </is>
      </c>
      <c r="F28" s="2" t="inlineStr">
        <is>
          <t>Types not owned objects; reviews not unique monthly buyers; changes daily</t>
        </is>
      </c>
      <c r="G28" s="2" t="inlineStr">
        <is>
          <t>2026-10-13</t>
        </is>
      </c>
    </row>
    <row r="29" ht="60" customHeight="1">
      <c r="A29" s="2" t="inlineStr">
        <is>
          <t>S28</t>
        </is>
      </c>
      <c r="B29" s="2" t="inlineStr">
        <is>
          <t>hobbyDB Pop Price Guide plans</t>
        </is>
      </c>
      <c r="C29" s="4" t="inlineStr">
        <is>
          <t>https://www.hobbydb.com/marketplaces/poppriceguide/subs/pop-price-guide-landing-page</t>
        </is>
      </c>
      <c r="D29" s="2" t="inlineStr">
        <is>
          <t>Observed October 2026</t>
        </is>
      </c>
      <c r="E29" s="2" t="inlineStr">
        <is>
          <t>Product offering</t>
        </is>
      </c>
      <c r="F29" s="2" t="inlineStr">
        <is>
          <t>USD; annual plan price, not willingness to pay in Brazil</t>
        </is>
      </c>
      <c r="G29" s="2" t="inlineStr">
        <is>
          <t>2026-10-13</t>
        </is>
      </c>
    </row>
    <row r="30" ht="60" customHeight="1">
      <c r="A30" s="2" t="inlineStr">
        <is>
          <t>S29</t>
        </is>
      </c>
      <c r="B30" s="2" t="inlineStr">
        <is>
          <t>PriceCharting subscription</t>
        </is>
      </c>
      <c r="C30" s="4" t="inlineStr">
        <is>
          <t>https://www.pricecharting.com/pricecharting-pro</t>
        </is>
      </c>
      <c r="D30" s="2" t="inlineStr">
        <is>
          <t>Observed October 2026</t>
        </is>
      </c>
      <c r="E30" s="2" t="inlineStr">
        <is>
          <t>Product offering</t>
        </is>
      </c>
      <c r="F30" s="2" t="inlineStr">
        <is>
          <t>USD; Legendary tier is different from consumer subscription</t>
        </is>
      </c>
      <c r="G30" s="2" t="inlineStr">
        <is>
          <t>2026-10-13</t>
        </is>
      </c>
    </row>
    <row r="31" ht="60" customHeight="1">
      <c r="A31" s="2" t="inlineStr">
        <is>
          <t>S30</t>
        </is>
      </c>
      <c r="B31" s="2" t="inlineStr">
        <is>
          <t>PriceCharting API documentation</t>
        </is>
      </c>
      <c r="C31" s="4" t="inlineStr">
        <is>
          <t>https://www.pricecharting.com/api-documentation</t>
        </is>
      </c>
      <c r="D31" s="2" t="inlineStr">
        <is>
          <t>Observed October 2026</t>
        </is>
      </c>
      <c r="E31" s="2" t="inlineStr">
        <is>
          <t>Technical documentation</t>
        </is>
      </c>
      <c r="F31" s="2" t="inlineStr">
        <is>
          <t>Current price API excludes historical prices and sales; commercial rights require agreement</t>
        </is>
      </c>
      <c r="G31" s="2" t="inlineStr">
        <is>
          <t>2026-10-13</t>
        </is>
      </c>
    </row>
    <row r="32" ht="60" customHeight="1">
      <c r="A32" s="2" t="inlineStr">
        <is>
          <t>S31</t>
        </is>
      </c>
      <c r="B32" s="2" t="inlineStr">
        <is>
          <t>Cardmarket API access</t>
        </is>
      </c>
      <c r="C32" s="4" t="inlineStr">
        <is>
          <t>https://help.cardmarket.com/en/cardmarket-api</t>
        </is>
      </c>
      <c r="D32" s="2" t="inlineStr">
        <is>
          <t>Observed October 2026</t>
        </is>
      </c>
      <c r="E32" s="2" t="inlineStr">
        <is>
          <t>Platform policy</t>
        </is>
      </c>
      <c r="F32" s="2" t="inlineStr">
        <is>
          <t>New applications not accepted; no assumed data access</t>
        </is>
      </c>
      <c r="G32" s="2" t="inlineStr">
        <is>
          <t>2026-10-13</t>
        </is>
      </c>
    </row>
    <row r="33" ht="60" customHeight="1">
      <c r="A33" s="2" t="inlineStr">
        <is>
          <t>S32</t>
        </is>
      </c>
      <c r="B33" s="2" t="inlineStr">
        <is>
          <t>CollX FAQ</t>
        </is>
      </c>
      <c r="C33" s="4" t="inlineStr">
        <is>
          <t>https://www.collx.app/faq</t>
        </is>
      </c>
      <c r="D33" s="2" t="inlineStr">
        <is>
          <t>Observed October 2026</t>
        </is>
      </c>
      <c r="E33" s="2" t="inlineStr">
        <is>
          <t>Product and pricing methodology</t>
        </is>
      </c>
      <c r="F33" s="2" t="inlineStr">
        <is>
          <t>Does not assess card condition automatically; fallback estimates need distinction</t>
        </is>
      </c>
      <c r="G33" s="2" t="inlineStr">
        <is>
          <t>2026-10-13</t>
        </is>
      </c>
    </row>
    <row r="34" ht="60" customHeight="1">
      <c r="A34" s="2" t="inlineStr">
        <is>
          <t>S33</t>
        </is>
      </c>
      <c r="B34" s="2" t="inlineStr">
        <is>
          <t>hobbyDB pricing methodology</t>
        </is>
      </c>
      <c r="C34" s="4" t="inlineStr">
        <is>
          <t>https://help.hobbydb.com/support/solutions/articles/36000247575</t>
        </is>
      </c>
      <c r="D34" s="2" t="inlineStr">
        <is>
          <t>Observed October 2026</t>
        </is>
      </c>
      <c r="E34" s="2" t="inlineStr">
        <is>
          <t>Product methodology</t>
        </is>
      </c>
      <c r="F34" s="2" t="inlineStr">
        <is>
          <t>Completed sales and unverifiable references are treated differently</t>
        </is>
      </c>
      <c r="G34" s="2" t="inlineStr">
        <is>
          <t>2026-10-13</t>
        </is>
      </c>
    </row>
    <row r="35" ht="60" customHeight="1">
      <c r="A35" s="2" t="inlineStr">
        <is>
          <t>S34</t>
        </is>
      </c>
      <c r="B35" s="2" t="inlineStr">
        <is>
          <t>Collectibles Insurance Services</t>
        </is>
      </c>
      <c r="C35" s="4" t="inlineStr">
        <is>
          <t>https://collectinsure.com/</t>
        </is>
      </c>
      <c r="D35" s="2" t="inlineStr">
        <is>
          <t>Observed October 2026</t>
        </is>
      </c>
      <c r="E35" s="2" t="inlineStr">
        <is>
          <t>US insurer/intermediary product marketing</t>
        </is>
      </c>
      <c r="F35" s="2" t="inlineStr">
        <is>
          <t>Territory and policy restrictions apply; different category pages contain inconsistent dealer deductibles</t>
        </is>
      </c>
      <c r="G35" s="2" t="inlineStr">
        <is>
          <t>2026-10-13</t>
        </is>
      </c>
    </row>
    <row r="36" ht="60" customHeight="1">
      <c r="A36" s="2" t="inlineStr">
        <is>
          <t>S35</t>
        </is>
      </c>
      <c r="B36" s="2" t="inlineStr">
        <is>
          <t>CIS categories and exclusions</t>
        </is>
      </c>
      <c r="C36" s="4" t="inlineStr">
        <is>
          <t>https://collectinsure.com/what-we-insure/</t>
        </is>
      </c>
      <c r="D36" s="2" t="inlineStr">
        <is>
          <t>Observed October 2026</t>
        </is>
      </c>
      <c r="E36" s="2" t="inlineStr">
        <is>
          <t>US insurance product terms summary</t>
        </is>
      </c>
      <c r="F36" s="2" t="inlineStr">
        <is>
          <t>Not full policy; gold/platinum handling needs separate confirmation</t>
        </is>
      </c>
      <c r="G36" s="2" t="inlineStr">
        <is>
          <t>2026-10-13</t>
        </is>
      </c>
    </row>
    <row r="37" ht="60" customHeight="1">
      <c r="A37" s="2" t="inlineStr">
        <is>
          <t>S36</t>
        </is>
      </c>
      <c r="B37" s="2" t="inlineStr">
        <is>
          <t>CIS Pokemon insurance</t>
        </is>
      </c>
      <c r="C37" s="4" t="inlineStr">
        <is>
          <t>https://collectinsure.com/pokemon-insurance/</t>
        </is>
      </c>
      <c r="D37" s="2" t="inlineStr">
        <is>
          <t>Observed October 2026</t>
        </is>
      </c>
      <c r="E37" s="2" t="inlineStr">
        <is>
          <t>US category product</t>
        </is>
      </c>
      <c r="F37" s="2" t="inlineStr">
        <is>
          <t>US product availability is not availability for Brazil or EU residents</t>
        </is>
      </c>
      <c r="G37" s="2" t="inlineStr">
        <is>
          <t>2026-10-13</t>
        </is>
      </c>
    </row>
    <row r="38" ht="60" customHeight="1">
      <c r="A38" s="2" t="inlineStr">
        <is>
          <t>S37</t>
        </is>
      </c>
      <c r="B38" s="2" t="inlineStr">
        <is>
          <t>Howden Portugal art and collections</t>
        </is>
      </c>
      <c r="C38" s="4" t="inlineStr">
        <is>
          <t>https://www.howdengroup.com/pt-pt/cover/fine-art-insurance</t>
        </is>
      </c>
      <c r="D38" s="2" t="inlineStr">
        <is>
          <t>Observed October 2026</t>
        </is>
      </c>
      <c r="E38" s="2" t="inlineStr">
        <is>
          <t>Broker product description</t>
        </is>
      </c>
      <c r="F38" s="2" t="inlineStr">
        <is>
          <t>Custom placement; explicit coin/antique scope does not confirm TCG acceptance</t>
        </is>
      </c>
      <c r="G38" s="2" t="inlineStr">
        <is>
          <t>2026-10-13</t>
        </is>
      </c>
    </row>
    <row r="39" ht="60" customHeight="1">
      <c r="A39" s="2" t="inlineStr">
        <is>
          <t>S38</t>
        </is>
      </c>
      <c r="B39" s="2" t="inlineStr">
        <is>
          <t>Porto residential wording</t>
        </is>
      </c>
      <c r="C39" s="4" t="inlineStr">
        <is>
          <t>https://www.portoseguro.com.br/content/dam/documentos/condicoes_gerais/seguro_residencia/habitual/cg-resid-veraneio-premium-private-dez-25.pdf</t>
        </is>
      </c>
      <c r="D39" s="2" t="inlineStr">
        <is>
          <t>Effective 5 December 2025</t>
        </is>
      </c>
      <c r="E39" s="2" t="inlineStr">
        <is>
          <t>Published policy wording</t>
        </is>
      </c>
      <c r="F39" s="2" t="inlineStr">
        <is>
          <t>Printed page 72 / PDF page 73: art extension excludes antiques, numismatics and archaeological objects</t>
        </is>
      </c>
      <c r="G39" s="2" t="inlineStr">
        <is>
          <t>2026-10-13</t>
        </is>
      </c>
    </row>
    <row r="40" ht="60" customHeight="1">
      <c r="A40" s="2" t="inlineStr">
        <is>
          <t>S39</t>
        </is>
      </c>
      <c r="B40" s="2" t="inlineStr">
        <is>
          <t>Hiscox UK existing collections customers</t>
        </is>
      </c>
      <c r="C40" s="4" t="inlineStr">
        <is>
          <t>https://www.hiscox.co.uk/existing-customers/collections-insurance</t>
        </is>
      </c>
      <c r="D40" s="2" t="inlineStr">
        <is>
          <t>Observed October 2026</t>
        </is>
      </c>
      <c r="E40" s="2" t="inlineStr">
        <is>
          <t>Provider availability notice</t>
        </is>
      </c>
      <c r="F40" s="2" t="inlineStr">
        <is>
          <t>Standalone collections no longer offered to new customers; home options may remain</t>
        </is>
      </c>
      <c r="G40" s="2" t="inlineStr">
        <is>
          <t>2026-10-13</t>
        </is>
      </c>
    </row>
    <row r="41" ht="60" customHeight="1">
      <c r="A41" s="2" t="inlineStr">
        <is>
          <t>S40</t>
        </is>
      </c>
      <c r="B41" s="2" t="inlineStr">
        <is>
          <t>European Commission cultural imports</t>
        </is>
      </c>
      <c r="C41" s="4" t="inlineStr">
        <is>
          <t>https://trade.ec.europa.eu/access-to-markets/en/news/eu-introduces-new-import-controls-cultural-goods</t>
        </is>
      </c>
      <c r="D41" s="2" t="inlineStr">
        <is>
          <t>Applicable since 28 June 2025</t>
        </is>
      </c>
      <c r="E41" s="2" t="inlineStr">
        <is>
          <t>Official regulatory guidance</t>
        </is>
      </c>
      <c r="F41" s="2" t="inlineStr">
        <is>
          <t>Ancient/archaeological objects require provenance and category-specific checks</t>
        </is>
      </c>
      <c r="G41" s="2" t="inlineStr">
        <is>
          <t>2026-10-13</t>
        </is>
      </c>
    </row>
    <row r="42" ht="60" customHeight="1">
      <c r="A42" s="2" t="inlineStr">
        <is>
          <t>S41</t>
        </is>
      </c>
      <c r="B42" s="2" t="inlineStr">
        <is>
          <t>IPHAN CNART</t>
        </is>
      </c>
      <c r="C42" s="4" t="inlineStr">
        <is>
          <t>https://cnart.iphan.gov.br/cnart/</t>
        </is>
      </c>
      <c r="D42" s="2" t="inlineStr">
        <is>
          <t>Observed October 2026</t>
        </is>
      </c>
      <c r="E42" s="2" t="inlineStr">
        <is>
          <t>Official guidance</t>
        </is>
      </c>
      <c r="F42" s="2" t="inlineStr">
        <is>
          <t>Antique/art dealer registration; some objects require registration; not a rule for every modern collectible</t>
        </is>
      </c>
      <c r="G42" s="2" t="inlineStr">
        <is>
          <t>2026-10-13</t>
        </is>
      </c>
    </row>
    <row r="43" ht="60" customHeight="1">
      <c r="A43" s="2" t="inlineStr">
        <is>
          <t>S42</t>
        </is>
      </c>
      <c r="B43" s="2" t="inlineStr">
        <is>
          <t>IPHAN cultural exports</t>
        </is>
      </c>
      <c r="C43" s="4" t="inlineStr">
        <is>
          <t>https://www.gov.br/iphan/pt-br/servicos/saida-de-bens-culturais-do-brasil</t>
        </is>
      </c>
      <c r="D43" s="2" t="inlineStr">
        <is>
          <t>Observed October 2026</t>
        </is>
      </c>
      <c r="E43" s="2" t="inlineStr">
        <is>
          <t>Official guidance</t>
        </is>
      </c>
      <c r="F43" s="2" t="inlineStr">
        <is>
          <t>Category and historical-date restrictions apply</t>
        </is>
      </c>
      <c r="G43" s="2" t="inlineStr">
        <is>
          <t>2026-10-13</t>
        </is>
      </c>
    </row>
    <row r="44" ht="60" customHeight="1">
      <c r="A44" s="2" t="inlineStr">
        <is>
          <t>S43</t>
        </is>
      </c>
      <c r="B44" s="2" t="inlineStr">
        <is>
          <t>eBay card technology results</t>
        </is>
      </c>
      <c r="C44" s="4" t="inlineStr">
        <is>
          <t>https://www.ebayinc.com/stories/news/ebay-inc-reports-fourth-quarter-and-full-year-2025-results/</t>
        </is>
      </c>
      <c r="D44" s="2" t="inlineStr">
        <is>
          <t>Q4 2025</t>
        </is>
      </c>
      <c r="E44" s="2" t="inlineStr">
        <is>
          <t>Issuer product disclosure</t>
        </is>
      </c>
      <c r="F44" s="2" t="inlineStr">
        <is>
          <t>Feature launch not evidence of Objais integration or access rights</t>
        </is>
      </c>
      <c r="G44" s="2" t="inlineStr">
        <is>
          <t>2026-10-13</t>
        </is>
      </c>
    </row>
    <row r="45" ht="60" customHeight="1">
      <c r="A45" s="2" t="inlineStr">
        <is>
          <t>S44</t>
        </is>
      </c>
      <c r="B45" s="2" t="inlineStr">
        <is>
          <t>eBay Q2 2026 card features</t>
        </is>
      </c>
      <c r="C45" s="4" t="inlineStr">
        <is>
          <t>https://www.ebayinc.com/stories/news/ebay-inc-reports-second-quarter-2026-results/</t>
        </is>
      </c>
      <c r="D45" s="2" t="inlineStr">
        <is>
          <t>Q2 2026</t>
        </is>
      </c>
      <c r="E45" s="2" t="inlineStr">
        <is>
          <t>Issuer product disclosure</t>
        </is>
      </c>
      <c r="F45" s="2" t="inlineStr">
        <is>
          <t>UK authenticity threshold and US grading apply to specific programs</t>
        </is>
      </c>
      <c r="G45" s="2" t="inlineStr">
        <is>
          <t>2026-10-13</t>
        </is>
      </c>
    </row>
    <row r="46" ht="60" customHeight="1">
      <c r="A46" s="2" t="inlineStr">
        <is>
          <t>S45</t>
        </is>
      </c>
      <c r="B46" s="2" t="inlineStr">
        <is>
          <t>eBay recollecting survey</t>
        </is>
      </c>
      <c r="C46" s="4" t="inlineStr">
        <is>
          <t>https://www.ebayinc.com/recommerce-report/</t>
        </is>
      </c>
      <c r="D46" s="2" t="inlineStr">
        <is>
          <t>2026</t>
        </is>
      </c>
      <c r="E46" s="2" t="inlineStr">
        <is>
          <t>Company commissioned survey</t>
        </is>
      </c>
      <c r="F46" s="2" t="inlineStr">
        <is>
          <t>Secondhand shopping generally; 10,523 shoppers and 1,707 sellers; not TCG purchase frequency</t>
        </is>
      </c>
      <c r="G46" s="2" t="inlineStr">
        <is>
          <t>2026-10-13</t>
        </is>
      </c>
    </row>
    <row r="47" ht="60" customHeight="1">
      <c r="A47" s="2" t="inlineStr">
        <is>
          <t>S46</t>
        </is>
      </c>
      <c r="B47" s="2" t="inlineStr">
        <is>
          <t>eBay Product Research</t>
        </is>
      </c>
      <c r="C47" s="4" t="inlineStr">
        <is>
          <t>https://www.ebay.co.uk/sellercentre/news/2024-june/product-research?targetgroup=B2C</t>
        </is>
      </c>
      <c r="D47" s="2" t="inlineStr">
        <is>
          <t>Observed October 2026</t>
        </is>
      </c>
      <c r="E47" s="2" t="inlineStr">
        <is>
          <t>Product documentation</t>
        </is>
      </c>
      <c r="F47" s="2" t="inlineStr">
        <is>
          <t>Research interface is not a redistribution licence or bulk data API</t>
        </is>
      </c>
      <c r="G47" s="2" t="inlineStr">
        <is>
          <t>2026-10-13</t>
        </is>
      </c>
    </row>
    <row r="48" ht="60" customHeight="1">
      <c r="A48" s="2" t="inlineStr">
        <is>
          <t>S47</t>
        </is>
      </c>
      <c r="B48" s="2" t="inlineStr">
        <is>
          <t>COPAG launch record</t>
        </is>
      </c>
      <c r="C48" s="4" t="inlineStr">
        <is>
          <t>https://copag.com.br/balancosocial/pdfs/clientes-e-fornecedores-distribuindo-sorrisos.pdf</t>
        </is>
      </c>
      <c r="D48" s="2" t="inlineStr">
        <is>
          <t>2023</t>
        </is>
      </c>
      <c r="E48" s="2" t="inlineStr">
        <is>
          <t>Publisher social report</t>
        </is>
      </c>
      <c r="F48" s="2" t="inlineStr">
        <is>
          <t>Historical Brazilian product cadence; not current revenue</t>
        </is>
      </c>
      <c r="G48" s="2" t="inlineStr">
        <is>
          <t>2026-10-13</t>
        </is>
      </c>
    </row>
    <row r="49" ht="60" customHeight="1">
      <c r="A49" s="2" t="inlineStr">
        <is>
          <t>S48</t>
        </is>
      </c>
      <c r="B49" s="2" t="inlineStr">
        <is>
          <t>INCM Portuguese numismatic program</t>
        </is>
      </c>
      <c r="C49" s="4" t="inlineStr">
        <is>
          <t>https://loja.incm.pt/pages/plano-numismatico-2025</t>
        </is>
      </c>
      <c r="D49" s="2" t="inlineStr">
        <is>
          <t>2025</t>
        </is>
      </c>
      <c r="E49" s="2" t="inlineStr">
        <is>
          <t>Official mint program</t>
        </is>
      </c>
      <c r="F49" s="2" t="inlineStr">
        <is>
          <t>Product cadence; no collectible-market revenue total</t>
        </is>
      </c>
      <c r="G49" s="2" t="inlineStr">
        <is>
          <t>2026-10-13</t>
        </is>
      </c>
    </row>
    <row r="50" ht="60" customHeight="1">
      <c r="A50" s="2" t="inlineStr">
        <is>
          <t>S49</t>
        </is>
      </c>
      <c r="B50" s="2" t="inlineStr">
        <is>
          <t>Ludex collection tools</t>
        </is>
      </c>
      <c r="C50" s="4" t="inlineStr">
        <is>
          <t>https://collections.ludex.com/</t>
        </is>
      </c>
      <c r="D50" s="2" t="inlineStr">
        <is>
          <t>Observed October 2026</t>
        </is>
      </c>
      <c r="E50" s="2" t="inlineStr">
        <is>
          <t>Product description</t>
        </is>
      </c>
      <c r="F50" s="2" t="inlineStr">
        <is>
          <t>Feature availability not independently performance-tested</t>
        </is>
      </c>
      <c r="G50" s="2" t="inlineStr">
        <is>
          <t>2026-10-13</t>
        </is>
      </c>
    </row>
    <row r="51" ht="60" customHeight="1">
      <c r="A51" s="2" t="inlineStr">
        <is>
          <t>S50</t>
        </is>
      </c>
      <c r="B51" s="2" t="inlineStr">
        <is>
          <t>CollX PRO</t>
        </is>
      </c>
      <c r="C51" s="4" t="inlineStr">
        <is>
          <t>https://www.collx.app/collx-pro</t>
        </is>
      </c>
      <c r="D51" s="2" t="inlineStr">
        <is>
          <t>Observed October 2026</t>
        </is>
      </c>
      <c r="E51" s="2" t="inlineStr">
        <is>
          <t>Product description</t>
        </is>
      </c>
      <c r="F51" s="2" t="inlineStr">
        <is>
          <t>Subscriptions and trading tools; price not settled here</t>
        </is>
      </c>
      <c r="G51" s="2" t="inlineStr">
        <is>
          <t>2026-10-13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</hyperlinks>
  <pageMargins left="0.75" right="0.75" top="1" bottom="1" header="0.5" footer="0.5"/>
  <tableParts count="1">
    <tablePart xmlns:r="http://schemas.openxmlformats.org/officeDocument/2006/relationships" r:id="rId5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85" customWidth="1" min="3" max="3"/>
    <col width="85" customWidth="1" min="4" max="4"/>
  </cols>
  <sheetData>
    <row r="1" ht="30" customHeight="1">
      <c r="A1" s="1" t="inlineStr">
        <is>
          <t>Area</t>
        </is>
      </c>
      <c r="B1" s="1" t="inlineStr">
        <is>
          <t>Unknown</t>
        </is>
      </c>
      <c r="C1" s="1" t="inlineStr">
        <is>
          <t>Evidence gap</t>
        </is>
      </c>
      <c r="D1" s="1" t="inlineStr">
        <is>
          <t>Implication</t>
        </is>
      </c>
    </row>
    <row r="2" ht="60" customHeight="1">
      <c r="A2" s="2" t="inlineStr">
        <is>
          <t>TAM</t>
        </is>
      </c>
      <c r="B2" s="2" t="inlineStr">
        <is>
          <t>Comparable total market</t>
        </is>
      </c>
      <c r="C2" s="2" t="inlineStr">
        <is>
          <t>No comparable global totals for physical TCG resale, figures, coins and antiques</t>
        </is>
      </c>
      <c r="D2" s="2" t="inlineStr">
        <is>
          <t>Primary retail and auction proxies cannot be summed</t>
        </is>
      </c>
    </row>
    <row r="3" ht="60" customHeight="1">
      <c r="A3" s="2" t="inlineStr">
        <is>
          <t>Brazil</t>
        </is>
      </c>
      <c r="B3" s="2" t="inlineStr">
        <is>
          <t>Collectible-specific spend</t>
        </is>
      </c>
      <c r="C3" s="2" t="inlineStr">
        <is>
          <t>No verified national TCG, figure, numismatic or antique TAM</t>
        </is>
      </c>
      <c r="D3" s="2" t="inlineStr">
        <is>
          <t>Interview distributors; purchase category panel access only if later authorised</t>
        </is>
      </c>
    </row>
    <row r="4" ht="60" customHeight="1">
      <c r="A4" s="2" t="inlineStr">
        <is>
          <t>Retention</t>
        </is>
      </c>
      <c r="B4" s="2" t="inlineStr">
        <is>
          <t>Objais collector cohorts</t>
        </is>
      </c>
      <c r="C4" s="2" t="inlineStr">
        <is>
          <t>No observed D30/D90 meaningful-action retention</t>
        </is>
      </c>
      <c r="D4" s="2" t="inlineStr">
        <is>
          <t>Compare collector workflows with estimate-only control</t>
        </is>
      </c>
    </row>
    <row r="5" ht="60" customHeight="1">
      <c r="A5" s="2" t="inlineStr">
        <is>
          <t>Insurance</t>
        </is>
      </c>
      <c r="B5" s="2" t="inlineStr">
        <is>
          <t>Brazil and EU acceptance</t>
        </is>
      </c>
      <c r="C5" s="2" t="inlineStr">
        <is>
          <t>No confirmed TCG/figure collection terms for Objais partners</t>
        </is>
      </c>
      <c r="D5" s="2" t="inlineStr">
        <is>
          <t>Obtain explicit category, territory, minimum premium and claims requirements</t>
        </is>
      </c>
    </row>
    <row r="6" ht="60" customHeight="1">
      <c r="A6" s="2" t="inlineStr">
        <is>
          <t>Revenue</t>
        </is>
      </c>
      <c r="B6" s="2" t="inlineStr">
        <is>
          <t>Commercial rights</t>
        </is>
      </c>
      <c r="C6" s="2" t="inlineStr">
        <is>
          <t>No lead price, renewal share, partner revenue split or data licence</t>
        </is>
      </c>
      <c r="D6" s="2" t="inlineStr">
        <is>
          <t>Inspect actual contracts and accepted paid-lead definitions</t>
        </is>
      </c>
    </row>
    <row r="7" ht="60" customHeight="1">
      <c r="A7" s="2" t="inlineStr">
        <is>
          <t>Pricing</t>
        </is>
      </c>
      <c r="B7" s="2" t="inlineStr">
        <is>
          <t>Local realised sales</t>
        </is>
      </c>
      <c r="C7" s="2" t="inlineStr">
        <is>
          <t>Global/US prices do not establish BRL/EUR values</t>
        </is>
      </c>
      <c r="D7" s="2" t="inlineStr">
        <is>
          <t>Obtain authorised regional feeds and grade/language matching</t>
        </is>
      </c>
    </row>
    <row r="8" ht="60" customHeight="1">
      <c r="A8" s="2" t="inlineStr">
        <is>
          <t>Competition</t>
        </is>
      </c>
      <c r="B8" s="2" t="inlineStr">
        <is>
          <t>Switching behaviour</t>
        </is>
      </c>
      <c r="C8" s="2" t="inlineStr">
        <is>
          <t>Competitor feature lists do not establish willingness to switch</t>
        </is>
      </c>
      <c r="D8" s="2" t="inlineStr">
        <is>
          <t>Test imports, record exports and insurer documentation with users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2026-10-13T17:58:02Z</dcterms:created>
  <dcterms:modified xmlns:dcterms="http://purl.org/dc/terms/" xmlns:xsi="http://www.w3.org/2001/XMLSchema-instance" xsi:type="dcterms:W3CDTF">2026-10-13T17:58:03Z</dcterms:modified>
</cp:coreProperties>
</file>