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arameters" sheetId="2" r:id="rId2"/>
    <sheet name="Summary" sheetId="3" r:id="rId3"/>
    <sheet name="S1" sheetId="4" r:id="rId4"/>
    <sheet name="S2" sheetId="5" r:id="rId5"/>
    <sheet name="S3" sheetId="6" r:id="rId6"/>
    <sheet name="S4" sheetId="7" r:id="rId7"/>
    <sheet name="S5" sheetId="8" r:id="rId8"/>
    <sheet name="S6" sheetId="9" r:id="rId9"/>
    <sheet name="Sensitivity" sheetId="10" r:id="rId10"/>
    <sheet name="Advanced Results" sheetId="11" r:id="rId11"/>
    <sheet name="Advanced Inputs" sheetId="12" r:id="rId12"/>
    <sheet name="Advanced Monthly" sheetId="13" r:id="rId13"/>
    <sheet name="Acquisition Curve" sheetId="14" r:id="rId14"/>
  </sheets>
  <calcPr calcId="124519" fullCalcOnLoad="1"/>
</workbook>
</file>

<file path=xl/sharedStrings.xml><?xml version="1.0" encoding="utf-8"?>
<sst xmlns="http://schemas.openxmlformats.org/spreadsheetml/2006/main" count="5405" uniqueCount="402">
  <si>
    <t>Objais formal revenue model</t>
  </si>
  <si>
    <t>Evidence status</t>
  </si>
  <si>
    <t>ALL numerical inputs are illustrative assumptions, not Objais results, prices, contracts or forecasts.</t>
  </si>
  <si>
    <t>Mathematical source</t>
  </si>
  <si>
    <t>Objais Revenue Model.tex contains definitions, derivations and limits. revenue_model.py is the executable reference.</t>
  </si>
  <si>
    <t>What this file does</t>
  </si>
  <si>
    <t>Six synthetic architectures, editable parameters and live 36-month expected-value formulas; native currency EUR for every example.</t>
  </si>
  <si>
    <t>Edit</t>
  </si>
  <si>
    <t>Blue cells on Parameters are inputs. Formula-derived initial payments are not blue. Each S sheet has calendar and single-acquired-owner blocks.</t>
  </si>
  <si>
    <t>Opportunity states</t>
  </si>
  <si>
    <t>E: retained owner with one unexhausted opportunity. M: retained owner after monetisation. State continuation is distinct from policy survival and billing continuation.</t>
  </si>
  <si>
    <t>q definition</t>
  </si>
  <si>
    <t>Probability of the first payable monetary event per eligible owner-month; lead acceptance in S1-S5 and policy binding in S6. Do not reuse an observed rate across these definitions.</t>
  </si>
  <si>
    <t>Repeat eligibility</t>
  </si>
  <si>
    <t>Reset probability is a genuinely new payable opportunity, not another app visit, record, scan or automatic policy revaluation.</t>
  </si>
  <si>
    <t>Initial payment</t>
  </si>
  <si>
    <t>Lead case: stated fee. Binding case: eligible premium times commission rate times retained share. Architectures are alternatives; no lead+binding double counting.</t>
  </si>
  <si>
    <t>Other streams</t>
  </si>
  <si>
    <t>Software and annual renewal hypotheses are separate. Lead-only architecture does not earn renewal income. Service-referral events exist in the formal specification but are not simulated here.</t>
  </si>
  <si>
    <t>Time convention</t>
  </si>
  <si>
    <t>Acquisition and monetisation during month; retention and eligibility reset at month end. New software pays in month of acquisition; first annual renewal is month 13.</t>
  </si>
  <si>
    <t>Cost convention</t>
  </si>
  <si>
    <t>Eligible/completed month cost plus event processing, subscription and policy costs. Acquisition charged once, fixed costs kept separate.</t>
  </si>
  <si>
    <t>Customer value</t>
  </si>
  <si>
    <t>Cohort block acquires one owner in month 1, no further acquisition, no CAC or fixed cost. Its discounted contribution is V36 before CAC; Summary subtracts CAC once.</t>
  </si>
  <si>
    <t>Cash convention</t>
  </si>
  <si>
    <t>Immediate net invoicing, no late credits or bad debt, a single shared collection lag, and expenses paid when incurred. Revenue minus collected cash equals receivables.</t>
  </si>
  <si>
    <t>Finite horizon</t>
  </si>
  <si>
    <t>V36 need not be below infinite V: later retained months can bring cost without another payment.</t>
  </si>
  <si>
    <t>Sensitivity</t>
  </si>
  <si>
    <t>Lead-only, lambda=0, no subscriptions or renewals. Vary pre-/post-event continuation to show mathematical contribution, using S1 fee/cost assumptions.</t>
  </si>
  <si>
    <t>Validation</t>
  </si>
  <si>
    <t>48 reference-model tests (22 legacy plus 26 extension) plus formula/cached-value and package checks. Cached values match Python calculations; Excel recalculates when inputs change.</t>
  </si>
  <si>
    <t>Use limits</t>
  </si>
  <si>
    <t>Formulas implement the stationary monthly examples. The formal model admits lane/time-dependent parameters, contractual event ledgers and dated FX; no current local insurance access is asserted.</t>
  </si>
  <si>
    <t>Illustrative assumptions — no empirical calibration</t>
  </si>
  <si>
    <t>q and payment are defined by the event basis. A renewal-rights switch is a hypothetical scenario, not a verified contract.</t>
  </si>
  <si>
    <t>Parameter</t>
  </si>
  <si>
    <t>Symbol</t>
  </si>
  <si>
    <t>Unit</t>
  </si>
  <si>
    <t>S1</t>
  </si>
  <si>
    <t>S2</t>
  </si>
  <si>
    <t>S3</t>
  </si>
  <si>
    <t>S4</t>
  </si>
  <si>
    <t>S5</t>
  </si>
  <si>
    <t>S6</t>
  </si>
  <si>
    <t>Definition / evidence</t>
  </si>
  <si>
    <t>Architecture selector</t>
  </si>
  <si>
    <t>z_N</t>
  </si>
  <si>
    <t>0 lead; 1 bound policy</t>
  </si>
  <si>
    <t>Alternatives, not simultaneous initial remuneration; ILLUSTRATIVE</t>
  </si>
  <si>
    <t>Payable-event probability</t>
  </si>
  <si>
    <t>q</t>
  </si>
  <si>
    <t>fraction</t>
  </si>
  <si>
    <t>Lead acceptance or binding depending on selector; ILLUSTRATIVE</t>
  </si>
  <si>
    <t>Pre-event continuation</t>
  </si>
  <si>
    <t>rho_E</t>
  </si>
  <si>
    <t>Unexhausted opportunity continuation; ILLUSTRATIVE</t>
  </si>
  <si>
    <t>Post-event continuation</t>
  </si>
  <si>
    <t>rho_M</t>
  </si>
  <si>
    <t>Completed opportunity continuation; ILLUSTRATIVE</t>
  </si>
  <si>
    <t>New eligibility</t>
  </si>
  <si>
    <t>lambda</t>
  </si>
  <si>
    <t>Genuine new payable episode; ILLUSTRATIVE</t>
  </si>
  <si>
    <t>Lead fee</t>
  </si>
  <si>
    <t>f_L</t>
  </si>
  <si>
    <t>EUR per lead</t>
  </si>
  <si>
    <t>Synthetic lead fee; ILLUSTRATIVE</t>
  </si>
  <si>
    <t>Eligible policy premium</t>
  </si>
  <si>
    <t>P</t>
  </si>
  <si>
    <t>EUR per policy</t>
  </si>
  <si>
    <t>Synthetic commission basis; ILLUSTRATIVE</t>
  </si>
  <si>
    <t>Initial commission rate</t>
  </si>
  <si>
    <t>nu_N</t>
  </si>
  <si>
    <t>Synthetic rate; ILLUSTRATIVE</t>
  </si>
  <si>
    <t>Retained commission share</t>
  </si>
  <si>
    <t>s_N</t>
  </si>
  <si>
    <t>Synthetic share; ILLUSTRATIVE</t>
  </si>
  <si>
    <t>Initial payment derived</t>
  </si>
  <si>
    <t>f</t>
  </si>
  <si>
    <t>EUR per event</t>
  </si>
  <si>
    <t>Lead fee OR premium × rate × share; ILLUSTRATIVE</t>
  </si>
  <si>
    <t>Payment reversal fraction</t>
  </si>
  <si>
    <t>omega</t>
  </si>
  <si>
    <t>Expected current-period credit; not policy survival; ILLUSTRATIVE</t>
  </si>
  <si>
    <t>Processing cost per event</t>
  </si>
  <si>
    <t>h</t>
  </si>
  <si>
    <t>Synthetic event processing cost; ILLUSTRATIVE</t>
  </si>
  <si>
    <t>Eligible-owner monthly cost</t>
  </si>
  <si>
    <t>v_E</t>
  </si>
  <si>
    <t>EUR per owner-month</t>
  </si>
  <si>
    <t>Synthetic cost before event; ILLUSTRATIVE</t>
  </si>
  <si>
    <t>Completed-owner monthly cost</t>
  </si>
  <si>
    <t>v_M</t>
  </si>
  <si>
    <t>Synthetic cost after event; ILLUSTRATIVE</t>
  </si>
  <si>
    <t>Acquisition cost</t>
  </si>
  <si>
    <t>k</t>
  </si>
  <si>
    <t>EUR per acquired owner</t>
  </si>
  <si>
    <t>Synthetic CAC; ILLUSTRATIVE</t>
  </si>
  <si>
    <t>New owners per month</t>
  </si>
  <si>
    <t>A_t</t>
  </si>
  <si>
    <t>owners</t>
  </si>
  <si>
    <t>Synthetic calendar inflow; ILLUSTRATIVE</t>
  </si>
  <si>
    <t>Fixed monthly cost</t>
  </si>
  <si>
    <t>F</t>
  </si>
  <si>
    <t>EUR per month</t>
  </si>
  <si>
    <t>Synthetic fixed operating expense; ILLUSTRATIVE</t>
  </si>
  <si>
    <t>New software paid conversion</t>
  </si>
  <si>
    <t>kappa</t>
  </si>
  <si>
    <t>Synthetic paid conversion; ILLUSTRATIVE</t>
  </si>
  <si>
    <t>Software billed continuation</t>
  </si>
  <si>
    <t>eta</t>
  </si>
  <si>
    <t>Independent billing-cohort marginal; ILLUSTRATIVE</t>
  </si>
  <si>
    <t>Software monthly payment</t>
  </si>
  <si>
    <t>b</t>
  </si>
  <si>
    <t>EUR per billed month</t>
  </si>
  <si>
    <t>Synthetic monthly price; ILLUSTRATIVE</t>
  </si>
  <si>
    <t>Software monthly cost</t>
  </si>
  <si>
    <t>v_S</t>
  </si>
  <si>
    <t>Synthetic incremental cost; ILLUSTRATIVE</t>
  </si>
  <si>
    <t>Renewal remuneration switch</t>
  </si>
  <si>
    <t>z_pi</t>
  </si>
  <si>
    <t>0 or 1</t>
  </si>
  <si>
    <t>Hypothetical rights; requires policy architecture; ILLUSTRATIVE</t>
  </si>
  <si>
    <t>Policy monthly survival</t>
  </si>
  <si>
    <t>s_pi</t>
  </si>
  <si>
    <t>Synthetic survival; not app retention; ILLUSTRATIVE</t>
  </si>
  <si>
    <t>Renewal interval</t>
  </si>
  <si>
    <t>J</t>
  </si>
  <si>
    <t>months</t>
  </si>
  <si>
    <t>12 in annual examples; positive integer; ILLUSTRATIVE</t>
  </si>
  <si>
    <t>Payment per renewal</t>
  </si>
  <si>
    <t>phi_pi</t>
  </si>
  <si>
    <t>EUR per policy renewal</t>
  </si>
  <si>
    <t>Synthetic net fee; ILLUSTRATIVE</t>
  </si>
  <si>
    <t>Policy monthly service cost</t>
  </si>
  <si>
    <t>v_pi</t>
  </si>
  <si>
    <t>EUR per active policy-month</t>
  </si>
  <si>
    <t>Synthetic cost; ILLUSTRATIVE</t>
  </si>
  <si>
    <t>Cash collection lag</t>
  </si>
  <si>
    <t>lag</t>
  </si>
  <si>
    <t>Same lag for all streams in this example; ILLUSTRATIVE</t>
  </si>
  <si>
    <t>Monthly discount rate</t>
  </si>
  <si>
    <t>i</t>
  </si>
  <si>
    <t>Synthetic time-value convention; ILLUSTRATIVE</t>
  </si>
  <si>
    <t>Counterfactual model outputs — illustrative only</t>
  </si>
  <si>
    <t>V36 is per one acquired owner. Calendar totals use 1,000 new owners per month and separate fixed costs. EUR in all examples.</t>
  </si>
  <si>
    <t>Case</t>
  </si>
  <si>
    <t>Architecture</t>
  </si>
  <si>
    <t>V36 before CAC</t>
  </si>
  <si>
    <t>V36 minus CAC</t>
  </si>
  <si>
    <t>Revenue 36 months</t>
  </si>
  <si>
    <t>Contribution 36 months</t>
  </si>
  <si>
    <t>Operating result 36 months</t>
  </si>
  <si>
    <t>Cash surplus 36 months</t>
  </si>
  <si>
    <t>Closing receivables</t>
  </si>
  <si>
    <t>Break-even CAC V36</t>
  </si>
  <si>
    <t>Structural input check</t>
  </si>
  <si>
    <t>S1 — Illustrative one-visit lead sales</t>
  </si>
  <si>
    <t>All parameters are illustrative. Top block: calendar cohorts. Lower block: one acquired owner, no CAC/fixed cost, for customer-value calculation.</t>
  </si>
  <si>
    <t>Month</t>
  </si>
  <si>
    <t>Acquired</t>
  </si>
  <si>
    <t>E eligible</t>
  </si>
  <si>
    <t>M completed active</t>
  </si>
  <si>
    <t>Payable events</t>
  </si>
  <si>
    <t>New policies</t>
  </si>
  <si>
    <t>Active policies</t>
  </si>
  <si>
    <t>Renewed policies</t>
  </si>
  <si>
    <t>Billed subscribers</t>
  </si>
  <si>
    <t>Initial revenue</t>
  </si>
  <si>
    <t>Renewal revenue</t>
  </si>
  <si>
    <t>Software revenue</t>
  </si>
  <si>
    <t>Total revenue</t>
  </si>
  <si>
    <t>Variable cost</t>
  </si>
  <si>
    <t>Contribution</t>
  </si>
  <si>
    <t>Fixed cost</t>
  </si>
  <si>
    <t>Operating result</t>
  </si>
  <si>
    <t>Cash receipts</t>
  </si>
  <si>
    <t>Receivables</t>
  </si>
  <si>
    <t>Cash surplus</t>
  </si>
  <si>
    <t>Cumulative cash</t>
  </si>
  <si>
    <t>Churned opportunity owners</t>
  </si>
  <si>
    <t>Next E</t>
  </si>
  <si>
    <t>Next M</t>
  </si>
  <si>
    <t>Discounted contribution before CAC</t>
  </si>
  <si>
    <t>One acquired-owner cohort: V36 before acquisition/fixed costs. This isolates the mathematical unit value.</t>
  </si>
  <si>
    <t>Illustrative one-visit lead sales</t>
  </si>
  <si>
    <t>S2 — Retain after first lead only</t>
  </si>
  <si>
    <t>Retain after first lead only</t>
  </si>
  <si>
    <t>S3 — Retain before and after first lead</t>
  </si>
  <si>
    <t>Retain before and after first lead</t>
  </si>
  <si>
    <t>S4 — New eligible opportunities</t>
  </si>
  <si>
    <t>New eligible opportunities</t>
  </si>
  <si>
    <t>S5 — Paid tools with post-lead retention</t>
  </si>
  <si>
    <t>Paid tools with post-lead retention</t>
  </si>
  <si>
    <t>S6 — Policy commission and renewal hypothesis</t>
  </si>
  <si>
    <t>Policy commission and renewal hypothesis</t>
  </si>
  <si>
    <t>Lead-only unit value: pre- and post-event continuation</t>
  </si>
  <si>
    <t>Synthetic S1 fee/cost inputs; lambda=0; no software or policy remuneration. Cells show infinite discounted V minus CAC, not market estimates.</t>
  </si>
  <si>
    <t>rho_M / rho_E</t>
  </si>
  <si>
    <t>Updated episodic model — Python-generated snapshots</t>
  </si>
  <si>
    <t>All inputs synthetic. These advanced rows are snapshots, not editable forecast formulas. Regenerate with build_extension_examples.py then build_workbook.py. Acquisition Curve has live formulas.</t>
  </si>
  <si>
    <t>Scenario</t>
  </si>
  <si>
    <t>Prospects month 1</t>
  </si>
  <si>
    <t>Acquired month 1</t>
  </si>
  <si>
    <t>CAC month 1</t>
  </si>
  <si>
    <t>Standalone owner value 36</t>
  </si>
  <si>
    <t>Operating 36</t>
  </si>
  <si>
    <t>Cash 36</t>
  </si>
  <si>
    <t>Receivables 36</t>
  </si>
  <si>
    <t>E1</t>
  </si>
  <si>
    <t>One-off lead benchmark</t>
  </si>
  <si>
    <t>E2</t>
  </si>
  <si>
    <t>Occasional returns; first fee only</t>
  </si>
  <si>
    <t>E3</t>
  </si>
  <si>
    <t>Occasional returns; new payable enquiries</t>
  </si>
  <si>
    <t>E4</t>
  </si>
  <si>
    <t>Occasional returns; 2% dormant exit</t>
  </si>
  <si>
    <t>E5</t>
  </si>
  <si>
    <t>Direct use; 50% adoption</t>
  </si>
  <si>
    <t>E6</t>
  </si>
  <si>
    <t>Delegated use; 10% adoption</t>
  </si>
  <si>
    <t>E7</t>
  </si>
  <si>
    <t>Frequent free service; occasional insurance</t>
  </si>
  <si>
    <t>E8</t>
  </si>
  <si>
    <t>Paid service; 15% paid starts</t>
  </si>
  <si>
    <t>E9</t>
  </si>
  <si>
    <t>Paid service; 25% paid starts</t>
  </si>
  <si>
    <t>E10</t>
  </si>
  <si>
    <t>Lower CAC; flat cost; 2000 contacts</t>
  </si>
  <si>
    <t>E11</t>
  </si>
  <si>
    <t>Lower CAC; curved cost; 1000 contacts</t>
  </si>
  <si>
    <t>E12</t>
  </si>
  <si>
    <t>Lower CAC; curved cost; 2000 contacts</t>
  </si>
  <si>
    <t>E13</t>
  </si>
  <si>
    <t>Annual return; binding and renewal rights</t>
  </si>
  <si>
    <t>E14</t>
  </si>
  <si>
    <t>Capacity limit; failed request costs</t>
  </si>
  <si>
    <t>E15</t>
  </si>
  <si>
    <t>Fixed budget; curved acquisition cost</t>
  </si>
  <si>
    <t>Limits</t>
  </si>
  <si>
    <t>One currency per model run. Standalone owner value excludes fixed costs and can differ from a growing company under binding service capacity. Delegated cases still count underlying owners; professional multi-client accounts need adapted units. Prospect groups must be mutually exclusive. Existing S1-S6 sheets retain live stationary benchmark formulas.</t>
  </si>
  <si>
    <t>Complete advanced scenario inputs — regenerate Python to change</t>
  </si>
  <si>
    <t>Supplied rate profiles repeat at their explicit length. contacts_by_month and budgets_by_month instead match the horizon. New acquisition is controlled by Segment inputs; legacy economics.cac/inflow/fixed costs are not applied a second time.</t>
  </si>
  <si>
    <t>Value</t>
  </si>
  <si>
    <t>name</t>
  </si>
  <si>
    <t>"One-off lead benchmark"</t>
  </si>
  <si>
    <t>economics.name</t>
  </si>
  <si>
    <t>"One-off paid-lead arrangement"</t>
  </si>
  <si>
    <t>economics.currency</t>
  </si>
  <si>
    <t>"EUR"</t>
  </si>
  <si>
    <t>economics.event_basis</t>
  </si>
  <si>
    <t>"accepted_lead"</t>
  </si>
  <si>
    <t>economics.horizon</t>
  </si>
  <si>
    <t>36</t>
  </si>
  <si>
    <t>economics.acquired_per_month</t>
  </si>
  <si>
    <t>1000</t>
  </si>
  <si>
    <t>economics.cac</t>
  </si>
  <si>
    <t>4</t>
  </si>
  <si>
    <t>economics.q</t>
  </si>
  <si>
    <t>0.1</t>
  </si>
  <si>
    <t>economics.rho_e</t>
  </si>
  <si>
    <t>0</t>
  </si>
  <si>
    <t>economics.rho_m</t>
  </si>
  <si>
    <t>economics.reset_probability</t>
  </si>
  <si>
    <t>economics.initial_payment</t>
  </si>
  <si>
    <t>20</t>
  </si>
  <si>
    <t>economics.reversal_fraction</t>
  </si>
  <si>
    <t>0.05</t>
  </si>
  <si>
    <t>economics.event_cost</t>
  </si>
  <si>
    <t>1</t>
  </si>
  <si>
    <t>economics.eligible_month_cost</t>
  </si>
  <si>
    <t>0.2</t>
  </si>
  <si>
    <t>economics.completed_month_cost</t>
  </si>
  <si>
    <t>0.3</t>
  </si>
  <si>
    <t>economics.software_conversion</t>
  </si>
  <si>
    <t>economics.software_survival</t>
  </si>
  <si>
    <t>0.95</t>
  </si>
  <si>
    <t>economics.software_month_payment</t>
  </si>
  <si>
    <t>3</t>
  </si>
  <si>
    <t>economics.software_month_cost</t>
  </si>
  <si>
    <t>0.5</t>
  </si>
  <si>
    <t>economics.renewal_rights</t>
  </si>
  <si>
    <t>false</t>
  </si>
  <si>
    <t>economics.policy_month_survival</t>
  </si>
  <si>
    <t>0.98</t>
  </si>
  <si>
    <t>economics.renewal_interval</t>
  </si>
  <si>
    <t>12</t>
  </si>
  <si>
    <t>economics.renewal_payment</t>
  </si>
  <si>
    <t>15</t>
  </si>
  <si>
    <t>economics.policy_month_cost</t>
  </si>
  <si>
    <t>economics.fixed_month_cost</t>
  </si>
  <si>
    <t>economics.cash_lag</t>
  </si>
  <si>
    <t>economics.monthly_discount_rate</t>
  </si>
  <si>
    <t>0.01</t>
  </si>
  <si>
    <t>workflow</t>
  </si>
  <si>
    <t>"direct"</t>
  </si>
  <si>
    <t>contacts_per_month</t>
  </si>
  <si>
    <t>contacts_by_month</t>
  </si>
  <si>
    <t>[]</t>
  </si>
  <si>
    <t>budgets_by_month</t>
  </si>
  <si>
    <t>adoption</t>
  </si>
  <si>
    <t>adoption_profile</t>
  </si>
  <si>
    <t>contact_cost</t>
  </si>
  <si>
    <t>onboarding_cost</t>
  </si>
  <si>
    <t>acquisition_curvature</t>
  </si>
  <si>
    <t>reference_contacts</t>
  </si>
  <si>
    <t>competition_profile</t>
  </si>
  <si>
    <t>monthly_contact_limit</t>
  </si>
  <si>
    <t>null</t>
  </si>
  <si>
    <t>reachable_contact_pool</t>
  </si>
  <si>
    <t>need_probability</t>
  </si>
  <si>
    <t>need_age_profile</t>
  </si>
  <si>
    <t>need_calendar_profile</t>
  </si>
  <si>
    <t>qualified_request_probability</t>
  </si>
  <si>
    <t>paid_acceptance</t>
  </si>
  <si>
    <t>acceptance_profile</t>
  </si>
  <si>
    <t>fee_profile</t>
  </si>
  <si>
    <t>request_cost</t>
  </si>
  <si>
    <t>initial_active_fraction</t>
  </si>
  <si>
    <t>dormant_fraction_e</t>
  </si>
  <si>
    <t>dormant_fraction_m</t>
  </si>
  <si>
    <t>return_probability</t>
  </si>
  <si>
    <t>return_age_profile</t>
  </si>
  <si>
    <t>return_reset_probability</t>
  </si>
  <si>
    <t>dormant_exit_probability</t>
  </si>
  <si>
    <t>dormant_month_cost</t>
  </si>
  <si>
    <t>reactivation_cost</t>
  </si>
  <si>
    <t>paid_event_cap</t>
  </si>
  <si>
    <t>cap_window_months</t>
  </si>
  <si>
    <t>cooldown_months</t>
  </si>
  <si>
    <t>monthly_event_capacity</t>
  </si>
  <si>
    <t>"Occasional returns; first fee only"</t>
  </si>
  <si>
    <t>2000</t>
  </si>
  <si>
    <t>2</t>
  </si>
  <si>
    <t>[1, 0, 0, 0, 0, 0, 1, 0, 0, 0, 0, 0]</t>
  </si>
  <si>
    <t>6</t>
  </si>
  <si>
    <t>"Occasional returns; new payable enquiries"</t>
  </si>
  <si>
    <t>"Occasional returns; 2% dormant exit"</t>
  </si>
  <si>
    <t>0.02</t>
  </si>
  <si>
    <t>"Direct use; 50% adoption"</t>
  </si>
  <si>
    <t>"Delegated use; 10% adoption"</t>
  </si>
  <si>
    <t>"delegated"</t>
  </si>
  <si>
    <t>"Frequent free service; occasional insurance"</t>
  </si>
  <si>
    <t>"Retained service without software payment"</t>
  </si>
  <si>
    <t>0.9</t>
  </si>
  <si>
    <t>"Paid service; 15% paid starts"</t>
  </si>
  <si>
    <t>"Lead plus optional paid-tool arrangement"</t>
  </si>
  <si>
    <t>0.15</t>
  </si>
  <si>
    <t>"Paid service; 25% paid starts"</t>
  </si>
  <si>
    <t>0.25</t>
  </si>
  <si>
    <t>"Lower CAC; flat cost; 2000 contacts"</t>
  </si>
  <si>
    <t>"Lower CAC; curved cost; 1000 contacts"</t>
  </si>
  <si>
    <t>"Lower CAC; curved cost; 2000 contacts"</t>
  </si>
  <si>
    <t>"Annual return; binding and renewal rights"</t>
  </si>
  <si>
    <t>"Policy binding with renewal rights"</t>
  </si>
  <si>
    <t>"bound_policy"</t>
  </si>
  <si>
    <t>30</t>
  </si>
  <si>
    <t>true</t>
  </si>
  <si>
    <t>[1, 0, 0, 0, 0, 0, 0, 0, 0, 0, 0, 0]</t>
  </si>
  <si>
    <t>"Capacity limit; failed request costs"</t>
  </si>
  <si>
    <t>50</t>
  </si>
  <si>
    <t>"Fixed budget; curved acquisition cost"</t>
  </si>
  <si>
    <t>[4000, 4000, 4000, 4000, 4000, 4000, 4000, 4000, 4000, 4000, 4000, 4000, 4000, 4000, 4000, 4000, 4000, 4000, 4000, 4000, 4000, 4000, 4000, 4000, 4000, 4000, 4000, 4000, 4000, 4000, 4000, 4000, 4000, 4000, 4000, 4000]</t>
  </si>
  <si>
    <t>Advanced monthly histories — computed snapshot</t>
  </si>
  <si>
    <t>Segment contribution excludes company fixed costs. Fixed EUR 1,000 per month is applied once in Advanced Results. Returns preserve identity and payment history.</t>
  </si>
  <si>
    <t>case_id</t>
  </si>
  <si>
    <t>month</t>
  </si>
  <si>
    <t>segment</t>
  </si>
  <si>
    <t>acquired</t>
  </si>
  <si>
    <t>eligible</t>
  </si>
  <si>
    <t>completed_active</t>
  </si>
  <si>
    <t>dormant</t>
  </si>
  <si>
    <t>returned</t>
  </si>
  <si>
    <t>monetary_events</t>
  </si>
  <si>
    <t>revenue</t>
  </si>
  <si>
    <t>variable_cost</t>
  </si>
  <si>
    <t>acquisition_cost</t>
  </si>
  <si>
    <t>contribution</t>
  </si>
  <si>
    <t>receivables</t>
  </si>
  <si>
    <t>permanently_exited</t>
  </si>
  <si>
    <t>Live cost curve — change blue inputs</t>
  </si>
  <si>
    <t>Illustrative one-month lead economics, before fixed cost. This sheet recalculates in Excel; advanced cohort snapshots require Python.</t>
  </si>
  <si>
    <t>Prospect cost</t>
  </si>
  <si>
    <t>Competition multiplier</t>
  </si>
  <si>
    <t>Curvature</t>
  </si>
  <si>
    <t>Reference prospects</t>
  </si>
  <si>
    <t>Adoption</t>
  </si>
  <si>
    <t>Onboarding cost</t>
  </si>
  <si>
    <t>Paid-event chance</t>
  </si>
  <si>
    <t>Fee</t>
  </si>
  <si>
    <t>Reversal fraction</t>
  </si>
  <si>
    <t>Event cost</t>
  </si>
  <si>
    <t>Owner service cost</t>
  </si>
  <si>
    <t>Prospects</t>
  </si>
  <si>
    <t>New owners</t>
  </si>
  <si>
    <t>Acquisition spend</t>
  </si>
  <si>
    <t>CAC</t>
  </si>
  <si>
    <t>Paid events</t>
  </si>
  <si>
    <t>Contribution / owner</t>
  </si>
  <si>
    <t>Updated finite model</t>
  </si>
  <si>
    <t>Advanced Results, Inputs and Monthly contain labelled Python snapshots of the episodic model. Acquisition Curve has live nonlinear cost formulas. Run build_extension_examples.py before rebuilding advanced snapshots.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</si>
</sst>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#,##0.00;[Red]-#,##0.00"/>
  </numFmts>
  <fonts count="6">
    <font>
      <sz val="11"/>
      <color theme="1"/>
      <name val="Calibri"/>
      <family val="2"/>
      <scheme val="minor"/>
    </font>
    <font>
      <b/>
      <sz val="17"/>
      <color rgb="FF173247"/>
      <name val="Arial"/>
      <family val="2"/>
    </font>
    <font>
      <sz val="10"/>
      <color rgb="FF173247"/>
      <name val="Arial"/>
      <family val="2"/>
    </font>
    <font>
      <b/>
      <sz val="11"/>
      <color rgb="FF9F321D"/>
      <name val="Arial"/>
      <family val="2"/>
    </font>
    <font>
      <b/>
      <sz val="10"/>
      <color rgb="FFFFFFFF"/>
      <name val="Arial"/>
      <family val="2"/>
    </font>
    <font>
      <sz val="10"/>
      <color rgb="FF005BB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E9"/>
        <bgColor indexed="64"/>
      </patternFill>
    </fill>
    <fill>
      <patternFill patternType="solid">
        <fgColor rgb="FF173247"/>
        <bgColor indexed="64"/>
      </patternFill>
    </fill>
    <fill>
      <patternFill patternType="solid">
        <fgColor rgb="FFE5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vertical="top" wrapText="1"/>
    </xf>
    <xf numFmtId="164" fontId="5" fillId="4" borderId="0" xfId="0" applyNumberFormat="1" applyFont="1" applyFill="1" applyAlignment="1">
      <alignment vertical="top"/>
    </xf>
    <xf numFmtId="165" fontId="5" fillId="4" borderId="0" xfId="0" applyNumberFormat="1" applyFont="1" applyFill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Unit value after CAC — synthetic cases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V36 minus CAC</c:v>
          </c:tx>
          <c:cat>
            <c:strRef>
              <c:f>Summary!$B$5:$B$10</c:f>
              <c:strCache>
                <c:ptCount val="6"/>
                <c:pt idx="0">
                  <c:v>Illustrative one-visit lead sales</c:v>
                </c:pt>
                <c:pt idx="1">
                  <c:v>Retain after first lead only</c:v>
                </c:pt>
                <c:pt idx="2">
                  <c:v>Retain before and after first lead</c:v>
                </c:pt>
                <c:pt idx="3">
                  <c:v>New eligible opportunities</c:v>
                </c:pt>
                <c:pt idx="4">
                  <c:v>Paid tools with post-lead retention</c:v>
                </c:pt>
                <c:pt idx="5">
                  <c:v>Policy commission and renewal hypothesis</c:v>
                </c:pt>
              </c:strCache>
            </c:strRef>
          </c:cat>
          <c:val>
            <c:numRef>
              <c:f>Summary!$D$5:$D$10</c:f>
              <c:numCache>
                <c:formatCode>General</c:formatCode>
                <c:ptCount val="6"/>
                <c:pt idx="0">
                  <c:v>-2.4000000000000004</c:v>
                </c:pt>
                <c:pt idx="1">
                  <c:v>-2.514252988249299</c:v>
                </c:pt>
                <c:pt idx="2">
                  <c:v>1.1746776843088114</c:v>
                </c:pt>
                <c:pt idx="3">
                  <c:v>1.8769524938485045</c:v>
                </c:pt>
                <c:pt idx="4">
                  <c:v>-0.6421250466775734</c:v>
                </c:pt>
                <c:pt idx="5">
                  <c:v>0.24908164471655425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 / acquired owner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3</xdr:col>
      <xdr:colOff>1038225</xdr:colOff>
      <xdr:row>30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29.7109375" customWidth="1"/>
    <col min="2" max="2" width="110.7109375" customWidth="1"/>
  </cols>
  <sheetData>
    <row r="1" spans="1:2">
      <c r="A1" s="1" t="s">
        <v>0</v>
      </c>
      <c r="B1" s="1"/>
    </row>
    <row r="3" spans="1:2" ht="53" customHeight="1">
      <c r="A3" s="2" t="s">
        <v>1</v>
      </c>
      <c r="B3" s="2" t="s">
        <v>2</v>
      </c>
    </row>
    <row r="4" spans="1:2" ht="53" customHeight="1">
      <c r="A4" s="2" t="s">
        <v>3</v>
      </c>
      <c r="B4" s="2" t="s">
        <v>4</v>
      </c>
    </row>
    <row r="5" spans="1:2" ht="53" customHeight="1">
      <c r="A5" s="2" t="s">
        <v>5</v>
      </c>
      <c r="B5" s="2" t="s">
        <v>6</v>
      </c>
    </row>
    <row r="6" spans="1:2" ht="53" customHeight="1">
      <c r="A6" s="2" t="s">
        <v>7</v>
      </c>
      <c r="B6" s="2" t="s">
        <v>8</v>
      </c>
    </row>
    <row r="7" spans="1:2" ht="53" customHeight="1">
      <c r="A7" s="2" t="s">
        <v>9</v>
      </c>
      <c r="B7" s="2" t="s">
        <v>10</v>
      </c>
    </row>
    <row r="8" spans="1:2" ht="53" customHeight="1">
      <c r="A8" s="2" t="s">
        <v>11</v>
      </c>
      <c r="B8" s="2" t="s">
        <v>12</v>
      </c>
    </row>
    <row r="9" spans="1:2" ht="53" customHeight="1">
      <c r="A9" s="2" t="s">
        <v>13</v>
      </c>
      <c r="B9" s="2" t="s">
        <v>14</v>
      </c>
    </row>
    <row r="10" spans="1:2" ht="53" customHeight="1">
      <c r="A10" s="2" t="s">
        <v>15</v>
      </c>
      <c r="B10" s="2" t="s">
        <v>16</v>
      </c>
    </row>
    <row r="11" spans="1:2" ht="53" customHeight="1">
      <c r="A11" s="2" t="s">
        <v>17</v>
      </c>
      <c r="B11" s="2" t="s">
        <v>18</v>
      </c>
    </row>
    <row r="12" spans="1:2" ht="53" customHeight="1">
      <c r="A12" s="2" t="s">
        <v>19</v>
      </c>
      <c r="B12" s="2" t="s">
        <v>20</v>
      </c>
    </row>
    <row r="13" spans="1:2" ht="53" customHeight="1">
      <c r="A13" s="2" t="s">
        <v>21</v>
      </c>
      <c r="B13" s="2" t="s">
        <v>22</v>
      </c>
    </row>
    <row r="14" spans="1:2" ht="53" customHeight="1">
      <c r="A14" s="2" t="s">
        <v>23</v>
      </c>
      <c r="B14" s="2" t="s">
        <v>24</v>
      </c>
    </row>
    <row r="15" spans="1:2" ht="53" customHeight="1">
      <c r="A15" s="2" t="s">
        <v>25</v>
      </c>
      <c r="B15" s="2" t="s">
        <v>26</v>
      </c>
    </row>
    <row r="16" spans="1:2" ht="53" customHeight="1">
      <c r="A16" s="2" t="s">
        <v>27</v>
      </c>
      <c r="B16" s="2" t="s">
        <v>28</v>
      </c>
    </row>
    <row r="17" spans="1:2" ht="53" customHeight="1">
      <c r="A17" s="2" t="s">
        <v>29</v>
      </c>
      <c r="B17" s="2" t="s">
        <v>30</v>
      </c>
    </row>
    <row r="18" spans="1:2" ht="53" customHeight="1">
      <c r="A18" s="2" t="s">
        <v>31</v>
      </c>
      <c r="B18" s="2" t="s">
        <v>32</v>
      </c>
    </row>
    <row r="19" spans="1:2" ht="53" customHeight="1">
      <c r="A19" s="2" t="s">
        <v>33</v>
      </c>
      <c r="B19" s="2" t="s">
        <v>34</v>
      </c>
    </row>
    <row r="24" spans="1:2" ht="65" customHeight="1">
      <c r="A24" s="2" t="s">
        <v>400</v>
      </c>
      <c r="B24" s="2" t="s">
        <v>401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35.7109375" customWidth="1"/>
    <col min="2" max="2" width="17.7109375" customWidth="1"/>
    <col min="3" max="3" width="30.7109375" customWidth="1"/>
    <col min="4" max="9" width="19.7109375" customWidth="1"/>
    <col min="10" max="10" width="58.7109375" customWidth="1"/>
  </cols>
  <sheetData>
    <row r="1" spans="1:10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</row>
    <row r="5" spans="1:10" ht="39" customHeight="1">
      <c r="A5" s="2" t="s">
        <v>47</v>
      </c>
      <c r="B5" s="2" t="s">
        <v>48</v>
      </c>
      <c r="C5" s="2" t="s">
        <v>49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2" t="s">
        <v>50</v>
      </c>
    </row>
    <row r="6" spans="1:10" ht="39" customHeight="1">
      <c r="A6" s="2" t="s">
        <v>51</v>
      </c>
      <c r="B6" s="2" t="s">
        <v>52</v>
      </c>
      <c r="C6" s="2" t="s">
        <v>53</v>
      </c>
      <c r="D6" s="6">
        <v>0.1</v>
      </c>
      <c r="E6" s="6">
        <v>0.1</v>
      </c>
      <c r="F6" s="6">
        <v>0.1</v>
      </c>
      <c r="G6" s="6">
        <v>0.1</v>
      </c>
      <c r="H6" s="6">
        <v>0.1</v>
      </c>
      <c r="I6" s="6">
        <v>0.1</v>
      </c>
      <c r="J6" s="2" t="s">
        <v>54</v>
      </c>
    </row>
    <row r="7" spans="1:10" ht="39" customHeight="1">
      <c r="A7" s="2" t="s">
        <v>55</v>
      </c>
      <c r="B7" s="2" t="s">
        <v>56</v>
      </c>
      <c r="C7" s="2" t="s">
        <v>53</v>
      </c>
      <c r="D7" s="6">
        <v>0</v>
      </c>
      <c r="E7" s="6">
        <v>0</v>
      </c>
      <c r="F7" s="6">
        <v>0.8</v>
      </c>
      <c r="G7" s="6">
        <v>0.8</v>
      </c>
      <c r="H7" s="6">
        <v>0</v>
      </c>
      <c r="I7" s="6">
        <v>0</v>
      </c>
      <c r="J7" s="2" t="s">
        <v>57</v>
      </c>
    </row>
    <row r="8" spans="1:10" ht="39" customHeight="1">
      <c r="A8" s="2" t="s">
        <v>58</v>
      </c>
      <c r="B8" s="2" t="s">
        <v>59</v>
      </c>
      <c r="C8" s="2" t="s">
        <v>53</v>
      </c>
      <c r="D8" s="6">
        <v>0</v>
      </c>
      <c r="E8" s="6">
        <v>0.8</v>
      </c>
      <c r="F8" s="6">
        <v>0.8</v>
      </c>
      <c r="G8" s="6">
        <v>0.8</v>
      </c>
      <c r="H8" s="6">
        <v>0.8</v>
      </c>
      <c r="I8" s="6">
        <v>0</v>
      </c>
      <c r="J8" s="2" t="s">
        <v>60</v>
      </c>
    </row>
    <row r="9" spans="1:10" ht="39" customHeight="1">
      <c r="A9" s="2" t="s">
        <v>61</v>
      </c>
      <c r="B9" s="2" t="s">
        <v>62</v>
      </c>
      <c r="C9" s="2" t="s">
        <v>53</v>
      </c>
      <c r="D9" s="6">
        <v>0</v>
      </c>
      <c r="E9" s="6">
        <v>0</v>
      </c>
      <c r="F9" s="6">
        <v>0</v>
      </c>
      <c r="G9" s="6">
        <v>0.1</v>
      </c>
      <c r="H9" s="6">
        <v>0</v>
      </c>
      <c r="I9" s="6">
        <v>0</v>
      </c>
      <c r="J9" s="2" t="s">
        <v>63</v>
      </c>
    </row>
    <row r="10" spans="1:10" ht="39" customHeight="1">
      <c r="A10" s="2" t="s">
        <v>64</v>
      </c>
      <c r="B10" s="2" t="s">
        <v>65</v>
      </c>
      <c r="C10" s="2" t="s">
        <v>66</v>
      </c>
      <c r="D10" s="5">
        <v>20</v>
      </c>
      <c r="E10" s="5">
        <v>20</v>
      </c>
      <c r="F10" s="5">
        <v>20</v>
      </c>
      <c r="G10" s="5">
        <v>20</v>
      </c>
      <c r="H10" s="5">
        <v>20</v>
      </c>
      <c r="I10" s="5">
        <v>20</v>
      </c>
      <c r="J10" s="2" t="s">
        <v>67</v>
      </c>
    </row>
    <row r="11" spans="1:10" ht="39" customHeight="1">
      <c r="A11" s="2" t="s">
        <v>68</v>
      </c>
      <c r="B11" s="2" t="s">
        <v>69</v>
      </c>
      <c r="C11" s="2" t="s">
        <v>70</v>
      </c>
      <c r="D11" s="5">
        <v>300</v>
      </c>
      <c r="E11" s="5">
        <v>300</v>
      </c>
      <c r="F11" s="5">
        <v>300</v>
      </c>
      <c r="G11" s="5">
        <v>300</v>
      </c>
      <c r="H11" s="5">
        <v>300</v>
      </c>
      <c r="I11" s="5">
        <v>300</v>
      </c>
      <c r="J11" s="2" t="s">
        <v>71</v>
      </c>
    </row>
    <row r="12" spans="1:10" ht="39" customHeight="1">
      <c r="A12" s="2" t="s">
        <v>72</v>
      </c>
      <c r="B12" s="2" t="s">
        <v>73</v>
      </c>
      <c r="C12" s="2" t="s">
        <v>53</v>
      </c>
      <c r="D12" s="6">
        <v>0.1</v>
      </c>
      <c r="E12" s="6">
        <v>0.1</v>
      </c>
      <c r="F12" s="6">
        <v>0.1</v>
      </c>
      <c r="G12" s="6">
        <v>0.1</v>
      </c>
      <c r="H12" s="6">
        <v>0.1</v>
      </c>
      <c r="I12" s="6">
        <v>0.1</v>
      </c>
      <c r="J12" s="2" t="s">
        <v>74</v>
      </c>
    </row>
    <row r="13" spans="1:10" ht="39" customHeight="1">
      <c r="A13" s="2" t="s">
        <v>75</v>
      </c>
      <c r="B13" s="2" t="s">
        <v>76</v>
      </c>
      <c r="C13" s="2" t="s">
        <v>53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2" t="s">
        <v>77</v>
      </c>
    </row>
    <row r="14" spans="1:10" ht="39" customHeight="1">
      <c r="A14" s="2" t="s">
        <v>78</v>
      </c>
      <c r="B14" s="2" t="s">
        <v>79</v>
      </c>
      <c r="C14" s="2" t="s">
        <v>80</v>
      </c>
      <c r="D14" s="7">
        <f>IF(Parameters!$D$5=1,Parameters!$D$11*Parameters!$D$12*Parameters!$D$13,Parameters!$D$10)</f>
        <v>20</v>
      </c>
      <c r="E14" s="7">
        <f>IF(Parameters!$E$5=1,Parameters!$E$11*Parameters!$E$12*Parameters!$E$13,Parameters!$E$10)</f>
        <v>20</v>
      </c>
      <c r="F14" s="7">
        <f>IF(Parameters!$F$5=1,Parameters!$F$11*Parameters!$F$12*Parameters!$F$13,Parameters!$F$10)</f>
        <v>20</v>
      </c>
      <c r="G14" s="7">
        <f>IF(Parameters!$G$5=1,Parameters!$G$11*Parameters!$G$12*Parameters!$G$13,Parameters!$G$10)</f>
        <v>20</v>
      </c>
      <c r="H14" s="7">
        <f>IF(Parameters!$H$5=1,Parameters!$H$11*Parameters!$H$12*Parameters!$H$13,Parameters!$H$10)</f>
        <v>20</v>
      </c>
      <c r="I14" s="7">
        <f>IF(Parameters!$I$5=1,Parameters!$I$11*Parameters!$I$12*Parameters!$I$13,Parameters!$I$10)</f>
        <v>30</v>
      </c>
      <c r="J14" s="2" t="s">
        <v>81</v>
      </c>
    </row>
    <row r="15" spans="1:10" ht="39" customHeight="1">
      <c r="A15" s="2" t="s">
        <v>82</v>
      </c>
      <c r="B15" s="2" t="s">
        <v>83</v>
      </c>
      <c r="C15" s="2" t="s">
        <v>53</v>
      </c>
      <c r="D15" s="6">
        <v>0.05</v>
      </c>
      <c r="E15" s="6">
        <v>0.05</v>
      </c>
      <c r="F15" s="6">
        <v>0.05</v>
      </c>
      <c r="G15" s="6">
        <v>0.05</v>
      </c>
      <c r="H15" s="6">
        <v>0.05</v>
      </c>
      <c r="I15" s="6">
        <v>0</v>
      </c>
      <c r="J15" s="2" t="s">
        <v>84</v>
      </c>
    </row>
    <row r="16" spans="1:10" ht="39" customHeight="1">
      <c r="A16" s="2" t="s">
        <v>85</v>
      </c>
      <c r="B16" s="2" t="s">
        <v>86</v>
      </c>
      <c r="C16" s="2" t="s">
        <v>80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2" t="s">
        <v>87</v>
      </c>
    </row>
    <row r="17" spans="1:10" ht="39" customHeight="1">
      <c r="A17" s="2" t="s">
        <v>88</v>
      </c>
      <c r="B17" s="2" t="s">
        <v>89</v>
      </c>
      <c r="C17" s="2" t="s">
        <v>90</v>
      </c>
      <c r="D17" s="5">
        <v>0.2</v>
      </c>
      <c r="E17" s="5">
        <v>0.2</v>
      </c>
      <c r="F17" s="5">
        <v>0.2</v>
      </c>
      <c r="G17" s="5">
        <v>0.2</v>
      </c>
      <c r="H17" s="5">
        <v>0.2</v>
      </c>
      <c r="I17" s="5">
        <v>0.2</v>
      </c>
      <c r="J17" s="2" t="s">
        <v>91</v>
      </c>
    </row>
    <row r="18" spans="1:10" ht="39" customHeight="1">
      <c r="A18" s="2" t="s">
        <v>92</v>
      </c>
      <c r="B18" s="2" t="s">
        <v>93</v>
      </c>
      <c r="C18" s="2" t="s">
        <v>90</v>
      </c>
      <c r="D18" s="5">
        <v>0.3</v>
      </c>
      <c r="E18" s="5">
        <v>0.3</v>
      </c>
      <c r="F18" s="5">
        <v>0.3</v>
      </c>
      <c r="G18" s="5">
        <v>0.3</v>
      </c>
      <c r="H18" s="5">
        <v>0.3</v>
      </c>
      <c r="I18" s="5">
        <v>0.3</v>
      </c>
      <c r="J18" s="2" t="s">
        <v>94</v>
      </c>
    </row>
    <row r="19" spans="1:10" ht="39" customHeight="1">
      <c r="A19" s="2" t="s">
        <v>95</v>
      </c>
      <c r="B19" s="2" t="s">
        <v>96</v>
      </c>
      <c r="C19" s="2" t="s">
        <v>97</v>
      </c>
      <c r="D19" s="5">
        <v>4</v>
      </c>
      <c r="E19" s="5">
        <v>4</v>
      </c>
      <c r="F19" s="5">
        <v>4</v>
      </c>
      <c r="G19" s="5">
        <v>4</v>
      </c>
      <c r="H19" s="5">
        <v>4</v>
      </c>
      <c r="I19" s="5">
        <v>4</v>
      </c>
      <c r="J19" s="2" t="s">
        <v>98</v>
      </c>
    </row>
    <row r="20" spans="1:10" ht="39" customHeight="1">
      <c r="A20" s="2" t="s">
        <v>99</v>
      </c>
      <c r="B20" s="2" t="s">
        <v>100</v>
      </c>
      <c r="C20" s="2" t="s">
        <v>101</v>
      </c>
      <c r="D20" s="5">
        <v>1000</v>
      </c>
      <c r="E20" s="5">
        <v>1000</v>
      </c>
      <c r="F20" s="5">
        <v>1000</v>
      </c>
      <c r="G20" s="5">
        <v>1000</v>
      </c>
      <c r="H20" s="5">
        <v>1000</v>
      </c>
      <c r="I20" s="5">
        <v>1000</v>
      </c>
      <c r="J20" s="2" t="s">
        <v>102</v>
      </c>
    </row>
    <row r="21" spans="1:10" ht="39" customHeight="1">
      <c r="A21" s="2" t="s">
        <v>103</v>
      </c>
      <c r="B21" s="2" t="s">
        <v>104</v>
      </c>
      <c r="C21" s="2" t="s">
        <v>105</v>
      </c>
      <c r="D21" s="5">
        <v>1000</v>
      </c>
      <c r="E21" s="5">
        <v>1000</v>
      </c>
      <c r="F21" s="5">
        <v>1000</v>
      </c>
      <c r="G21" s="5">
        <v>1000</v>
      </c>
      <c r="H21" s="5">
        <v>1000</v>
      </c>
      <c r="I21" s="5">
        <v>1000</v>
      </c>
      <c r="J21" s="2" t="s">
        <v>106</v>
      </c>
    </row>
    <row r="22" spans="1:10" ht="39" customHeight="1">
      <c r="A22" s="2" t="s">
        <v>107</v>
      </c>
      <c r="B22" s="2" t="s">
        <v>108</v>
      </c>
      <c r="C22" s="2" t="s">
        <v>53</v>
      </c>
      <c r="D22" s="6">
        <v>0</v>
      </c>
      <c r="E22" s="6">
        <v>0</v>
      </c>
      <c r="F22" s="6">
        <v>0</v>
      </c>
      <c r="G22" s="6">
        <v>0</v>
      </c>
      <c r="H22" s="6">
        <v>0.05</v>
      </c>
      <c r="I22" s="6">
        <v>0</v>
      </c>
      <c r="J22" s="2" t="s">
        <v>109</v>
      </c>
    </row>
    <row r="23" spans="1:10" ht="39" customHeight="1">
      <c r="A23" s="2" t="s">
        <v>110</v>
      </c>
      <c r="B23" s="2" t="s">
        <v>111</v>
      </c>
      <c r="C23" s="2" t="s">
        <v>53</v>
      </c>
      <c r="D23" s="6">
        <v>0.95</v>
      </c>
      <c r="E23" s="6">
        <v>0.95</v>
      </c>
      <c r="F23" s="6">
        <v>0.95</v>
      </c>
      <c r="G23" s="6">
        <v>0.95</v>
      </c>
      <c r="H23" s="6">
        <v>0.95</v>
      </c>
      <c r="I23" s="6">
        <v>0.95</v>
      </c>
      <c r="J23" s="2" t="s">
        <v>112</v>
      </c>
    </row>
    <row r="24" spans="1:10" ht="39" customHeight="1">
      <c r="A24" s="2" t="s">
        <v>113</v>
      </c>
      <c r="B24" s="2" t="s">
        <v>114</v>
      </c>
      <c r="C24" s="2" t="s">
        <v>115</v>
      </c>
      <c r="D24" s="5">
        <v>3</v>
      </c>
      <c r="E24" s="5">
        <v>3</v>
      </c>
      <c r="F24" s="5">
        <v>3</v>
      </c>
      <c r="G24" s="5">
        <v>3</v>
      </c>
      <c r="H24" s="5">
        <v>3</v>
      </c>
      <c r="I24" s="5">
        <v>3</v>
      </c>
      <c r="J24" s="2" t="s">
        <v>116</v>
      </c>
    </row>
    <row r="25" spans="1:10" ht="39" customHeight="1">
      <c r="A25" s="2" t="s">
        <v>117</v>
      </c>
      <c r="B25" s="2" t="s">
        <v>118</v>
      </c>
      <c r="C25" s="2" t="s">
        <v>115</v>
      </c>
      <c r="D25" s="5">
        <v>0.5</v>
      </c>
      <c r="E25" s="5">
        <v>0.5</v>
      </c>
      <c r="F25" s="5">
        <v>0.5</v>
      </c>
      <c r="G25" s="5">
        <v>0.5</v>
      </c>
      <c r="H25" s="5">
        <v>0.5</v>
      </c>
      <c r="I25" s="5">
        <v>0.5</v>
      </c>
      <c r="J25" s="2" t="s">
        <v>119</v>
      </c>
    </row>
    <row r="26" spans="1:10" ht="39" customHeight="1">
      <c r="A26" s="2" t="s">
        <v>120</v>
      </c>
      <c r="B26" s="2" t="s">
        <v>121</v>
      </c>
      <c r="C26" s="2" t="s">
        <v>122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2" t="s">
        <v>123</v>
      </c>
    </row>
    <row r="27" spans="1:10" ht="39" customHeight="1">
      <c r="A27" s="2" t="s">
        <v>124</v>
      </c>
      <c r="B27" s="2" t="s">
        <v>125</v>
      </c>
      <c r="C27" s="2" t="s">
        <v>53</v>
      </c>
      <c r="D27" s="6">
        <v>0.98</v>
      </c>
      <c r="E27" s="6">
        <v>0.98</v>
      </c>
      <c r="F27" s="6">
        <v>0.98</v>
      </c>
      <c r="G27" s="6">
        <v>0.98</v>
      </c>
      <c r="H27" s="6">
        <v>0.98</v>
      </c>
      <c r="I27" s="6">
        <v>0.98</v>
      </c>
      <c r="J27" s="2" t="s">
        <v>126</v>
      </c>
    </row>
    <row r="28" spans="1:10" ht="39" customHeight="1">
      <c r="A28" s="2" t="s">
        <v>127</v>
      </c>
      <c r="B28" s="2" t="s">
        <v>128</v>
      </c>
      <c r="C28" s="2" t="s">
        <v>129</v>
      </c>
      <c r="D28" s="5">
        <v>12</v>
      </c>
      <c r="E28" s="5">
        <v>12</v>
      </c>
      <c r="F28" s="5">
        <v>12</v>
      </c>
      <c r="G28" s="5">
        <v>12</v>
      </c>
      <c r="H28" s="5">
        <v>12</v>
      </c>
      <c r="I28" s="5">
        <v>12</v>
      </c>
      <c r="J28" s="2" t="s">
        <v>130</v>
      </c>
    </row>
    <row r="29" spans="1:10" ht="39" customHeight="1">
      <c r="A29" s="2" t="s">
        <v>131</v>
      </c>
      <c r="B29" s="2" t="s">
        <v>132</v>
      </c>
      <c r="C29" s="2" t="s">
        <v>133</v>
      </c>
      <c r="D29" s="5">
        <v>15</v>
      </c>
      <c r="E29" s="5">
        <v>15</v>
      </c>
      <c r="F29" s="5">
        <v>15</v>
      </c>
      <c r="G29" s="5">
        <v>15</v>
      </c>
      <c r="H29" s="5">
        <v>15</v>
      </c>
      <c r="I29" s="5">
        <v>15</v>
      </c>
      <c r="J29" s="2" t="s">
        <v>134</v>
      </c>
    </row>
    <row r="30" spans="1:10" ht="39" customHeight="1">
      <c r="A30" s="2" t="s">
        <v>135</v>
      </c>
      <c r="B30" s="2" t="s">
        <v>136</v>
      </c>
      <c r="C30" s="2" t="s">
        <v>137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0.1</v>
      </c>
      <c r="J30" s="2" t="s">
        <v>138</v>
      </c>
    </row>
    <row r="31" spans="1:10" ht="39" customHeight="1">
      <c r="A31" s="2" t="s">
        <v>139</v>
      </c>
      <c r="B31" s="2" t="s">
        <v>140</v>
      </c>
      <c r="C31" s="2" t="s">
        <v>129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2" t="s">
        <v>141</v>
      </c>
    </row>
    <row r="32" spans="1:10" ht="39" customHeight="1">
      <c r="A32" s="2" t="s">
        <v>142</v>
      </c>
      <c r="B32" s="2" t="s">
        <v>143</v>
      </c>
      <c r="C32" s="2" t="s">
        <v>53</v>
      </c>
      <c r="D32" s="6">
        <v>0.01</v>
      </c>
      <c r="E32" s="6">
        <v>0.01</v>
      </c>
      <c r="F32" s="6">
        <v>0.01</v>
      </c>
      <c r="G32" s="6">
        <v>0.01</v>
      </c>
      <c r="H32" s="6">
        <v>0.01</v>
      </c>
      <c r="I32" s="6">
        <v>0.01</v>
      </c>
      <c r="J32" s="2" t="s">
        <v>144</v>
      </c>
    </row>
  </sheetData>
  <mergeCells count="2">
    <mergeCell ref="A1:J1"/>
    <mergeCell ref="A2:J2"/>
  </mergeCells>
  <dataValidations count="162">
    <dataValidation type="whole" allowBlank="1" showInputMessage="1" showErrorMessage="1" sqref="D5">
      <formula1>0</formula1>
      <formula2>1</formula2>
    </dataValidation>
    <dataValidation type="whole" allowBlank="1" showInputMessage="1" showErrorMessage="1" sqref="E5">
      <formula1>0</formula1>
      <formula2>1</formula2>
    </dataValidation>
    <dataValidation type="whole" allowBlank="1" showInputMessage="1" showErrorMessage="1" sqref="F5">
      <formula1>0</formula1>
      <formula2>1</formula2>
    </dataValidation>
    <dataValidation type="whole" allowBlank="1" showInputMessage="1" showErrorMessage="1" sqref="G5">
      <formula1>0</formula1>
      <formula2>1</formula2>
    </dataValidation>
    <dataValidation type="whole" allowBlank="1" showInputMessage="1" showErrorMessage="1" sqref="H5">
      <formula1>0</formula1>
      <formula2>1</formula2>
    </dataValidation>
    <dataValidation type="whole" allowBlank="1" showInputMessage="1" showErrorMessage="1" sqref="I5">
      <formula1>0</formula1>
      <formula2>1</formula2>
    </dataValidation>
    <dataValidation type="decimal" allowBlank="1" showInputMessage="1" showErrorMessage="1" sqref="D6">
      <formula1>0</formula1>
      <formula2>1</formula2>
    </dataValidation>
    <dataValidation type="decimal" allowBlank="1" showInputMessage="1" showErrorMessage="1" sqref="E6">
      <formula1>0</formula1>
      <formula2>1</formula2>
    </dataValidation>
    <dataValidation type="decimal" allowBlank="1" showInputMessage="1" showErrorMessage="1" sqref="F6">
      <formula1>0</formula1>
      <formula2>1</formula2>
    </dataValidation>
    <dataValidation type="decimal" allowBlank="1" showInputMessage="1" showErrorMessage="1" sqref="G6">
      <formula1>0</formula1>
      <formula2>1</formula2>
    </dataValidation>
    <dataValidation type="decimal" allowBlank="1" showInputMessage="1" showErrorMessage="1" sqref="H6">
      <formula1>0</formula1>
      <formula2>1</formula2>
    </dataValidation>
    <dataValidation type="decimal" allowBlank="1" showInputMessage="1" showErrorMessage="1" sqref="I6">
      <formula1>0</formula1>
      <formula2>1</formula2>
    </dataValidation>
    <dataValidation type="decimal" allowBlank="1" showInputMessage="1" showErrorMessage="1" sqref="D7">
      <formula1>0</formula1>
      <formula2>1</formula2>
    </dataValidation>
    <dataValidation type="decimal" allowBlank="1" showInputMessage="1" showErrorMessage="1" sqref="E7">
      <formula1>0</formula1>
      <formula2>1</formula2>
    </dataValidation>
    <dataValidation type="decimal" allowBlank="1" showInputMessage="1" showErrorMessage="1" sqref="F7">
      <formula1>0</formula1>
      <formula2>1</formula2>
    </dataValidation>
    <dataValidation type="decimal" allowBlank="1" showInputMessage="1" showErrorMessage="1" sqref="G7">
      <formula1>0</formula1>
      <formula2>1</formula2>
    </dataValidation>
    <dataValidation type="decimal" allowBlank="1" showInputMessage="1" showErrorMessage="1" sqref="H7">
      <formula1>0</formula1>
      <formula2>1</formula2>
    </dataValidation>
    <dataValidation type="decimal" allowBlank="1" showInputMessage="1" showErrorMessage="1" sqref="I7">
      <formula1>0</formula1>
      <formula2>1</formula2>
    </dataValidation>
    <dataValidation type="decimal" allowBlank="1" showInputMessage="1" showErrorMessage="1" sqref="D8">
      <formula1>0</formula1>
      <formula2>1</formula2>
    </dataValidation>
    <dataValidation type="decimal" allowBlank="1" showInputMessage="1" showErrorMessage="1" sqref="E8">
      <formula1>0</formula1>
      <formula2>1</formula2>
    </dataValidation>
    <dataValidation type="decimal" allowBlank="1" showInputMessage="1" showErrorMessage="1" sqref="F8">
      <formula1>0</formula1>
      <formula2>1</formula2>
    </dataValidation>
    <dataValidation type="decimal" allowBlank="1" showInputMessage="1" showErrorMessage="1" sqref="G8">
      <formula1>0</formula1>
      <formula2>1</formula2>
    </dataValidation>
    <dataValidation type="decimal" allowBlank="1" showInputMessage="1" showErrorMessage="1" sqref="H8">
      <formula1>0</formula1>
      <formula2>1</formula2>
    </dataValidation>
    <dataValidation type="decimal" allowBlank="1" showInputMessage="1" showErrorMessage="1" sqref="I8">
      <formula1>0</formula1>
      <formula2>1</formula2>
    </dataValidation>
    <dataValidation type="decimal" allowBlank="1" showInputMessage="1" showErrorMessage="1" sqref="D9">
      <formula1>0</formula1>
      <formula2>1</formula2>
    </dataValidation>
    <dataValidation type="decimal" allowBlank="1" showInputMessage="1" showErrorMessage="1" sqref="E9">
      <formula1>0</formula1>
      <formula2>1</formula2>
    </dataValidation>
    <dataValidation type="decimal" allowBlank="1" showInputMessage="1" showErrorMessage="1" sqref="F9">
      <formula1>0</formula1>
      <formula2>1</formula2>
    </dataValidation>
    <dataValidation type="decimal" allowBlank="1" showInputMessage="1" showErrorMessage="1" sqref="G9">
      <formula1>0</formula1>
      <formula2>1</formula2>
    </dataValidation>
    <dataValidation type="decimal" allowBlank="1" showInputMessage="1" showErrorMessage="1" sqref="H9">
      <formula1>0</formula1>
      <formula2>1</formula2>
    </dataValidation>
    <dataValidation type="decimal" allowBlank="1" showInputMessage="1" showErrorMessage="1" sqref="I9">
      <formula1>0</formula1>
      <formula2>1</formula2>
    </dataValidation>
    <dataValidation type="decimal" operator="greaterThanOrEqual" allowBlank="1" showInputMessage="1" showErrorMessage="1" sqref="D10">
      <formula1>0</formula1>
    </dataValidation>
    <dataValidation type="decimal" operator="greaterThanOrEqual" allowBlank="1" showInputMessage="1" showErrorMessage="1" sqref="E10">
      <formula1>0</formula1>
    </dataValidation>
    <dataValidation type="decimal" operator="greaterThanOrEqual" allowBlank="1" showInputMessage="1" showErrorMessage="1" sqref="F10">
      <formula1>0</formula1>
    </dataValidation>
    <dataValidation type="decimal" operator="greaterThanOrEqual" allowBlank="1" showInputMessage="1" showErrorMessage="1" sqref="G10">
      <formula1>0</formula1>
    </dataValidation>
    <dataValidation type="decimal" operator="greaterThanOrEqual" allowBlank="1" showInputMessage="1" showErrorMessage="1" sqref="H10">
      <formula1>0</formula1>
    </dataValidation>
    <dataValidation type="decimal" operator="greaterThanOrEqual" allowBlank="1" showInputMessage="1" showErrorMessage="1" sqref="I10">
      <formula1>0</formula1>
    </dataValidation>
    <dataValidation type="decimal" operator="greaterThanOrEqual" allowBlank="1" showInputMessage="1" showErrorMessage="1" sqref="D11">
      <formula1>0</formula1>
    </dataValidation>
    <dataValidation type="decimal" operator="greaterThanOrEqual" allowBlank="1" showInputMessage="1" showErrorMessage="1" sqref="E11">
      <formula1>0</formula1>
    </dataValidation>
    <dataValidation type="decimal" operator="greaterThanOrEqual" allowBlank="1" showInputMessage="1" showErrorMessage="1" sqref="F11">
      <formula1>0</formula1>
    </dataValidation>
    <dataValidation type="decimal" operator="greaterThanOrEqual" allowBlank="1" showInputMessage="1" showErrorMessage="1" sqref="G11">
      <formula1>0</formula1>
    </dataValidation>
    <dataValidation type="decimal" operator="greaterThanOrEqual" allowBlank="1" showInputMessage="1" showErrorMessage="1" sqref="H11">
      <formula1>0</formula1>
    </dataValidation>
    <dataValidation type="decimal" operator="greaterThanOrEqual" allowBlank="1" showInputMessage="1" showErrorMessage="1" sqref="I11">
      <formula1>0</formula1>
    </dataValidation>
    <dataValidation type="decimal" allowBlank="1" showInputMessage="1" showErrorMessage="1" sqref="D12">
      <formula1>0</formula1>
      <formula2>1</formula2>
    </dataValidation>
    <dataValidation type="decimal" allowBlank="1" showInputMessage="1" showErrorMessage="1" sqref="E12">
      <formula1>0</formula1>
      <formula2>1</formula2>
    </dataValidation>
    <dataValidation type="decimal" allowBlank="1" showInputMessage="1" showErrorMessage="1" sqref="F12">
      <formula1>0</formula1>
      <formula2>1</formula2>
    </dataValidation>
    <dataValidation type="decimal" allowBlank="1" showInputMessage="1" showErrorMessage="1" sqref="G12">
      <formula1>0</formula1>
      <formula2>1</formula2>
    </dataValidation>
    <dataValidation type="decimal" allowBlank="1" showInputMessage="1" showErrorMessage="1" sqref="H12">
      <formula1>0</formula1>
      <formula2>1</formula2>
    </dataValidation>
    <dataValidation type="decimal" allowBlank="1" showInputMessage="1" showErrorMessage="1" sqref="I12">
      <formula1>0</formula1>
      <formula2>1</formula2>
    </dataValidation>
    <dataValidation type="decimal" allowBlank="1" showInputMessage="1" showErrorMessage="1" sqref="D13">
      <formula1>0</formula1>
      <formula2>1</formula2>
    </dataValidation>
    <dataValidation type="decimal" allowBlank="1" showInputMessage="1" showErrorMessage="1" sqref="E13">
      <formula1>0</formula1>
      <formula2>1</formula2>
    </dataValidation>
    <dataValidation type="decimal" allowBlank="1" showInputMessage="1" showErrorMessage="1" sqref="F13">
      <formula1>0</formula1>
      <formula2>1</formula2>
    </dataValidation>
    <dataValidation type="decimal" allowBlank="1" showInputMessage="1" showErrorMessage="1" sqref="G13">
      <formula1>0</formula1>
      <formula2>1</formula2>
    </dataValidation>
    <dataValidation type="decimal" allowBlank="1" showInputMessage="1" showErrorMessage="1" sqref="H13">
      <formula1>0</formula1>
      <formula2>1</formula2>
    </dataValidation>
    <dataValidation type="decimal" allowBlank="1" showInputMessage="1" showErrorMessage="1" sqref="I13">
      <formula1>0</formula1>
      <formula2>1</formula2>
    </dataValidation>
    <dataValidation type="decimal" allowBlank="1" showInputMessage="1" showErrorMessage="1" sqref="D15">
      <formula1>0</formula1>
      <formula2>1</formula2>
    </dataValidation>
    <dataValidation type="decimal" allowBlank="1" showInputMessage="1" showErrorMessage="1" sqref="E15">
      <formula1>0</formula1>
      <formula2>1</formula2>
    </dataValidation>
    <dataValidation type="decimal" allowBlank="1" showInputMessage="1" showErrorMessage="1" sqref="F15">
      <formula1>0</formula1>
      <formula2>1</formula2>
    </dataValidation>
    <dataValidation type="decimal" allowBlank="1" showInputMessage="1" showErrorMessage="1" sqref="G15">
      <formula1>0</formula1>
      <formula2>1</formula2>
    </dataValidation>
    <dataValidation type="decimal" allowBlank="1" showInputMessage="1" showErrorMessage="1" sqref="H15">
      <formula1>0</formula1>
      <formula2>1</formula2>
    </dataValidation>
    <dataValidation type="decimal" allowBlank="1" showInputMessage="1" showErrorMessage="1" sqref="I15">
      <formula1>0</formula1>
      <formula2>1</formula2>
    </dataValidation>
    <dataValidation type="decimal" operator="greaterThanOrEqual" allowBlank="1" showInputMessage="1" showErrorMessage="1" sqref="D16">
      <formula1>0</formula1>
    </dataValidation>
    <dataValidation type="decimal" operator="greaterThanOrEqual" allowBlank="1" showInputMessage="1" showErrorMessage="1" sqref="E16">
      <formula1>0</formula1>
    </dataValidation>
    <dataValidation type="decimal" operator="greaterThanOrEqual" allowBlank="1" showInputMessage="1" showErrorMessage="1" sqref="F16">
      <formula1>0</formula1>
    </dataValidation>
    <dataValidation type="decimal" operator="greaterThanOrEqual" allowBlank="1" showInputMessage="1" showErrorMessage="1" sqref="G16">
      <formula1>0</formula1>
    </dataValidation>
    <dataValidation type="decimal" operator="greaterThanOrEqual" allowBlank="1" showInputMessage="1" showErrorMessage="1" sqref="H16">
      <formula1>0</formula1>
    </dataValidation>
    <dataValidation type="decimal" operator="greaterThanOrEqual" allowBlank="1" showInputMessage="1" showErrorMessage="1" sqref="I16">
      <formula1>0</formula1>
    </dataValidation>
    <dataValidation type="decimal" operator="greaterThanOrEqual" allowBlank="1" showInputMessage="1" showErrorMessage="1" sqref="D17">
      <formula1>0</formula1>
    </dataValidation>
    <dataValidation type="decimal" operator="greaterThanOrEqual" allowBlank="1" showInputMessage="1" showErrorMessage="1" sqref="E17">
      <formula1>0</formula1>
    </dataValidation>
    <dataValidation type="decimal" operator="greaterThanOrEqual" allowBlank="1" showInputMessage="1" showErrorMessage="1" sqref="F17">
      <formula1>0</formula1>
    </dataValidation>
    <dataValidation type="decimal" operator="greaterThanOrEqual" allowBlank="1" showInputMessage="1" showErrorMessage="1" sqref="G17">
      <formula1>0</formula1>
    </dataValidation>
    <dataValidation type="decimal" operator="greaterThanOrEqual" allowBlank="1" showInputMessage="1" showErrorMessage="1" sqref="H17">
      <formula1>0</formula1>
    </dataValidation>
    <dataValidation type="decimal" operator="greaterThanOrEqual" allowBlank="1" showInputMessage="1" showErrorMessage="1" sqref="I17">
      <formula1>0</formula1>
    </dataValidation>
    <dataValidation type="decimal" operator="greaterThanOrEqual" allowBlank="1" showInputMessage="1" showErrorMessage="1" sqref="D18">
      <formula1>0</formula1>
    </dataValidation>
    <dataValidation type="decimal" operator="greaterThanOrEqual" allowBlank="1" showInputMessage="1" showErrorMessage="1" sqref="E18">
      <formula1>0</formula1>
    </dataValidation>
    <dataValidation type="decimal" operator="greaterThanOrEqual" allowBlank="1" showInputMessage="1" showErrorMessage="1" sqref="F18">
      <formula1>0</formula1>
    </dataValidation>
    <dataValidation type="decimal" operator="greaterThanOrEqual" allowBlank="1" showInputMessage="1" showErrorMessage="1" sqref="G18">
      <formula1>0</formula1>
    </dataValidation>
    <dataValidation type="decimal" operator="greaterThanOrEqual" allowBlank="1" showInputMessage="1" showErrorMessage="1" sqref="H18">
      <formula1>0</formula1>
    </dataValidation>
    <dataValidation type="decimal" operator="greaterThanOrEqual" allowBlank="1" showInputMessage="1" showErrorMessage="1" sqref="I18">
      <formula1>0</formula1>
    </dataValidation>
    <dataValidation type="decimal" operator="greaterThanOrEqual" allowBlank="1" showInputMessage="1" showErrorMessage="1" sqref="D19">
      <formula1>0</formula1>
    </dataValidation>
    <dataValidation type="decimal" operator="greaterThanOrEqual" allowBlank="1" showInputMessage="1" showErrorMessage="1" sqref="E19">
      <formula1>0</formula1>
    </dataValidation>
    <dataValidation type="decimal" operator="greaterThanOrEqual" allowBlank="1" showInputMessage="1" showErrorMessage="1" sqref="F19">
      <formula1>0</formula1>
    </dataValidation>
    <dataValidation type="decimal" operator="greaterThanOrEqual" allowBlank="1" showInputMessage="1" showErrorMessage="1" sqref="G19">
      <formula1>0</formula1>
    </dataValidation>
    <dataValidation type="decimal" operator="greaterThanOrEqual" allowBlank="1" showInputMessage="1" showErrorMessage="1" sqref="H19">
      <formula1>0</formula1>
    </dataValidation>
    <dataValidation type="decimal" operator="greaterThanOrEqual" allowBlank="1" showInputMessage="1" showErrorMessage="1" sqref="I19">
      <formula1>0</formula1>
    </dataValidation>
    <dataValidation type="decimal" operator="greaterThanOrEqual" allowBlank="1" showInputMessage="1" showErrorMessage="1" sqref="D20">
      <formula1>0</formula1>
    </dataValidation>
    <dataValidation type="decimal" operator="greaterThanOrEqual" allowBlank="1" showInputMessage="1" showErrorMessage="1" sqref="E20">
      <formula1>0</formula1>
    </dataValidation>
    <dataValidation type="decimal" operator="greaterThanOrEqual" allowBlank="1" showInputMessage="1" showErrorMessage="1" sqref="F20">
      <formula1>0</formula1>
    </dataValidation>
    <dataValidation type="decimal" operator="greaterThanOrEqual" allowBlank="1" showInputMessage="1" showErrorMessage="1" sqref="G20">
      <formula1>0</formula1>
    </dataValidation>
    <dataValidation type="decimal" operator="greaterThanOrEqual" allowBlank="1" showInputMessage="1" showErrorMessage="1" sqref="H20">
      <formula1>0</formula1>
    </dataValidation>
    <dataValidation type="decimal" operator="greaterThanOrEqual" allowBlank="1" showInputMessage="1" showErrorMessage="1" sqref="I20">
      <formula1>0</formula1>
    </dataValidation>
    <dataValidation type="decimal" operator="greaterThanOrEqual" allowBlank="1" showInputMessage="1" showErrorMessage="1" sqref="D21">
      <formula1>0</formula1>
    </dataValidation>
    <dataValidation type="decimal" operator="greaterThanOrEqual" allowBlank="1" showInputMessage="1" showErrorMessage="1" sqref="E21">
      <formula1>0</formula1>
    </dataValidation>
    <dataValidation type="decimal" operator="greaterThanOrEqual" allowBlank="1" showInputMessage="1" showErrorMessage="1" sqref="F21">
      <formula1>0</formula1>
    </dataValidation>
    <dataValidation type="decimal" operator="greaterThanOrEqual" allowBlank="1" showInputMessage="1" showErrorMessage="1" sqref="G21">
      <formula1>0</formula1>
    </dataValidation>
    <dataValidation type="decimal" operator="greaterThanOrEqual" allowBlank="1" showInputMessage="1" showErrorMessage="1" sqref="H21">
      <formula1>0</formula1>
    </dataValidation>
    <dataValidation type="decimal" operator="greaterThanOrEqual" allowBlank="1" showInputMessage="1" showErrorMessage="1" sqref="I21">
      <formula1>0</formula1>
    </dataValidation>
    <dataValidation type="decimal" allowBlank="1" showInputMessage="1" showErrorMessage="1" sqref="D22">
      <formula1>0</formula1>
      <formula2>1</formula2>
    </dataValidation>
    <dataValidation type="decimal" allowBlank="1" showInputMessage="1" showErrorMessage="1" sqref="E22">
      <formula1>0</formula1>
      <formula2>1</formula2>
    </dataValidation>
    <dataValidation type="decimal" allowBlank="1" showInputMessage="1" showErrorMessage="1" sqref="F22">
      <formula1>0</formula1>
      <formula2>1</formula2>
    </dataValidation>
    <dataValidation type="decimal" allowBlank="1" showInputMessage="1" showErrorMessage="1" sqref="G22">
      <formula1>0</formula1>
      <formula2>1</formula2>
    </dataValidation>
    <dataValidation type="decimal" allowBlank="1" showInputMessage="1" showErrorMessage="1" sqref="H22">
      <formula1>0</formula1>
      <formula2>1</formula2>
    </dataValidation>
    <dataValidation type="decimal" allowBlank="1" showInputMessage="1" showErrorMessage="1" sqref="I22">
      <formula1>0</formula1>
      <formula2>1</formula2>
    </dataValidation>
    <dataValidation type="decimal" allowBlank="1" showInputMessage="1" showErrorMessage="1" sqref="D23">
      <formula1>0</formula1>
      <formula2>1</formula2>
    </dataValidation>
    <dataValidation type="decimal" allowBlank="1" showInputMessage="1" showErrorMessage="1" sqref="E23">
      <formula1>0</formula1>
      <formula2>1</formula2>
    </dataValidation>
    <dataValidation type="decimal" allowBlank="1" showInputMessage="1" showErrorMessage="1" sqref="F23">
      <formula1>0</formula1>
      <formula2>1</formula2>
    </dataValidation>
    <dataValidation type="decimal" allowBlank="1" showInputMessage="1" showErrorMessage="1" sqref="G23">
      <formula1>0</formula1>
      <formula2>1</formula2>
    </dataValidation>
    <dataValidation type="decimal" allowBlank="1" showInputMessage="1" showErrorMessage="1" sqref="H23">
      <formula1>0</formula1>
      <formula2>1</formula2>
    </dataValidation>
    <dataValidation type="decimal" allowBlank="1" showInputMessage="1" showErrorMessage="1" sqref="I23">
      <formula1>0</formula1>
      <formula2>1</formula2>
    </dataValidation>
    <dataValidation type="decimal" operator="greaterThanOrEqual" allowBlank="1" showInputMessage="1" showErrorMessage="1" sqref="D24">
      <formula1>0</formula1>
    </dataValidation>
    <dataValidation type="decimal" operator="greaterThanOrEqual" allowBlank="1" showInputMessage="1" showErrorMessage="1" sqref="E24">
      <formula1>0</formula1>
    </dataValidation>
    <dataValidation type="decimal" operator="greaterThanOrEqual" allowBlank="1" showInputMessage="1" showErrorMessage="1" sqref="F24">
      <formula1>0</formula1>
    </dataValidation>
    <dataValidation type="decimal" operator="greaterThanOrEqual" allowBlank="1" showInputMessage="1" showErrorMessage="1" sqref="G24">
      <formula1>0</formula1>
    </dataValidation>
    <dataValidation type="decimal" operator="greaterThanOrEqual" allowBlank="1" showInputMessage="1" showErrorMessage="1" sqref="H24">
      <formula1>0</formula1>
    </dataValidation>
    <dataValidation type="decimal" operator="greaterThanOrEqual" allowBlank="1" showInputMessage="1" showErrorMessage="1" sqref="I24">
      <formula1>0</formula1>
    </dataValidation>
    <dataValidation type="decimal" operator="greaterThanOrEqual" allowBlank="1" showInputMessage="1" showErrorMessage="1" sqref="D25">
      <formula1>0</formula1>
    </dataValidation>
    <dataValidation type="decimal" operator="greaterThanOrEqual" allowBlank="1" showInputMessage="1" showErrorMessage="1" sqref="E25">
      <formula1>0</formula1>
    </dataValidation>
    <dataValidation type="decimal" operator="greaterThanOrEqual" allowBlank="1" showInputMessage="1" showErrorMessage="1" sqref="F25">
      <formula1>0</formula1>
    </dataValidation>
    <dataValidation type="decimal" operator="greaterThanOrEqual" allowBlank="1" showInputMessage="1" showErrorMessage="1" sqref="G25">
      <formula1>0</formula1>
    </dataValidation>
    <dataValidation type="decimal" operator="greaterThanOrEqual" allowBlank="1" showInputMessage="1" showErrorMessage="1" sqref="H25">
      <formula1>0</formula1>
    </dataValidation>
    <dataValidation type="decimal" operator="greaterThanOrEqual" allowBlank="1" showInputMessage="1" showErrorMessage="1" sqref="I25">
      <formula1>0</formula1>
    </dataValidation>
    <dataValidation type="whole" allowBlank="1" showInputMessage="1" showErrorMessage="1" sqref="D26">
      <formula1>0</formula1>
      <formula2>1</formula2>
    </dataValidation>
    <dataValidation type="whole" allowBlank="1" showInputMessage="1" showErrorMessage="1" sqref="E26">
      <formula1>0</formula1>
      <formula2>1</formula2>
    </dataValidation>
    <dataValidation type="whole" allowBlank="1" showInputMessage="1" showErrorMessage="1" sqref="F26">
      <formula1>0</formula1>
      <formula2>1</formula2>
    </dataValidation>
    <dataValidation type="whole" allowBlank="1" showInputMessage="1" showErrorMessage="1" sqref="G26">
      <formula1>0</formula1>
      <formula2>1</formula2>
    </dataValidation>
    <dataValidation type="whole" allowBlank="1" showInputMessage="1" showErrorMessage="1" sqref="H26">
      <formula1>0</formula1>
      <formula2>1</formula2>
    </dataValidation>
    <dataValidation type="whole" allowBlank="1" showInputMessage="1" showErrorMessage="1" sqref="I26">
      <formula1>0</formula1>
      <formula2>1</formula2>
    </dataValidation>
    <dataValidation type="decimal" allowBlank="1" showInputMessage="1" showErrorMessage="1" sqref="D27">
      <formula1>0</formula1>
      <formula2>1</formula2>
    </dataValidation>
    <dataValidation type="decimal" allowBlank="1" showInputMessage="1" showErrorMessage="1" sqref="E27">
      <formula1>0</formula1>
      <formula2>1</formula2>
    </dataValidation>
    <dataValidation type="decimal" allowBlank="1" showInputMessage="1" showErrorMessage="1" sqref="F27">
      <formula1>0</formula1>
      <formula2>1</formula2>
    </dataValidation>
    <dataValidation type="decimal" allowBlank="1" showInputMessage="1" showErrorMessage="1" sqref="G27">
      <formula1>0</formula1>
      <formula2>1</formula2>
    </dataValidation>
    <dataValidation type="decimal" allowBlank="1" showInputMessage="1" showErrorMessage="1" sqref="H27">
      <formula1>0</formula1>
      <formula2>1</formula2>
    </dataValidation>
    <dataValidation type="decimal" allowBlank="1" showInputMessage="1" showErrorMessage="1" sqref="I27">
      <formula1>0</formula1>
      <formula2>1</formula2>
    </dataValidation>
    <dataValidation type="whole" operator="greaterThanOrEqual" allowBlank="1" showInputMessage="1" showErrorMessage="1" sqref="D28">
      <formula1>1</formula1>
    </dataValidation>
    <dataValidation type="whole" operator="greaterThanOrEqual" allowBlank="1" showInputMessage="1" showErrorMessage="1" sqref="E28">
      <formula1>1</formula1>
    </dataValidation>
    <dataValidation type="whole" operator="greaterThanOrEqual" allowBlank="1" showInputMessage="1" showErrorMessage="1" sqref="F28">
      <formula1>1</formula1>
    </dataValidation>
    <dataValidation type="whole" operator="greaterThanOrEqual" allowBlank="1" showInputMessage="1" showErrorMessage="1" sqref="G28">
      <formula1>1</formula1>
    </dataValidation>
    <dataValidation type="whole" operator="greaterThanOrEqual" allowBlank="1" showInputMessage="1" showErrorMessage="1" sqref="H28">
      <formula1>1</formula1>
    </dataValidation>
    <dataValidation type="whole" operator="greaterThanOrEqual" allowBlank="1" showInputMessage="1" showErrorMessage="1" sqref="I28">
      <formula1>1</formula1>
    </dataValidation>
    <dataValidation type="decimal" operator="greaterThanOrEqual" allowBlank="1" showInputMessage="1" showErrorMessage="1" sqref="D29">
      <formula1>0</formula1>
    </dataValidation>
    <dataValidation type="decimal" operator="greaterThanOrEqual" allowBlank="1" showInputMessage="1" showErrorMessage="1" sqref="E29">
      <formula1>0</formula1>
    </dataValidation>
    <dataValidation type="decimal" operator="greaterThanOrEqual" allowBlank="1" showInputMessage="1" showErrorMessage="1" sqref="F29">
      <formula1>0</formula1>
    </dataValidation>
    <dataValidation type="decimal" operator="greaterThanOrEqual" allowBlank="1" showInputMessage="1" showErrorMessage="1" sqref="G29">
      <formula1>0</formula1>
    </dataValidation>
    <dataValidation type="decimal" operator="greaterThanOrEqual" allowBlank="1" showInputMessage="1" showErrorMessage="1" sqref="H29">
      <formula1>0</formula1>
    </dataValidation>
    <dataValidation type="decimal" operator="greaterThanOrEqual" allowBlank="1" showInputMessage="1" showErrorMessage="1" sqref="I29">
      <formula1>0</formula1>
    </dataValidation>
    <dataValidation type="decimal" operator="greaterThanOrEqual" allowBlank="1" showInputMessage="1" showErrorMessage="1" sqref="D30">
      <formula1>0</formula1>
    </dataValidation>
    <dataValidation type="decimal" operator="greaterThanOrEqual" allowBlank="1" showInputMessage="1" showErrorMessage="1" sqref="E30">
      <formula1>0</formula1>
    </dataValidation>
    <dataValidation type="decimal" operator="greaterThanOrEqual" allowBlank="1" showInputMessage="1" showErrorMessage="1" sqref="F30">
      <formula1>0</formula1>
    </dataValidation>
    <dataValidation type="decimal" operator="greaterThanOrEqual" allowBlank="1" showInputMessage="1" showErrorMessage="1" sqref="G30">
      <formula1>0</formula1>
    </dataValidation>
    <dataValidation type="decimal" operator="greaterThanOrEqual" allowBlank="1" showInputMessage="1" showErrorMessage="1" sqref="H30">
      <formula1>0</formula1>
    </dataValidation>
    <dataValidation type="decimal" operator="greaterThanOrEqual" allowBlank="1" showInputMessage="1" showErrorMessage="1" sqref="I30">
      <formula1>0</formula1>
    </dataValidation>
    <dataValidation type="whole" operator="greaterThanOrEqual" allowBlank="1" showInputMessage="1" showErrorMessage="1" sqref="D31">
      <formula1>0</formula1>
    </dataValidation>
    <dataValidation type="whole" operator="greaterThanOrEqual" allowBlank="1" showInputMessage="1" showErrorMessage="1" sqref="E31">
      <formula1>0</formula1>
    </dataValidation>
    <dataValidation type="whole" operator="greaterThanOrEqual" allowBlank="1" showInputMessage="1" showErrorMessage="1" sqref="F31">
      <formula1>0</formula1>
    </dataValidation>
    <dataValidation type="whole" operator="greaterThanOrEqual" allowBlank="1" showInputMessage="1" showErrorMessage="1" sqref="G31">
      <formula1>0</formula1>
    </dataValidation>
    <dataValidation type="whole" operator="greaterThanOrEqual" allowBlank="1" showInputMessage="1" showErrorMessage="1" sqref="H31">
      <formula1>0</formula1>
    </dataValidation>
    <dataValidation type="whole" operator="greaterThanOrEqual" allowBlank="1" showInputMessage="1" showErrorMessage="1" sqref="I31">
      <formula1>0</formula1>
    </dataValidation>
    <dataValidation type="decimal" allowBlank="1" showInputMessage="1" showErrorMessage="1" sqref="D32">
      <formula1>0</formula1>
      <formula2>1</formula2>
    </dataValidation>
    <dataValidation type="decimal" allowBlank="1" showInputMessage="1" showErrorMessage="1" sqref="E32">
      <formula1>0</formula1>
      <formula2>1</formula2>
    </dataValidation>
    <dataValidation type="decimal" allowBlank="1" showInputMessage="1" showErrorMessage="1" sqref="F32">
      <formula1>0</formula1>
      <formula2>1</formula2>
    </dataValidation>
    <dataValidation type="decimal" allowBlank="1" showInputMessage="1" showErrorMessage="1" sqref="G32">
      <formula1>0</formula1>
      <formula2>1</formula2>
    </dataValidation>
    <dataValidation type="decimal" allowBlank="1" showInputMessage="1" showErrorMessage="1" sqref="H32">
      <formula1>0</formula1>
      <formula2>1</formula2>
    </dataValidation>
    <dataValidation type="decimal" allowBlank="1" showInputMessage="1" showErrorMessage="1" sqref="I32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55.7109375" customWidth="1"/>
    <col min="3" max="10" width="25.7109375" customWidth="1"/>
    <col min="11" max="11" width="32.7109375" customWidth="1"/>
  </cols>
  <sheetData>
    <row r="1" spans="1:11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146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  <c r="K4" s="4" t="s">
        <v>157</v>
      </c>
    </row>
    <row r="5" spans="1:11" ht="44" customHeight="1">
      <c r="A5" s="2" t="s">
        <v>40</v>
      </c>
      <c r="B5" s="2" t="s">
        <v>186</v>
      </c>
      <c r="C5" s="7">
        <f>SUM(S1!Z45:Z80)</f>
        <v>1.5999999999999999</v>
      </c>
      <c r="D5" s="7">
        <f>C5-Parameters!$D$19</f>
        <v>-2.4000000000000004</v>
      </c>
      <c r="E5" s="7">
        <f>SUM(S1!M5:M40)</f>
        <v>68400.0</v>
      </c>
      <c r="F5" s="7">
        <f>SUM(S1!P5:P40)</f>
        <v>-86400.0</v>
      </c>
      <c r="G5" s="7">
        <f>SUM(S1!R5:R40)</f>
        <v>-122400.0</v>
      </c>
      <c r="H5" s="7">
        <f>SUM(S1!U5:U40)</f>
        <v>-124300.0</v>
      </c>
      <c r="I5" s="7">
        <f>S1!T40</f>
        <v>1900.0</v>
      </c>
      <c r="J5" s="7">
        <f>C5</f>
        <v>1.5999999999999999</v>
      </c>
      <c r="K5" s="2" t="str">
        <f>IF(AND(Parameters!$D$5=0,Parameters!$D$26=1),"INVALID RIGHTS COMBINATION","OK: assumptions only")</f>
        <v>OK: assumptions only</v>
      </c>
    </row>
    <row r="6" spans="1:11" ht="44" customHeight="1">
      <c r="A6" s="2" t="s">
        <v>41</v>
      </c>
      <c r="B6" s="2" t="s">
        <v>188</v>
      </c>
      <c r="C6" s="7">
        <f>SUM(S2!Z45:Z80)</f>
        <v>1.4857470117507008</v>
      </c>
      <c r="D6" s="7">
        <f>C6-Parameters!$E$19</f>
        <v>-2.514252988249299</v>
      </c>
      <c r="E6" s="7">
        <f>SUM(S2!M5:M40)</f>
        <v>68400.0</v>
      </c>
      <c r="F6" s="7">
        <f>SUM(S2!P5:P40)</f>
        <v>-90120.1947111322</v>
      </c>
      <c r="G6" s="7">
        <f>SUM(S2!R5:R40)</f>
        <v>-126120.1947111322</v>
      </c>
      <c r="H6" s="7">
        <f>SUM(S2!U5:U40)</f>
        <v>-128020.1947111322</v>
      </c>
      <c r="I6" s="7">
        <f>S2!T40</f>
        <v>1900.0</v>
      </c>
      <c r="J6" s="7">
        <f>C6</f>
        <v>1.4857470117507008</v>
      </c>
      <c r="K6" s="2" t="str">
        <f>IF(AND(Parameters!$E$5=0,Parameters!$E$26=1),"INVALID RIGHTS COMBINATION","OK: assumptions only")</f>
        <v>OK: assumptions only</v>
      </c>
    </row>
    <row r="7" spans="1:11" ht="44" customHeight="1">
      <c r="A7" s="2" t="s">
        <v>42</v>
      </c>
      <c r="B7" s="2" t="s">
        <v>190</v>
      </c>
      <c r="C7" s="7">
        <f>SUM(S3!Z45:Z80)</f>
        <v>5.174677684308811</v>
      </c>
      <c r="D7" s="7">
        <f>C7-Parameters!$F$19</f>
        <v>1.1746776843088114</v>
      </c>
      <c r="E7" s="7">
        <f>SUM(S3!M5:M40)</f>
        <v>226836.862261337</v>
      </c>
      <c r="F7" s="7">
        <f>SUM(S3!P5:P40)</f>
        <v>34834.91515001502</v>
      </c>
      <c r="G7" s="7">
        <f>SUM(S3!R5:R40)</f>
        <v>-1165.084849984983</v>
      </c>
      <c r="H7" s="7">
        <f>SUM(S3!U5:U40)</f>
        <v>-7950.749526131738</v>
      </c>
      <c r="I7" s="7">
        <f>S3!T40</f>
        <v>6785.664676146755</v>
      </c>
      <c r="J7" s="7">
        <f>C7</f>
        <v>5.174677684308811</v>
      </c>
      <c r="K7" s="2" t="str">
        <f>IF(AND(Parameters!$F$5=0,Parameters!$F$26=1),"INVALID RIGHTS COMBINATION","OK: assumptions only")</f>
        <v>OK: assumptions only</v>
      </c>
    </row>
    <row r="8" spans="1:11" ht="44" customHeight="1">
      <c r="A8" s="2" t="s">
        <v>43</v>
      </c>
      <c r="B8" s="2" t="s">
        <v>192</v>
      </c>
      <c r="C8" s="7">
        <f>SUM(S4!Z45:Z80)</f>
        <v>5.8769524938485045</v>
      </c>
      <c r="D8" s="7">
        <f>C8-Parameters!$G$19</f>
        <v>1.8769524938485045</v>
      </c>
      <c r="E8" s="7">
        <f>SUM(S4!M5:M40)</f>
        <v>247345.0758570503</v>
      </c>
      <c r="F8" s="7">
        <f>SUM(S4!P5:P40)</f>
        <v>55343.12874572835</v>
      </c>
      <c r="G8" s="7">
        <f>SUM(S4!R5:R40)</f>
        <v>19343.128745728347</v>
      </c>
      <c r="H8" s="7">
        <f>SUM(S4!U5:U40)</f>
        <v>11787.933577792817</v>
      </c>
      <c r="I8" s="7">
        <f>S4!T40</f>
        <v>7555.195167935526</v>
      </c>
      <c r="J8" s="7">
        <f>C8</f>
        <v>5.8769524938485045</v>
      </c>
      <c r="K8" s="2" t="str">
        <f>IF(AND(Parameters!$G$5=0,Parameters!$G$26=1),"INVALID RIGHTS COMBINATION","OK: assumptions only")</f>
        <v>OK: assumptions only</v>
      </c>
    </row>
    <row r="9" spans="1:11" ht="44" customHeight="1">
      <c r="A9" s="2" t="s">
        <v>44</v>
      </c>
      <c r="B9" s="2" t="s">
        <v>194</v>
      </c>
      <c r="C9" s="7">
        <f>SUM(S5!Z45:Z80)</f>
        <v>3.3578749533224266</v>
      </c>
      <c r="D9" s="7">
        <f>C9-Parameters!$H$19</f>
        <v>-0.6421250466775734</v>
      </c>
      <c r="E9" s="7">
        <f>SUM(S5!M5:M40)</f>
        <v>128393.41524292891</v>
      </c>
      <c r="F9" s="7">
        <f>SUM(S5!P5:P40)</f>
        <v>-40125.68200869144</v>
      </c>
      <c r="G9" s="7">
        <f>SUM(S5!R5:R40)</f>
        <v>-76125.68200869144</v>
      </c>
      <c r="H9" s="7">
        <f>SUM(S5!U5:U40)</f>
        <v>-80552.34436432675</v>
      </c>
      <c r="I9" s="7">
        <f>S5!T40</f>
        <v>4426.662355635317</v>
      </c>
      <c r="J9" s="7">
        <f>C9</f>
        <v>3.3578749533224266</v>
      </c>
      <c r="K9" s="2" t="str">
        <f>IF(AND(Parameters!$H$5=0,Parameters!$H$26=1),"INVALID RIGHTS COMBINATION","OK: assumptions only")</f>
        <v>OK: assumptions only</v>
      </c>
    </row>
    <row r="10" spans="1:11" ht="44" customHeight="1">
      <c r="A10" s="2" t="s">
        <v>45</v>
      </c>
      <c r="B10" s="2" t="s">
        <v>196</v>
      </c>
      <c r="C10" s="7">
        <f>SUM(S6!Z45:Z80)</f>
        <v>4.249081644716554</v>
      </c>
      <c r="D10" s="7">
        <f>C10-Parameters!$I$19</f>
        <v>0.24908164471655425</v>
      </c>
      <c r="E10" s="7">
        <f>SUM(S6!M5:M40)</f>
        <v>147333.84811161621</v>
      </c>
      <c r="F10" s="7">
        <f>SUM(S6!P5:P40)</f>
        <v>-12804.873529423854</v>
      </c>
      <c r="G10" s="7">
        <f>SUM(S6!R5:R40)</f>
        <v>-48804.87352942386</v>
      </c>
      <c r="H10" s="7">
        <f>SUM(S6!U5:U40)</f>
        <v>-53905.61911978967</v>
      </c>
      <c r="I10" s="7">
        <f>S6!T40</f>
        <v>5100.745590365817</v>
      </c>
      <c r="J10" s="7">
        <f>C10</f>
        <v>4.249081644716554</v>
      </c>
      <c r="K10" s="2" t="str">
        <f>IF(AND(Parameters!$I$5=0,Parameters!$I$26=1),"INVALID RIGHTS COMBINATION","OK: assumptions only")</f>
        <v>OK: assumptions only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95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179</v>
      </c>
      <c r="V4" s="4" t="s">
        <v>180</v>
      </c>
      <c r="W4" s="4" t="s">
        <v>181</v>
      </c>
      <c r="X4" s="4" t="s">
        <v>182</v>
      </c>
      <c r="Y4" s="4" t="s">
        <v>183</v>
      </c>
      <c r="Z4" s="4" t="s">
        <v>184</v>
      </c>
    </row>
    <row r="5" spans="1:26">
      <c r="A5" s="7">
        <v>1</v>
      </c>
      <c r="B5" s="7">
        <f>Parameters!$D$20</f>
        <v>1000</v>
      </c>
      <c r="C5" s="7">
        <f>B5</f>
        <v>1000</v>
      </c>
      <c r="D5" s="7">
        <f>0</f>
        <v>0.0</v>
      </c>
      <c r="E5" s="7">
        <f>Parameters!$D$6*C5</f>
        <v>100.0</v>
      </c>
      <c r="F5" s="7">
        <f>IF(Parameters!$D$5=1,E5,0)</f>
        <v>0.0</v>
      </c>
      <c r="G5" s="7">
        <f>F5</f>
        <v>0.0</v>
      </c>
      <c r="H5" s="7">
        <f>IF(AND(Parameters!$D$5=1,Parameters!$D$26=1),SUMPRODUCT(--($A$5:A5&lt;A5),--(MOD(A5-$A$5:A5,Parameters!$D$28)=0),$F$5:F5,POWER(Parameters!$D$27,IF(A5-$A$5:A5=0,1,A5-$A$5:A5))),0)</f>
        <v>0.0</v>
      </c>
      <c r="I5" s="7">
        <f>B5*Parameters!$D$22</f>
        <v>0.0</v>
      </c>
      <c r="J5" s="7">
        <f>E5*Parameters!$D$14*(1-Parameters!$D$15)</f>
        <v>1900.0</v>
      </c>
      <c r="K5" s="7">
        <f>H5*Parameters!$D$29</f>
        <v>0.0</v>
      </c>
      <c r="L5" s="7">
        <f>I5*Parameters!$D$24</f>
        <v>0.0</v>
      </c>
      <c r="M5" s="7">
        <f>J5+K5+L5</f>
        <v>1900.0</v>
      </c>
      <c r="N5" s="7">
        <f>C5*Parameters!$D$17+D5*Parameters!$D$18+E5*Parameters!$D$16+I5*Parameters!$D$25+G5*Parameters!$D$30</f>
        <v>300.0</v>
      </c>
      <c r="O5" s="7">
        <f>B5*Parameters!$D$19</f>
        <v>4000</v>
      </c>
      <c r="P5" s="7">
        <f>M5-N5-O5</f>
        <v>-2400.0</v>
      </c>
      <c r="Q5" s="7">
        <f>Parameters!$D$21</f>
        <v>1000</v>
      </c>
      <c r="R5" s="7">
        <f>P5-Q5</f>
        <v>-3400.0</v>
      </c>
      <c r="S5" s="7">
        <f>IF(A5&lt;1+Parameters!$D$31,0,INDEX($M$5:$M$40,A5-Parameters!$D$31))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(1-Parameters!$D$7)*(C5-E5)+(1-Parameters!$D$8)*(D5+E5)</f>
        <v>1000.0</v>
      </c>
      <c r="X5" s="7">
        <f>Parameters!$D$7*(C5-E5)+Parameters!$D$8*Parameters!$D$9*(D5+E5)</f>
        <v>0.0</v>
      </c>
      <c r="Y5" s="7">
        <f>Parameters!$D$8*(1-Parameters!$D$9)*(D5+E5)</f>
        <v>0.0</v>
      </c>
      <c r="Z5" s="7">
        <f>POWER(1/(1+Parameters!$D$32),A5-1)*(M5-N5)</f>
        <v>1600.0</v>
      </c>
    </row>
    <row r="6" spans="1:26">
      <c r="A6" s="7">
        <v>2</v>
      </c>
      <c r="B6" s="7">
        <f>Parameters!$D$20</f>
        <v>1000</v>
      </c>
      <c r="C6" s="7">
        <f>X5+B6</f>
        <v>1000.0</v>
      </c>
      <c r="D6" s="7">
        <f>Y5</f>
        <v>0.0</v>
      </c>
      <c r="E6" s="7">
        <f>Parameters!$D$6*C6</f>
        <v>100.0</v>
      </c>
      <c r="F6" s="7">
        <f>IF(Parameters!$D$5=1,E6,0)</f>
        <v>0.0</v>
      </c>
      <c r="G6" s="7">
        <f>Parameters!$D$27*G5+F6</f>
        <v>0.0</v>
      </c>
      <c r="H6" s="7">
        <f>IF(AND(Parameters!$D$5=1,Parameters!$D$26=1),SUMPRODUCT(--($A$5:A6&lt;A6),--(MOD(A6-$A$5:A6,Parameters!$D$28)=0),$F$5:F6,POWER(Parameters!$D$27,IF(A6-$A$5:A6=0,1,A6-$A$5:A6))),0)</f>
        <v>0.0</v>
      </c>
      <c r="I6" s="7">
        <f>Parameters!$D$23*I5+B6*Parameters!$D$22</f>
        <v>0.0</v>
      </c>
      <c r="J6" s="7">
        <f>E6*Parameters!$D$14*(1-Parameters!$D$15)</f>
        <v>1900.0</v>
      </c>
      <c r="K6" s="7">
        <f>H6*Parameters!$D$29</f>
        <v>0.0</v>
      </c>
      <c r="L6" s="7">
        <f>I6*Parameters!$D$24</f>
        <v>0.0</v>
      </c>
      <c r="M6" s="7">
        <f>J6+K6+L6</f>
        <v>1900.0</v>
      </c>
      <c r="N6" s="7">
        <f>C6*Parameters!$D$17+D6*Parameters!$D$18+E6*Parameters!$D$16+I6*Parameters!$D$25+G6*Parameters!$D$30</f>
        <v>300.0</v>
      </c>
      <c r="O6" s="7">
        <f>B6*Parameters!$D$19</f>
        <v>4000</v>
      </c>
      <c r="P6" s="7">
        <f>M6-N6-O6</f>
        <v>-2400.0</v>
      </c>
      <c r="Q6" s="7">
        <f>Parameters!$D$21</f>
        <v>1000</v>
      </c>
      <c r="R6" s="7">
        <f>P6-Q6</f>
        <v>-3400.0</v>
      </c>
      <c r="S6" s="7">
        <f>IF(A6&lt;1+Parameters!$D$31,0,INDEX($M$5:$M$40,A6-Parameters!$D$31))</f>
        <v>1900.0</v>
      </c>
      <c r="T6" s="7">
        <f>T5+M6-S6</f>
        <v>1900.0</v>
      </c>
      <c r="U6" s="7">
        <f>S6-N6-O6-Q6</f>
        <v>-3400.0</v>
      </c>
      <c r="V6" s="7">
        <f>V5+U6</f>
        <v>-8700.0</v>
      </c>
      <c r="W6" s="7">
        <f>(1-Parameters!$D$7)*(C6-E6)+(1-Parameters!$D$8)*(D6+E6)</f>
        <v>1000.0</v>
      </c>
      <c r="X6" s="7">
        <f>Parameters!$D$7*(C6-E6)+Parameters!$D$8*Parameters!$D$9*(D6+E6)</f>
        <v>0.0</v>
      </c>
      <c r="Y6" s="7">
        <f>Parameters!$D$8*(1-Parameters!$D$9)*(D6+E6)</f>
        <v>0.0</v>
      </c>
      <c r="Z6" s="7">
        <f>POWER(1/(1+Parameters!$D$32),A6-1)*(M6-N6)</f>
        <v>1584.1584158415842</v>
      </c>
    </row>
    <row r="7" spans="1:26">
      <c r="A7" s="7">
        <v>3</v>
      </c>
      <c r="B7" s="7">
        <f>Parameters!$D$20</f>
        <v>1000</v>
      </c>
      <c r="C7" s="7">
        <f>X6+B7</f>
        <v>1000.0</v>
      </c>
      <c r="D7" s="7">
        <f>Y6</f>
        <v>0.0</v>
      </c>
      <c r="E7" s="7">
        <f>Parameters!$D$6*C7</f>
        <v>100.0</v>
      </c>
      <c r="F7" s="7">
        <f>IF(Parameters!$D$5=1,E7,0)</f>
        <v>0.0</v>
      </c>
      <c r="G7" s="7">
        <f>Parameters!$D$27*G6+F7</f>
        <v>0.0</v>
      </c>
      <c r="H7" s="7">
        <f>IF(AND(Parameters!$D$5=1,Parameters!$D$26=1),SUMPRODUCT(--($A$5:A7&lt;A7),--(MOD(A7-$A$5:A7,Parameters!$D$28)=0),$F$5:F7,POWER(Parameters!$D$27,IF(A7-$A$5:A7=0,1,A7-$A$5:A7))),0)</f>
        <v>0.0</v>
      </c>
      <c r="I7" s="7">
        <f>Parameters!$D$23*I6+B7*Parameters!$D$22</f>
        <v>0.0</v>
      </c>
      <c r="J7" s="7">
        <f>E7*Parameters!$D$14*(1-Parameters!$D$15)</f>
        <v>1900.0</v>
      </c>
      <c r="K7" s="7">
        <f>H7*Parameters!$D$29</f>
        <v>0.0</v>
      </c>
      <c r="L7" s="7">
        <f>I7*Parameters!$D$24</f>
        <v>0.0</v>
      </c>
      <c r="M7" s="7">
        <f>J7+K7+L7</f>
        <v>1900.0</v>
      </c>
      <c r="N7" s="7">
        <f>C7*Parameters!$D$17+D7*Parameters!$D$18+E7*Parameters!$D$16+I7*Parameters!$D$25+G7*Parameters!$D$30</f>
        <v>300.0</v>
      </c>
      <c r="O7" s="7">
        <f>B7*Parameters!$D$19</f>
        <v>4000</v>
      </c>
      <c r="P7" s="7">
        <f>M7-N7-O7</f>
        <v>-2400.0</v>
      </c>
      <c r="Q7" s="7">
        <f>Parameters!$D$21</f>
        <v>1000</v>
      </c>
      <c r="R7" s="7">
        <f>P7-Q7</f>
        <v>-3400.0</v>
      </c>
      <c r="S7" s="7">
        <f>IF(A7&lt;1+Parameters!$D$31,0,INDEX($M$5:$M$40,A7-Parameters!$D$31))</f>
        <v>1900.0</v>
      </c>
      <c r="T7" s="7">
        <f>T6+M7-S7</f>
        <v>1900.0</v>
      </c>
      <c r="U7" s="7">
        <f>S7-N7-O7-Q7</f>
        <v>-3400.0</v>
      </c>
      <c r="V7" s="7">
        <f>V6+U7</f>
        <v>-12100.0</v>
      </c>
      <c r="W7" s="7">
        <f>(1-Parameters!$D$7)*(C7-E7)+(1-Parameters!$D$8)*(D7+E7)</f>
        <v>1000.0</v>
      </c>
      <c r="X7" s="7">
        <f>Parameters!$D$7*(C7-E7)+Parameters!$D$8*Parameters!$D$9*(D7+E7)</f>
        <v>0.0</v>
      </c>
      <c r="Y7" s="7">
        <f>Parameters!$D$8*(1-Parameters!$D$9)*(D7+E7)</f>
        <v>0.0</v>
      </c>
      <c r="Z7" s="7">
        <f>POWER(1/(1+Parameters!$D$32),A7-1)*(M7-N7)</f>
        <v>1568.4736790510733</v>
      </c>
    </row>
    <row r="8" spans="1:26">
      <c r="A8" s="7">
        <v>4</v>
      </c>
      <c r="B8" s="7">
        <f>Parameters!$D$20</f>
        <v>1000</v>
      </c>
      <c r="C8" s="7">
        <f>X7+B8</f>
        <v>1000.0</v>
      </c>
      <c r="D8" s="7">
        <f>Y7</f>
        <v>0.0</v>
      </c>
      <c r="E8" s="7">
        <f>Parameters!$D$6*C8</f>
        <v>100.0</v>
      </c>
      <c r="F8" s="7">
        <f>IF(Parameters!$D$5=1,E8,0)</f>
        <v>0.0</v>
      </c>
      <c r="G8" s="7">
        <f>Parameters!$D$27*G7+F8</f>
        <v>0.0</v>
      </c>
      <c r="H8" s="7">
        <f>IF(AND(Parameters!$D$5=1,Parameters!$D$26=1),SUMPRODUCT(--($A$5:A8&lt;A8),--(MOD(A8-$A$5:A8,Parameters!$D$28)=0),$F$5:F8,POWER(Parameters!$D$27,IF(A8-$A$5:A8=0,1,A8-$A$5:A8))),0)</f>
        <v>0.0</v>
      </c>
      <c r="I8" s="7">
        <f>Parameters!$D$23*I7+B8*Parameters!$D$22</f>
        <v>0.0</v>
      </c>
      <c r="J8" s="7">
        <f>E8*Parameters!$D$14*(1-Parameters!$D$15)</f>
        <v>1900.0</v>
      </c>
      <c r="K8" s="7">
        <f>H8*Parameters!$D$29</f>
        <v>0.0</v>
      </c>
      <c r="L8" s="7">
        <f>I8*Parameters!$D$24</f>
        <v>0.0</v>
      </c>
      <c r="M8" s="7">
        <f>J8+K8+L8</f>
        <v>1900.0</v>
      </c>
      <c r="N8" s="7">
        <f>C8*Parameters!$D$17+D8*Parameters!$D$18+E8*Parameters!$D$16+I8*Parameters!$D$25+G8*Parameters!$D$30</f>
        <v>300.0</v>
      </c>
      <c r="O8" s="7">
        <f>B8*Parameters!$D$19</f>
        <v>4000</v>
      </c>
      <c r="P8" s="7">
        <f>M8-N8-O8</f>
        <v>-2400.0</v>
      </c>
      <c r="Q8" s="7">
        <f>Parameters!$D$21</f>
        <v>1000</v>
      </c>
      <c r="R8" s="7">
        <f>P8-Q8</f>
        <v>-3400.0</v>
      </c>
      <c r="S8" s="7">
        <f>IF(A8&lt;1+Parameters!$D$31,0,INDEX($M$5:$M$40,A8-Parameters!$D$31))</f>
        <v>1900.0</v>
      </c>
      <c r="T8" s="7">
        <f>T7+M8-S8</f>
        <v>1900.0</v>
      </c>
      <c r="U8" s="7">
        <f>S8-N8-O8-Q8</f>
        <v>-3400.0</v>
      </c>
      <c r="V8" s="7">
        <f>V7+U8</f>
        <v>-15500.0</v>
      </c>
      <c r="W8" s="7">
        <f>(1-Parameters!$D$7)*(C8-E8)+(1-Parameters!$D$8)*(D8+E8)</f>
        <v>1000.0</v>
      </c>
      <c r="X8" s="7">
        <f>Parameters!$D$7*(C8-E8)+Parameters!$D$8*Parameters!$D$9*(D8+E8)</f>
        <v>0.0</v>
      </c>
      <c r="Y8" s="7">
        <f>Parameters!$D$8*(1-Parameters!$D$9)*(D8+E8)</f>
        <v>0.0</v>
      </c>
      <c r="Z8" s="7">
        <f>POWER(1/(1+Parameters!$D$32),A8-1)*(M8-N8)</f>
        <v>1552.944236684231</v>
      </c>
    </row>
    <row r="9" spans="1:26">
      <c r="A9" s="7">
        <v>5</v>
      </c>
      <c r="B9" s="7">
        <f>Parameters!$D$20</f>
        <v>1000</v>
      </c>
      <c r="C9" s="7">
        <f>X8+B9</f>
        <v>1000.0</v>
      </c>
      <c r="D9" s="7">
        <f>Y8</f>
        <v>0.0</v>
      </c>
      <c r="E9" s="7">
        <f>Parameters!$D$6*C9</f>
        <v>100.0</v>
      </c>
      <c r="F9" s="7">
        <f>IF(Parameters!$D$5=1,E9,0)</f>
        <v>0.0</v>
      </c>
      <c r="G9" s="7">
        <f>Parameters!$D$27*G8+F9</f>
        <v>0.0</v>
      </c>
      <c r="H9" s="7">
        <f>IF(AND(Parameters!$D$5=1,Parameters!$D$26=1),SUMPRODUCT(--($A$5:A9&lt;A9),--(MOD(A9-$A$5:A9,Parameters!$D$28)=0),$F$5:F9,POWER(Parameters!$D$27,IF(A9-$A$5:A9=0,1,A9-$A$5:A9))),0)</f>
        <v>0.0</v>
      </c>
      <c r="I9" s="7">
        <f>Parameters!$D$23*I8+B9*Parameters!$D$22</f>
        <v>0.0</v>
      </c>
      <c r="J9" s="7">
        <f>E9*Parameters!$D$14*(1-Parameters!$D$15)</f>
        <v>1900.0</v>
      </c>
      <c r="K9" s="7">
        <f>H9*Parameters!$D$29</f>
        <v>0.0</v>
      </c>
      <c r="L9" s="7">
        <f>I9*Parameters!$D$24</f>
        <v>0.0</v>
      </c>
      <c r="M9" s="7">
        <f>J9+K9+L9</f>
        <v>1900.0</v>
      </c>
      <c r="N9" s="7">
        <f>C9*Parameters!$D$17+D9*Parameters!$D$18+E9*Parameters!$D$16+I9*Parameters!$D$25+G9*Parameters!$D$30</f>
        <v>300.0</v>
      </c>
      <c r="O9" s="7">
        <f>B9*Parameters!$D$19</f>
        <v>4000</v>
      </c>
      <c r="P9" s="7">
        <f>M9-N9-O9</f>
        <v>-2400.0</v>
      </c>
      <c r="Q9" s="7">
        <f>Parameters!$D$21</f>
        <v>1000</v>
      </c>
      <c r="R9" s="7">
        <f>P9-Q9</f>
        <v>-3400.0</v>
      </c>
      <c r="S9" s="7">
        <f>IF(A9&lt;1+Parameters!$D$31,0,INDEX($M$5:$M$40,A9-Parameters!$D$31))</f>
        <v>1900.0</v>
      </c>
      <c r="T9" s="7">
        <f>T8+M9-S9</f>
        <v>1900.0</v>
      </c>
      <c r="U9" s="7">
        <f>S9-N9-O9-Q9</f>
        <v>-3400.0</v>
      </c>
      <c r="V9" s="7">
        <f>V8+U9</f>
        <v>-18900.0</v>
      </c>
      <c r="W9" s="7">
        <f>(1-Parameters!$D$7)*(C9-E9)+(1-Parameters!$D$8)*(D9+E9)</f>
        <v>1000.0</v>
      </c>
      <c r="X9" s="7">
        <f>Parameters!$D$7*(C9-E9)+Parameters!$D$8*Parameters!$D$9*(D9+E9)</f>
        <v>0.0</v>
      </c>
      <c r="Y9" s="7">
        <f>Parameters!$D$8*(1-Parameters!$D$9)*(D9+E9)</f>
        <v>0.0</v>
      </c>
      <c r="Z9" s="7">
        <f>POWER(1/(1+Parameters!$D$32),A9-1)*(M9-N9)</f>
        <v>1537.568551172506</v>
      </c>
    </row>
    <row r="10" spans="1:26">
      <c r="A10" s="7">
        <v>6</v>
      </c>
      <c r="B10" s="7">
        <f>Parameters!$D$20</f>
        <v>1000</v>
      </c>
      <c r="C10" s="7">
        <f>X9+B10</f>
        <v>1000.0</v>
      </c>
      <c r="D10" s="7">
        <f>Y9</f>
        <v>0.0</v>
      </c>
      <c r="E10" s="7">
        <f>Parameters!$D$6*C10</f>
        <v>100.0</v>
      </c>
      <c r="F10" s="7">
        <f>IF(Parameters!$D$5=1,E10,0)</f>
        <v>0.0</v>
      </c>
      <c r="G10" s="7">
        <f>Parameters!$D$27*G9+F10</f>
        <v>0.0</v>
      </c>
      <c r="H10" s="7">
        <f>IF(AND(Parameters!$D$5=1,Parameters!$D$26=1),SUMPRODUCT(--($A$5:A10&lt;A10),--(MOD(A10-$A$5:A10,Parameters!$D$28)=0),$F$5:F10,POWER(Parameters!$D$27,IF(A10-$A$5:A10=0,1,A10-$A$5:A10))),0)</f>
        <v>0.0</v>
      </c>
      <c r="I10" s="7">
        <f>Parameters!$D$23*I9+B10*Parameters!$D$22</f>
        <v>0.0</v>
      </c>
      <c r="J10" s="7">
        <f>E10*Parameters!$D$14*(1-Parameters!$D$15)</f>
        <v>1900.0</v>
      </c>
      <c r="K10" s="7">
        <f>H10*Parameters!$D$29</f>
        <v>0.0</v>
      </c>
      <c r="L10" s="7">
        <f>I10*Parameters!$D$24</f>
        <v>0.0</v>
      </c>
      <c r="M10" s="7">
        <f>J10+K10+L10</f>
        <v>1900.0</v>
      </c>
      <c r="N10" s="7">
        <f>C10*Parameters!$D$17+D10*Parameters!$D$18+E10*Parameters!$D$16+I10*Parameters!$D$25+G10*Parameters!$D$30</f>
        <v>300.0</v>
      </c>
      <c r="O10" s="7">
        <f>B10*Parameters!$D$19</f>
        <v>4000</v>
      </c>
      <c r="P10" s="7">
        <f>M10-N10-O10</f>
        <v>-2400.0</v>
      </c>
      <c r="Q10" s="7">
        <f>Parameters!$D$21</f>
        <v>1000</v>
      </c>
      <c r="R10" s="7">
        <f>P10-Q10</f>
        <v>-3400.0</v>
      </c>
      <c r="S10" s="7">
        <f>IF(A10&lt;1+Parameters!$D$31,0,INDEX($M$5:$M$40,A10-Parameters!$D$31))</f>
        <v>1900.0</v>
      </c>
      <c r="T10" s="7">
        <f>T9+M10-S10</f>
        <v>1900.0</v>
      </c>
      <c r="U10" s="7">
        <f>S10-N10-O10-Q10</f>
        <v>-3400.0</v>
      </c>
      <c r="V10" s="7">
        <f>V9+U10</f>
        <v>-22300.0</v>
      </c>
      <c r="W10" s="7">
        <f>(1-Parameters!$D$7)*(C10-E10)+(1-Parameters!$D$8)*(D10+E10)</f>
        <v>1000.0</v>
      </c>
      <c r="X10" s="7">
        <f>Parameters!$D$7*(C10-E10)+Parameters!$D$8*Parameters!$D$9*(D10+E10)</f>
        <v>0.0</v>
      </c>
      <c r="Y10" s="7">
        <f>Parameters!$D$8*(1-Parameters!$D$9)*(D10+E10)</f>
        <v>0.0</v>
      </c>
      <c r="Z10" s="7">
        <f>POWER(1/(1+Parameters!$D$32),A10-1)*(M10-N10)</f>
        <v>1522.345100170798</v>
      </c>
    </row>
    <row r="11" spans="1:26">
      <c r="A11" s="7">
        <v>7</v>
      </c>
      <c r="B11" s="7">
        <f>Parameters!$D$20</f>
        <v>1000</v>
      </c>
      <c r="C11" s="7">
        <f>X10+B11</f>
        <v>1000.0</v>
      </c>
      <c r="D11" s="7">
        <f>Y10</f>
        <v>0.0</v>
      </c>
      <c r="E11" s="7">
        <f>Parameters!$D$6*C11</f>
        <v>100.0</v>
      </c>
      <c r="F11" s="7">
        <f>IF(Parameters!$D$5=1,E11,0)</f>
        <v>0.0</v>
      </c>
      <c r="G11" s="7">
        <f>Parameters!$D$27*G10+F11</f>
        <v>0.0</v>
      </c>
      <c r="H11" s="7">
        <f>IF(AND(Parameters!$D$5=1,Parameters!$D$26=1),SUMPRODUCT(--($A$5:A11&lt;A11),--(MOD(A11-$A$5:A11,Parameters!$D$28)=0),$F$5:F11,POWER(Parameters!$D$27,IF(A11-$A$5:A11=0,1,A11-$A$5:A11))),0)</f>
        <v>0.0</v>
      </c>
      <c r="I11" s="7">
        <f>Parameters!$D$23*I10+B11*Parameters!$D$22</f>
        <v>0.0</v>
      </c>
      <c r="J11" s="7">
        <f>E11*Parameters!$D$14*(1-Parameters!$D$15)</f>
        <v>1900.0</v>
      </c>
      <c r="K11" s="7">
        <f>H11*Parameters!$D$29</f>
        <v>0.0</v>
      </c>
      <c r="L11" s="7">
        <f>I11*Parameters!$D$24</f>
        <v>0.0</v>
      </c>
      <c r="M11" s="7">
        <f>J11+K11+L11</f>
        <v>1900.0</v>
      </c>
      <c r="N11" s="7">
        <f>C11*Parameters!$D$17+D11*Parameters!$D$18+E11*Parameters!$D$16+I11*Parameters!$D$25+G11*Parameters!$D$30</f>
        <v>300.0</v>
      </c>
      <c r="O11" s="7">
        <f>B11*Parameters!$D$19</f>
        <v>4000</v>
      </c>
      <c r="P11" s="7">
        <f>M11-N11-O11</f>
        <v>-2400.0</v>
      </c>
      <c r="Q11" s="7">
        <f>Parameters!$D$21</f>
        <v>1000</v>
      </c>
      <c r="R11" s="7">
        <f>P11-Q11</f>
        <v>-3400.0</v>
      </c>
      <c r="S11" s="7">
        <f>IF(A11&lt;1+Parameters!$D$31,0,INDEX($M$5:$M$40,A11-Parameters!$D$31))</f>
        <v>1900.0</v>
      </c>
      <c r="T11" s="7">
        <f>T10+M11-S11</f>
        <v>1900.0</v>
      </c>
      <c r="U11" s="7">
        <f>S11-N11-O11-Q11</f>
        <v>-3400.0</v>
      </c>
      <c r="V11" s="7">
        <f>V10+U11</f>
        <v>-25700.0</v>
      </c>
      <c r="W11" s="7">
        <f>(1-Parameters!$D$7)*(C11-E11)+(1-Parameters!$D$8)*(D11+E11)</f>
        <v>1000.0</v>
      </c>
      <c r="X11" s="7">
        <f>Parameters!$D$7*(C11-E11)+Parameters!$D$8*Parameters!$D$9*(D11+E11)</f>
        <v>0.0</v>
      </c>
      <c r="Y11" s="7">
        <f>Parameters!$D$8*(1-Parameters!$D$9)*(D11+E11)</f>
        <v>0.0</v>
      </c>
      <c r="Z11" s="7">
        <f>POWER(1/(1+Parameters!$D$32),A11-1)*(M11-N11)</f>
        <v>1507.2723764067307</v>
      </c>
    </row>
    <row r="12" spans="1:26">
      <c r="A12" s="7">
        <v>8</v>
      </c>
      <c r="B12" s="7">
        <f>Parameters!$D$20</f>
        <v>1000</v>
      </c>
      <c r="C12" s="7">
        <f>X11+B12</f>
        <v>1000.0</v>
      </c>
      <c r="D12" s="7">
        <f>Y11</f>
        <v>0.0</v>
      </c>
      <c r="E12" s="7">
        <f>Parameters!$D$6*C12</f>
        <v>100.0</v>
      </c>
      <c r="F12" s="7">
        <f>IF(Parameters!$D$5=1,E12,0)</f>
        <v>0.0</v>
      </c>
      <c r="G12" s="7">
        <f>Parameters!$D$27*G11+F12</f>
        <v>0.0</v>
      </c>
      <c r="H12" s="7">
        <f>IF(AND(Parameters!$D$5=1,Parameters!$D$26=1),SUMPRODUCT(--($A$5:A12&lt;A12),--(MOD(A12-$A$5:A12,Parameters!$D$28)=0),$F$5:F12,POWER(Parameters!$D$27,IF(A12-$A$5:A12=0,1,A12-$A$5:A12))),0)</f>
        <v>0.0</v>
      </c>
      <c r="I12" s="7">
        <f>Parameters!$D$23*I11+B12*Parameters!$D$22</f>
        <v>0.0</v>
      </c>
      <c r="J12" s="7">
        <f>E12*Parameters!$D$14*(1-Parameters!$D$15)</f>
        <v>1900.0</v>
      </c>
      <c r="K12" s="7">
        <f>H12*Parameters!$D$29</f>
        <v>0.0</v>
      </c>
      <c r="L12" s="7">
        <f>I12*Parameters!$D$24</f>
        <v>0.0</v>
      </c>
      <c r="M12" s="7">
        <f>J12+K12+L12</f>
        <v>1900.0</v>
      </c>
      <c r="N12" s="7">
        <f>C12*Parameters!$D$17+D12*Parameters!$D$18+E12*Parameters!$D$16+I12*Parameters!$D$25+G12*Parameters!$D$30</f>
        <v>300.0</v>
      </c>
      <c r="O12" s="7">
        <f>B12*Parameters!$D$19</f>
        <v>4000</v>
      </c>
      <c r="P12" s="7">
        <f>M12-N12-O12</f>
        <v>-2400.0</v>
      </c>
      <c r="Q12" s="7">
        <f>Parameters!$D$21</f>
        <v>1000</v>
      </c>
      <c r="R12" s="7">
        <f>P12-Q12</f>
        <v>-3400.0</v>
      </c>
      <c r="S12" s="7">
        <f>IF(A12&lt;1+Parameters!$D$31,0,INDEX($M$5:$M$40,A12-Parameters!$D$31))</f>
        <v>1900.0</v>
      </c>
      <c r="T12" s="7">
        <f>T11+M12-S12</f>
        <v>1900.0</v>
      </c>
      <c r="U12" s="7">
        <f>S12-N12-O12-Q12</f>
        <v>-3400.0</v>
      </c>
      <c r="V12" s="7">
        <f>V11+U12</f>
        <v>-29100.0</v>
      </c>
      <c r="W12" s="7">
        <f>(1-Parameters!$D$7)*(C12-E12)+(1-Parameters!$D$8)*(D12+E12)</f>
        <v>1000.0</v>
      </c>
      <c r="X12" s="7">
        <f>Parameters!$D$7*(C12-E12)+Parameters!$D$8*Parameters!$D$9*(D12+E12)</f>
        <v>0.0</v>
      </c>
      <c r="Y12" s="7">
        <f>Parameters!$D$8*(1-Parameters!$D$9)*(D12+E12)</f>
        <v>0.0</v>
      </c>
      <c r="Z12" s="7">
        <f>POWER(1/(1+Parameters!$D$32),A12-1)*(M12-N12)</f>
        <v>1492.3488875314165</v>
      </c>
    </row>
    <row r="13" spans="1:26">
      <c r="A13" s="7">
        <v>9</v>
      </c>
      <c r="B13" s="7">
        <f>Parameters!$D$20</f>
        <v>1000</v>
      </c>
      <c r="C13" s="7">
        <f>X12+B13</f>
        <v>1000.0</v>
      </c>
      <c r="D13" s="7">
        <f>Y12</f>
        <v>0.0</v>
      </c>
      <c r="E13" s="7">
        <f>Parameters!$D$6*C13</f>
        <v>100.0</v>
      </c>
      <c r="F13" s="7">
        <f>IF(Parameters!$D$5=1,E13,0)</f>
        <v>0.0</v>
      </c>
      <c r="G13" s="7">
        <f>Parameters!$D$27*G12+F13</f>
        <v>0.0</v>
      </c>
      <c r="H13" s="7">
        <f>IF(AND(Parameters!$D$5=1,Parameters!$D$26=1),SUMPRODUCT(--($A$5:A13&lt;A13),--(MOD(A13-$A$5:A13,Parameters!$D$28)=0),$F$5:F13,POWER(Parameters!$D$27,IF(A13-$A$5:A13=0,1,A13-$A$5:A13))),0)</f>
        <v>0.0</v>
      </c>
      <c r="I13" s="7">
        <f>Parameters!$D$23*I12+B13*Parameters!$D$22</f>
        <v>0.0</v>
      </c>
      <c r="J13" s="7">
        <f>E13*Parameters!$D$14*(1-Parameters!$D$15)</f>
        <v>1900.0</v>
      </c>
      <c r="K13" s="7">
        <f>H13*Parameters!$D$29</f>
        <v>0.0</v>
      </c>
      <c r="L13" s="7">
        <f>I13*Parameters!$D$24</f>
        <v>0.0</v>
      </c>
      <c r="M13" s="7">
        <f>J13+K13+L13</f>
        <v>1900.0</v>
      </c>
      <c r="N13" s="7">
        <f>C13*Parameters!$D$17+D13*Parameters!$D$18+E13*Parameters!$D$16+I13*Parameters!$D$25+G13*Parameters!$D$30</f>
        <v>300.0</v>
      </c>
      <c r="O13" s="7">
        <f>B13*Parameters!$D$19</f>
        <v>4000</v>
      </c>
      <c r="P13" s="7">
        <f>M13-N13-O13</f>
        <v>-2400.0</v>
      </c>
      <c r="Q13" s="7">
        <f>Parameters!$D$21</f>
        <v>1000</v>
      </c>
      <c r="R13" s="7">
        <f>P13-Q13</f>
        <v>-3400.0</v>
      </c>
      <c r="S13" s="7">
        <f>IF(A13&lt;1+Parameters!$D$31,0,INDEX($M$5:$M$40,A13-Parameters!$D$31))</f>
        <v>1900.0</v>
      </c>
      <c r="T13" s="7">
        <f>T12+M13-S13</f>
        <v>1900.0</v>
      </c>
      <c r="U13" s="7">
        <f>S13-N13-O13-Q13</f>
        <v>-3400.0</v>
      </c>
      <c r="V13" s="7">
        <f>V12+U13</f>
        <v>-32500.0</v>
      </c>
      <c r="W13" s="7">
        <f>(1-Parameters!$D$7)*(C13-E13)+(1-Parameters!$D$8)*(D13+E13)</f>
        <v>1000.0</v>
      </c>
      <c r="X13" s="7">
        <f>Parameters!$D$7*(C13-E13)+Parameters!$D$8*Parameters!$D$9*(D13+E13)</f>
        <v>0.0</v>
      </c>
      <c r="Y13" s="7">
        <f>Parameters!$D$8*(1-Parameters!$D$9)*(D13+E13)</f>
        <v>0.0</v>
      </c>
      <c r="Z13" s="7">
        <f>POWER(1/(1+Parameters!$D$32),A13-1)*(M13-N13)</f>
        <v>1477.5731559716994</v>
      </c>
    </row>
    <row r="14" spans="1:26">
      <c r="A14" s="7">
        <v>10</v>
      </c>
      <c r="B14" s="7">
        <f>Parameters!$D$20</f>
        <v>1000</v>
      </c>
      <c r="C14" s="7">
        <f>X13+B14</f>
        <v>1000.0</v>
      </c>
      <c r="D14" s="7">
        <f>Y13</f>
        <v>0.0</v>
      </c>
      <c r="E14" s="7">
        <f>Parameters!$D$6*C14</f>
        <v>100.0</v>
      </c>
      <c r="F14" s="7">
        <f>IF(Parameters!$D$5=1,E14,0)</f>
        <v>0.0</v>
      </c>
      <c r="G14" s="7">
        <f>Parameters!$D$27*G13+F14</f>
        <v>0.0</v>
      </c>
      <c r="H14" s="7">
        <f>IF(AND(Parameters!$D$5=1,Parameters!$D$26=1),SUMPRODUCT(--($A$5:A14&lt;A14),--(MOD(A14-$A$5:A14,Parameters!$D$28)=0),$F$5:F14,POWER(Parameters!$D$27,IF(A14-$A$5:A14=0,1,A14-$A$5:A14))),0)</f>
        <v>0.0</v>
      </c>
      <c r="I14" s="7">
        <f>Parameters!$D$23*I13+B14*Parameters!$D$22</f>
        <v>0.0</v>
      </c>
      <c r="J14" s="7">
        <f>E14*Parameters!$D$14*(1-Parameters!$D$15)</f>
        <v>1900.0</v>
      </c>
      <c r="K14" s="7">
        <f>H14*Parameters!$D$29</f>
        <v>0.0</v>
      </c>
      <c r="L14" s="7">
        <f>I14*Parameters!$D$24</f>
        <v>0.0</v>
      </c>
      <c r="M14" s="7">
        <f>J14+K14+L14</f>
        <v>1900.0</v>
      </c>
      <c r="N14" s="7">
        <f>C14*Parameters!$D$17+D14*Parameters!$D$18+E14*Parameters!$D$16+I14*Parameters!$D$25+G14*Parameters!$D$30</f>
        <v>300.0</v>
      </c>
      <c r="O14" s="7">
        <f>B14*Parameters!$D$19</f>
        <v>4000</v>
      </c>
      <c r="P14" s="7">
        <f>M14-N14-O14</f>
        <v>-2400.0</v>
      </c>
      <c r="Q14" s="7">
        <f>Parameters!$D$21</f>
        <v>1000</v>
      </c>
      <c r="R14" s="7">
        <f>P14-Q14</f>
        <v>-3400.0</v>
      </c>
      <c r="S14" s="7">
        <f>IF(A14&lt;1+Parameters!$D$31,0,INDEX($M$5:$M$40,A14-Parameters!$D$31))</f>
        <v>1900.0</v>
      </c>
      <c r="T14" s="7">
        <f>T13+M14-S14</f>
        <v>1900.0</v>
      </c>
      <c r="U14" s="7">
        <f>S14-N14-O14-Q14</f>
        <v>-3400.0</v>
      </c>
      <c r="V14" s="7">
        <f>V13+U14</f>
        <v>-35900.0</v>
      </c>
      <c r="W14" s="7">
        <f>(1-Parameters!$D$7)*(C14-E14)+(1-Parameters!$D$8)*(D14+E14)</f>
        <v>1000.0</v>
      </c>
      <c r="X14" s="7">
        <f>Parameters!$D$7*(C14-E14)+Parameters!$D$8*Parameters!$D$9*(D14+E14)</f>
        <v>0.0</v>
      </c>
      <c r="Y14" s="7">
        <f>Parameters!$D$8*(1-Parameters!$D$9)*(D14+E14)</f>
        <v>0.0</v>
      </c>
      <c r="Z14" s="7">
        <f>POWER(1/(1+Parameters!$D$32),A14-1)*(M14-N14)</f>
        <v>1462.9437187838607</v>
      </c>
    </row>
    <row r="15" spans="1:26">
      <c r="A15" s="7">
        <v>11</v>
      </c>
      <c r="B15" s="7">
        <f>Parameters!$D$20</f>
        <v>1000</v>
      </c>
      <c r="C15" s="7">
        <f>X14+B15</f>
        <v>1000.0</v>
      </c>
      <c r="D15" s="7">
        <f>Y14</f>
        <v>0.0</v>
      </c>
      <c r="E15" s="7">
        <f>Parameters!$D$6*C15</f>
        <v>100.0</v>
      </c>
      <c r="F15" s="7">
        <f>IF(Parameters!$D$5=1,E15,0)</f>
        <v>0.0</v>
      </c>
      <c r="G15" s="7">
        <f>Parameters!$D$27*G14+F15</f>
        <v>0.0</v>
      </c>
      <c r="H15" s="7">
        <f>IF(AND(Parameters!$D$5=1,Parameters!$D$26=1),SUMPRODUCT(--($A$5:A15&lt;A15),--(MOD(A15-$A$5:A15,Parameters!$D$28)=0),$F$5:F15,POWER(Parameters!$D$27,IF(A15-$A$5:A15=0,1,A15-$A$5:A15))),0)</f>
        <v>0.0</v>
      </c>
      <c r="I15" s="7">
        <f>Parameters!$D$23*I14+B15*Parameters!$D$22</f>
        <v>0.0</v>
      </c>
      <c r="J15" s="7">
        <f>E15*Parameters!$D$14*(1-Parameters!$D$15)</f>
        <v>1900.0</v>
      </c>
      <c r="K15" s="7">
        <f>H15*Parameters!$D$29</f>
        <v>0.0</v>
      </c>
      <c r="L15" s="7">
        <f>I15*Parameters!$D$24</f>
        <v>0.0</v>
      </c>
      <c r="M15" s="7">
        <f>J15+K15+L15</f>
        <v>1900.0</v>
      </c>
      <c r="N15" s="7">
        <f>C15*Parameters!$D$17+D15*Parameters!$D$18+E15*Parameters!$D$16+I15*Parameters!$D$25+G15*Parameters!$D$30</f>
        <v>300.0</v>
      </c>
      <c r="O15" s="7">
        <f>B15*Parameters!$D$19</f>
        <v>4000</v>
      </c>
      <c r="P15" s="7">
        <f>M15-N15-O15</f>
        <v>-2400.0</v>
      </c>
      <c r="Q15" s="7">
        <f>Parameters!$D$21</f>
        <v>1000</v>
      </c>
      <c r="R15" s="7">
        <f>P15-Q15</f>
        <v>-3400.0</v>
      </c>
      <c r="S15" s="7">
        <f>IF(A15&lt;1+Parameters!$D$31,0,INDEX($M$5:$M$40,A15-Parameters!$D$31))</f>
        <v>1900.0</v>
      </c>
      <c r="T15" s="7">
        <f>T14+M15-S15</f>
        <v>1900.0</v>
      </c>
      <c r="U15" s="7">
        <f>S15-N15-O15-Q15</f>
        <v>-3400.0</v>
      </c>
      <c r="V15" s="7">
        <f>V14+U15</f>
        <v>-39300.0</v>
      </c>
      <c r="W15" s="7">
        <f>(1-Parameters!$D$7)*(C15-E15)+(1-Parameters!$D$8)*(D15+E15)</f>
        <v>1000.0</v>
      </c>
      <c r="X15" s="7">
        <f>Parameters!$D$7*(C15-E15)+Parameters!$D$8*Parameters!$D$9*(D15+E15)</f>
        <v>0.0</v>
      </c>
      <c r="Y15" s="7">
        <f>Parameters!$D$8*(1-Parameters!$D$9)*(D15+E15)</f>
        <v>0.0</v>
      </c>
      <c r="Z15" s="7">
        <f>POWER(1/(1+Parameters!$D$32),A15-1)*(M15-N15)</f>
        <v>1448.4591275087732</v>
      </c>
    </row>
    <row r="16" spans="1:26">
      <c r="A16" s="7">
        <v>12</v>
      </c>
      <c r="B16" s="7">
        <f>Parameters!$D$20</f>
        <v>1000</v>
      </c>
      <c r="C16" s="7">
        <f>X15+B16</f>
        <v>1000.0</v>
      </c>
      <c r="D16" s="7">
        <f>Y15</f>
        <v>0.0</v>
      </c>
      <c r="E16" s="7">
        <f>Parameters!$D$6*C16</f>
        <v>100.0</v>
      </c>
      <c r="F16" s="7">
        <f>IF(Parameters!$D$5=1,E16,0)</f>
        <v>0.0</v>
      </c>
      <c r="G16" s="7">
        <f>Parameters!$D$27*G15+F16</f>
        <v>0.0</v>
      </c>
      <c r="H16" s="7">
        <f>IF(AND(Parameters!$D$5=1,Parameters!$D$26=1),SUMPRODUCT(--($A$5:A16&lt;A16),--(MOD(A16-$A$5:A16,Parameters!$D$28)=0),$F$5:F16,POWER(Parameters!$D$27,IF(A16-$A$5:A16=0,1,A16-$A$5:A16))),0)</f>
        <v>0.0</v>
      </c>
      <c r="I16" s="7">
        <f>Parameters!$D$23*I15+B16*Parameters!$D$22</f>
        <v>0.0</v>
      </c>
      <c r="J16" s="7">
        <f>E16*Parameters!$D$14*(1-Parameters!$D$15)</f>
        <v>1900.0</v>
      </c>
      <c r="K16" s="7">
        <f>H16*Parameters!$D$29</f>
        <v>0.0</v>
      </c>
      <c r="L16" s="7">
        <f>I16*Parameters!$D$24</f>
        <v>0.0</v>
      </c>
      <c r="M16" s="7">
        <f>J16+K16+L16</f>
        <v>1900.0</v>
      </c>
      <c r="N16" s="7">
        <f>C16*Parameters!$D$17+D16*Parameters!$D$18+E16*Parameters!$D$16+I16*Parameters!$D$25+G16*Parameters!$D$30</f>
        <v>300.0</v>
      </c>
      <c r="O16" s="7">
        <f>B16*Parameters!$D$19</f>
        <v>4000</v>
      </c>
      <c r="P16" s="7">
        <f>M16-N16-O16</f>
        <v>-2400.0</v>
      </c>
      <c r="Q16" s="7">
        <f>Parameters!$D$21</f>
        <v>1000</v>
      </c>
      <c r="R16" s="7">
        <f>P16-Q16</f>
        <v>-3400.0</v>
      </c>
      <c r="S16" s="7">
        <f>IF(A16&lt;1+Parameters!$D$31,0,INDEX($M$5:$M$40,A16-Parameters!$D$31))</f>
        <v>1900.0</v>
      </c>
      <c r="T16" s="7">
        <f>T15+M16-S16</f>
        <v>1900.0</v>
      </c>
      <c r="U16" s="7">
        <f>S16-N16-O16-Q16</f>
        <v>-3400.0</v>
      </c>
      <c r="V16" s="7">
        <f>V15+U16</f>
        <v>-42700.0</v>
      </c>
      <c r="W16" s="7">
        <f>(1-Parameters!$D$7)*(C16-E16)+(1-Parameters!$D$8)*(D16+E16)</f>
        <v>1000.0</v>
      </c>
      <c r="X16" s="7">
        <f>Parameters!$D$7*(C16-E16)+Parameters!$D$8*Parameters!$D$9*(D16+E16)</f>
        <v>0.0</v>
      </c>
      <c r="Y16" s="7">
        <f>Parameters!$D$8*(1-Parameters!$D$9)*(D16+E16)</f>
        <v>0.0</v>
      </c>
      <c r="Z16" s="7">
        <f>POWER(1/(1+Parameters!$D$32),A16-1)*(M16-N16)</f>
        <v>1434.1179480284882</v>
      </c>
    </row>
    <row r="17" spans="1:26">
      <c r="A17" s="7">
        <v>13</v>
      </c>
      <c r="B17" s="7">
        <f>Parameters!$D$20</f>
        <v>1000</v>
      </c>
      <c r="C17" s="7">
        <f>X16+B17</f>
        <v>1000.0</v>
      </c>
      <c r="D17" s="7">
        <f>Y16</f>
        <v>0.0</v>
      </c>
      <c r="E17" s="7">
        <f>Parameters!$D$6*C17</f>
        <v>100.0</v>
      </c>
      <c r="F17" s="7">
        <f>IF(Parameters!$D$5=1,E17,0)</f>
        <v>0.0</v>
      </c>
      <c r="G17" s="7">
        <f>Parameters!$D$27*G16+F17</f>
        <v>0.0</v>
      </c>
      <c r="H17" s="7">
        <f>IF(AND(Parameters!$D$5=1,Parameters!$D$26=1),SUMPRODUCT(--($A$5:A17&lt;A17),--(MOD(A17-$A$5:A17,Parameters!$D$28)=0),$F$5:F17,POWER(Parameters!$D$27,IF(A17-$A$5:A17=0,1,A17-$A$5:A17))),0)</f>
        <v>0.0</v>
      </c>
      <c r="I17" s="7">
        <f>Parameters!$D$23*I16+B17*Parameters!$D$22</f>
        <v>0.0</v>
      </c>
      <c r="J17" s="7">
        <f>E17*Parameters!$D$14*(1-Parameters!$D$15)</f>
        <v>1900.0</v>
      </c>
      <c r="K17" s="7">
        <f>H17*Parameters!$D$29</f>
        <v>0.0</v>
      </c>
      <c r="L17" s="7">
        <f>I17*Parameters!$D$24</f>
        <v>0.0</v>
      </c>
      <c r="M17" s="7">
        <f>J17+K17+L17</f>
        <v>1900.0</v>
      </c>
      <c r="N17" s="7">
        <f>C17*Parameters!$D$17+D17*Parameters!$D$18+E17*Parameters!$D$16+I17*Parameters!$D$25+G17*Parameters!$D$30</f>
        <v>300.0</v>
      </c>
      <c r="O17" s="7">
        <f>B17*Parameters!$D$19</f>
        <v>4000</v>
      </c>
      <c r="P17" s="7">
        <f>M17-N17-O17</f>
        <v>-2400.0</v>
      </c>
      <c r="Q17" s="7">
        <f>Parameters!$D$21</f>
        <v>1000</v>
      </c>
      <c r="R17" s="7">
        <f>P17-Q17</f>
        <v>-3400.0</v>
      </c>
      <c r="S17" s="7">
        <f>IF(A17&lt;1+Parameters!$D$31,0,INDEX($M$5:$M$40,A17-Parameters!$D$31))</f>
        <v>1900.0</v>
      </c>
      <c r="T17" s="7">
        <f>T16+M17-S17</f>
        <v>1900.0</v>
      </c>
      <c r="U17" s="7">
        <f>S17-N17-O17-Q17</f>
        <v>-3400.0</v>
      </c>
      <c r="V17" s="7">
        <f>V16+U17</f>
        <v>-46100.0</v>
      </c>
      <c r="W17" s="7">
        <f>(1-Parameters!$D$7)*(C17-E17)+(1-Parameters!$D$8)*(D17+E17)</f>
        <v>1000.0</v>
      </c>
      <c r="X17" s="7">
        <f>Parameters!$D$7*(C17-E17)+Parameters!$D$8*Parameters!$D$9*(D17+E17)</f>
        <v>0.0</v>
      </c>
      <c r="Y17" s="7">
        <f>Parameters!$D$8*(1-Parameters!$D$9)*(D17+E17)</f>
        <v>0.0</v>
      </c>
      <c r="Z17" s="7">
        <f>POWER(1/(1+Parameters!$D$32),A17-1)*(M17-N17)</f>
        <v>1419.9187604242456</v>
      </c>
    </row>
    <row r="18" spans="1:26">
      <c r="A18" s="7">
        <v>14</v>
      </c>
      <c r="B18" s="7">
        <f>Parameters!$D$20</f>
        <v>1000</v>
      </c>
      <c r="C18" s="7">
        <f>X17+B18</f>
        <v>1000.0</v>
      </c>
      <c r="D18" s="7">
        <f>Y17</f>
        <v>0.0</v>
      </c>
      <c r="E18" s="7">
        <f>Parameters!$D$6*C18</f>
        <v>100.0</v>
      </c>
      <c r="F18" s="7">
        <f>IF(Parameters!$D$5=1,E18,0)</f>
        <v>0.0</v>
      </c>
      <c r="G18" s="7">
        <f>Parameters!$D$27*G17+F18</f>
        <v>0.0</v>
      </c>
      <c r="H18" s="7">
        <f>IF(AND(Parameters!$D$5=1,Parameters!$D$26=1),SUMPRODUCT(--($A$5:A18&lt;A18),--(MOD(A18-$A$5:A18,Parameters!$D$28)=0),$F$5:F18,POWER(Parameters!$D$27,IF(A18-$A$5:A18=0,1,A18-$A$5:A18))),0)</f>
        <v>0.0</v>
      </c>
      <c r="I18" s="7">
        <f>Parameters!$D$23*I17+B18*Parameters!$D$22</f>
        <v>0.0</v>
      </c>
      <c r="J18" s="7">
        <f>E18*Parameters!$D$14*(1-Parameters!$D$15)</f>
        <v>1900.0</v>
      </c>
      <c r="K18" s="7">
        <f>H18*Parameters!$D$29</f>
        <v>0.0</v>
      </c>
      <c r="L18" s="7">
        <f>I18*Parameters!$D$24</f>
        <v>0.0</v>
      </c>
      <c r="M18" s="7">
        <f>J18+K18+L18</f>
        <v>1900.0</v>
      </c>
      <c r="N18" s="7">
        <f>C18*Parameters!$D$17+D18*Parameters!$D$18+E18*Parameters!$D$16+I18*Parameters!$D$25+G18*Parameters!$D$30</f>
        <v>300.0</v>
      </c>
      <c r="O18" s="7">
        <f>B18*Parameters!$D$19</f>
        <v>4000</v>
      </c>
      <c r="P18" s="7">
        <f>M18-N18-O18</f>
        <v>-2400.0</v>
      </c>
      <c r="Q18" s="7">
        <f>Parameters!$D$21</f>
        <v>1000</v>
      </c>
      <c r="R18" s="7">
        <f>P18-Q18</f>
        <v>-3400.0</v>
      </c>
      <c r="S18" s="7">
        <f>IF(A18&lt;1+Parameters!$D$31,0,INDEX($M$5:$M$40,A18-Parameters!$D$31))</f>
        <v>1900.0</v>
      </c>
      <c r="T18" s="7">
        <f>T17+M18-S18</f>
        <v>1900.0</v>
      </c>
      <c r="U18" s="7">
        <f>S18-N18-O18-Q18</f>
        <v>-3400.0</v>
      </c>
      <c r="V18" s="7">
        <f>V17+U18</f>
        <v>-49500.0</v>
      </c>
      <c r="W18" s="7">
        <f>(1-Parameters!$D$7)*(C18-E18)+(1-Parameters!$D$8)*(D18+E18)</f>
        <v>1000.0</v>
      </c>
      <c r="X18" s="7">
        <f>Parameters!$D$7*(C18-E18)+Parameters!$D$8*Parameters!$D$9*(D18+E18)</f>
        <v>0.0</v>
      </c>
      <c r="Y18" s="7">
        <f>Parameters!$D$8*(1-Parameters!$D$9)*(D18+E18)</f>
        <v>0.0</v>
      </c>
      <c r="Z18" s="7">
        <f>POWER(1/(1+Parameters!$D$32),A18-1)*(M18-N18)</f>
        <v>1405.860158835887</v>
      </c>
    </row>
    <row r="19" spans="1:26">
      <c r="A19" s="7">
        <v>15</v>
      </c>
      <c r="B19" s="7">
        <f>Parameters!$D$20</f>
        <v>1000</v>
      </c>
      <c r="C19" s="7">
        <f>X18+B19</f>
        <v>1000.0</v>
      </c>
      <c r="D19" s="7">
        <f>Y18</f>
        <v>0.0</v>
      </c>
      <c r="E19" s="7">
        <f>Parameters!$D$6*C19</f>
        <v>100.0</v>
      </c>
      <c r="F19" s="7">
        <f>IF(Parameters!$D$5=1,E19,0)</f>
        <v>0.0</v>
      </c>
      <c r="G19" s="7">
        <f>Parameters!$D$27*G18+F19</f>
        <v>0.0</v>
      </c>
      <c r="H19" s="7">
        <f>IF(AND(Parameters!$D$5=1,Parameters!$D$26=1),SUMPRODUCT(--($A$5:A19&lt;A19),--(MOD(A19-$A$5:A19,Parameters!$D$28)=0),$F$5:F19,POWER(Parameters!$D$27,IF(A19-$A$5:A19=0,1,A19-$A$5:A19))),0)</f>
        <v>0.0</v>
      </c>
      <c r="I19" s="7">
        <f>Parameters!$D$23*I18+B19*Parameters!$D$22</f>
        <v>0.0</v>
      </c>
      <c r="J19" s="7">
        <f>E19*Parameters!$D$14*(1-Parameters!$D$15)</f>
        <v>1900.0</v>
      </c>
      <c r="K19" s="7">
        <f>H19*Parameters!$D$29</f>
        <v>0.0</v>
      </c>
      <c r="L19" s="7">
        <f>I19*Parameters!$D$24</f>
        <v>0.0</v>
      </c>
      <c r="M19" s="7">
        <f>J19+K19+L19</f>
        <v>1900.0</v>
      </c>
      <c r="N19" s="7">
        <f>C19*Parameters!$D$17+D19*Parameters!$D$18+E19*Parameters!$D$16+I19*Parameters!$D$25+G19*Parameters!$D$30</f>
        <v>300.0</v>
      </c>
      <c r="O19" s="7">
        <f>B19*Parameters!$D$19</f>
        <v>4000</v>
      </c>
      <c r="P19" s="7">
        <f>M19-N19-O19</f>
        <v>-2400.0</v>
      </c>
      <c r="Q19" s="7">
        <f>Parameters!$D$21</f>
        <v>1000</v>
      </c>
      <c r="R19" s="7">
        <f>P19-Q19</f>
        <v>-3400.0</v>
      </c>
      <c r="S19" s="7">
        <f>IF(A19&lt;1+Parameters!$D$31,0,INDEX($M$5:$M$40,A19-Parameters!$D$31))</f>
        <v>1900.0</v>
      </c>
      <c r="T19" s="7">
        <f>T18+M19-S19</f>
        <v>1900.0</v>
      </c>
      <c r="U19" s="7">
        <f>S19-N19-O19-Q19</f>
        <v>-3400.0</v>
      </c>
      <c r="V19" s="7">
        <f>V18+U19</f>
        <v>-52900.0</v>
      </c>
      <c r="W19" s="7">
        <f>(1-Parameters!$D$7)*(C19-E19)+(1-Parameters!$D$8)*(D19+E19)</f>
        <v>1000.0</v>
      </c>
      <c r="X19" s="7">
        <f>Parameters!$D$7*(C19-E19)+Parameters!$D$8*Parameters!$D$9*(D19+E19)</f>
        <v>0.0</v>
      </c>
      <c r="Y19" s="7">
        <f>Parameters!$D$8*(1-Parameters!$D$9)*(D19+E19)</f>
        <v>0.0</v>
      </c>
      <c r="Z19" s="7">
        <f>POWER(1/(1+Parameters!$D$32),A19-1)*(M19-N19)</f>
        <v>1391.9407513226602</v>
      </c>
    </row>
    <row r="20" spans="1:26">
      <c r="A20" s="7">
        <v>16</v>
      </c>
      <c r="B20" s="7">
        <f>Parameters!$D$20</f>
        <v>1000</v>
      </c>
      <c r="C20" s="7">
        <f>X19+B20</f>
        <v>1000.0</v>
      </c>
      <c r="D20" s="7">
        <f>Y19</f>
        <v>0.0</v>
      </c>
      <c r="E20" s="7">
        <f>Parameters!$D$6*C20</f>
        <v>100.0</v>
      </c>
      <c r="F20" s="7">
        <f>IF(Parameters!$D$5=1,E20,0)</f>
        <v>0.0</v>
      </c>
      <c r="G20" s="7">
        <f>Parameters!$D$27*G19+F20</f>
        <v>0.0</v>
      </c>
      <c r="H20" s="7">
        <f>IF(AND(Parameters!$D$5=1,Parameters!$D$26=1),SUMPRODUCT(--($A$5:A20&lt;A20),--(MOD(A20-$A$5:A20,Parameters!$D$28)=0),$F$5:F20,POWER(Parameters!$D$27,IF(A20-$A$5:A20=0,1,A20-$A$5:A20))),0)</f>
        <v>0.0</v>
      </c>
      <c r="I20" s="7">
        <f>Parameters!$D$23*I19+B20*Parameters!$D$22</f>
        <v>0.0</v>
      </c>
      <c r="J20" s="7">
        <f>E20*Parameters!$D$14*(1-Parameters!$D$15)</f>
        <v>1900.0</v>
      </c>
      <c r="K20" s="7">
        <f>H20*Parameters!$D$29</f>
        <v>0.0</v>
      </c>
      <c r="L20" s="7">
        <f>I20*Parameters!$D$24</f>
        <v>0.0</v>
      </c>
      <c r="M20" s="7">
        <f>J20+K20+L20</f>
        <v>1900.0</v>
      </c>
      <c r="N20" s="7">
        <f>C20*Parameters!$D$17+D20*Parameters!$D$18+E20*Parameters!$D$16+I20*Parameters!$D$25+G20*Parameters!$D$30</f>
        <v>300.0</v>
      </c>
      <c r="O20" s="7">
        <f>B20*Parameters!$D$19</f>
        <v>4000</v>
      </c>
      <c r="P20" s="7">
        <f>M20-N20-O20</f>
        <v>-2400.0</v>
      </c>
      <c r="Q20" s="7">
        <f>Parameters!$D$21</f>
        <v>1000</v>
      </c>
      <c r="R20" s="7">
        <f>P20-Q20</f>
        <v>-3400.0</v>
      </c>
      <c r="S20" s="7">
        <f>IF(A20&lt;1+Parameters!$D$31,0,INDEX($M$5:$M$40,A20-Parameters!$D$31))</f>
        <v>1900.0</v>
      </c>
      <c r="T20" s="7">
        <f>T19+M20-S20</f>
        <v>1900.0</v>
      </c>
      <c r="U20" s="7">
        <f>S20-N20-O20-Q20</f>
        <v>-3400.0</v>
      </c>
      <c r="V20" s="7">
        <f>V19+U20</f>
        <v>-56300.0</v>
      </c>
      <c r="W20" s="7">
        <f>(1-Parameters!$D$7)*(C20-E20)+(1-Parameters!$D$8)*(D20+E20)</f>
        <v>1000.0</v>
      </c>
      <c r="X20" s="7">
        <f>Parameters!$D$7*(C20-E20)+Parameters!$D$8*Parameters!$D$9*(D20+E20)</f>
        <v>0.0</v>
      </c>
      <c r="Y20" s="7">
        <f>Parameters!$D$8*(1-Parameters!$D$9)*(D20+E20)</f>
        <v>0.0</v>
      </c>
      <c r="Z20" s="7">
        <f>POWER(1/(1+Parameters!$D$32),A20-1)*(M20-N20)</f>
        <v>1378.1591597254062</v>
      </c>
    </row>
    <row r="21" spans="1:26">
      <c r="A21" s="7">
        <v>17</v>
      </c>
      <c r="B21" s="7">
        <f>Parameters!$D$20</f>
        <v>1000</v>
      </c>
      <c r="C21" s="7">
        <f>X20+B21</f>
        <v>1000.0</v>
      </c>
      <c r="D21" s="7">
        <f>Y20</f>
        <v>0.0</v>
      </c>
      <c r="E21" s="7">
        <f>Parameters!$D$6*C21</f>
        <v>100.0</v>
      </c>
      <c r="F21" s="7">
        <f>IF(Parameters!$D$5=1,E21,0)</f>
        <v>0.0</v>
      </c>
      <c r="G21" s="7">
        <f>Parameters!$D$27*G20+F21</f>
        <v>0.0</v>
      </c>
      <c r="H21" s="7">
        <f>IF(AND(Parameters!$D$5=1,Parameters!$D$26=1),SUMPRODUCT(--($A$5:A21&lt;A21),--(MOD(A21-$A$5:A21,Parameters!$D$28)=0),$F$5:F21,POWER(Parameters!$D$27,IF(A21-$A$5:A21=0,1,A21-$A$5:A21))),0)</f>
        <v>0.0</v>
      </c>
      <c r="I21" s="7">
        <f>Parameters!$D$23*I20+B21*Parameters!$D$22</f>
        <v>0.0</v>
      </c>
      <c r="J21" s="7">
        <f>E21*Parameters!$D$14*(1-Parameters!$D$15)</f>
        <v>1900.0</v>
      </c>
      <c r="K21" s="7">
        <f>H21*Parameters!$D$29</f>
        <v>0.0</v>
      </c>
      <c r="L21" s="7">
        <f>I21*Parameters!$D$24</f>
        <v>0.0</v>
      </c>
      <c r="M21" s="7">
        <f>J21+K21+L21</f>
        <v>1900.0</v>
      </c>
      <c r="N21" s="7">
        <f>C21*Parameters!$D$17+D21*Parameters!$D$18+E21*Parameters!$D$16+I21*Parameters!$D$25+G21*Parameters!$D$30</f>
        <v>300.0</v>
      </c>
      <c r="O21" s="7">
        <f>B21*Parameters!$D$19</f>
        <v>4000</v>
      </c>
      <c r="P21" s="7">
        <f>M21-N21-O21</f>
        <v>-2400.0</v>
      </c>
      <c r="Q21" s="7">
        <f>Parameters!$D$21</f>
        <v>1000</v>
      </c>
      <c r="R21" s="7">
        <f>P21-Q21</f>
        <v>-3400.0</v>
      </c>
      <c r="S21" s="7">
        <f>IF(A21&lt;1+Parameters!$D$31,0,INDEX($M$5:$M$40,A21-Parameters!$D$31))</f>
        <v>1900.0</v>
      </c>
      <c r="T21" s="7">
        <f>T20+M21-S21</f>
        <v>1900.0</v>
      </c>
      <c r="U21" s="7">
        <f>S21-N21-O21-Q21</f>
        <v>-3400.0</v>
      </c>
      <c r="V21" s="7">
        <f>V20+U21</f>
        <v>-59700.0</v>
      </c>
      <c r="W21" s="7">
        <f>(1-Parameters!$D$7)*(C21-E21)+(1-Parameters!$D$8)*(D21+E21)</f>
        <v>1000.0</v>
      </c>
      <c r="X21" s="7">
        <f>Parameters!$D$7*(C21-E21)+Parameters!$D$8*Parameters!$D$9*(D21+E21)</f>
        <v>0.0</v>
      </c>
      <c r="Y21" s="7">
        <f>Parameters!$D$8*(1-Parameters!$D$9)*(D21+E21)</f>
        <v>0.0</v>
      </c>
      <c r="Z21" s="7">
        <f>POWER(1/(1+Parameters!$D$32),A21-1)*(M21-N21)</f>
        <v>1364.514019530105</v>
      </c>
    </row>
    <row r="22" spans="1:26">
      <c r="A22" s="7">
        <v>18</v>
      </c>
      <c r="B22" s="7">
        <f>Parameters!$D$20</f>
        <v>1000</v>
      </c>
      <c r="C22" s="7">
        <f>X21+B22</f>
        <v>1000.0</v>
      </c>
      <c r="D22" s="7">
        <f>Y21</f>
        <v>0.0</v>
      </c>
      <c r="E22" s="7">
        <f>Parameters!$D$6*C22</f>
        <v>100.0</v>
      </c>
      <c r="F22" s="7">
        <f>IF(Parameters!$D$5=1,E22,0)</f>
        <v>0.0</v>
      </c>
      <c r="G22" s="7">
        <f>Parameters!$D$27*G21+F22</f>
        <v>0.0</v>
      </c>
      <c r="H22" s="7">
        <f>IF(AND(Parameters!$D$5=1,Parameters!$D$26=1),SUMPRODUCT(--($A$5:A22&lt;A22),--(MOD(A22-$A$5:A22,Parameters!$D$28)=0),$F$5:F22,POWER(Parameters!$D$27,IF(A22-$A$5:A22=0,1,A22-$A$5:A22))),0)</f>
        <v>0.0</v>
      </c>
      <c r="I22" s="7">
        <f>Parameters!$D$23*I21+B22*Parameters!$D$22</f>
        <v>0.0</v>
      </c>
      <c r="J22" s="7">
        <f>E22*Parameters!$D$14*(1-Parameters!$D$15)</f>
        <v>1900.0</v>
      </c>
      <c r="K22" s="7">
        <f>H22*Parameters!$D$29</f>
        <v>0.0</v>
      </c>
      <c r="L22" s="7">
        <f>I22*Parameters!$D$24</f>
        <v>0.0</v>
      </c>
      <c r="M22" s="7">
        <f>J22+K22+L22</f>
        <v>1900.0</v>
      </c>
      <c r="N22" s="7">
        <f>C22*Parameters!$D$17+D22*Parameters!$D$18+E22*Parameters!$D$16+I22*Parameters!$D$25+G22*Parameters!$D$30</f>
        <v>300.0</v>
      </c>
      <c r="O22" s="7">
        <f>B22*Parameters!$D$19</f>
        <v>4000</v>
      </c>
      <c r="P22" s="7">
        <f>M22-N22-O22</f>
        <v>-2400.0</v>
      </c>
      <c r="Q22" s="7">
        <f>Parameters!$D$21</f>
        <v>1000</v>
      </c>
      <c r="R22" s="7">
        <f>P22-Q22</f>
        <v>-3400.0</v>
      </c>
      <c r="S22" s="7">
        <f>IF(A22&lt;1+Parameters!$D$31,0,INDEX($M$5:$M$40,A22-Parameters!$D$31))</f>
        <v>1900.0</v>
      </c>
      <c r="T22" s="7">
        <f>T21+M22-S22</f>
        <v>1900.0</v>
      </c>
      <c r="U22" s="7">
        <f>S22-N22-O22-Q22</f>
        <v>-3400.0</v>
      </c>
      <c r="V22" s="7">
        <f>V21+U22</f>
        <v>-63100.0</v>
      </c>
      <c r="W22" s="7">
        <f>(1-Parameters!$D$7)*(C22-E22)+(1-Parameters!$D$8)*(D22+E22)</f>
        <v>1000.0</v>
      </c>
      <c r="X22" s="7">
        <f>Parameters!$D$7*(C22-E22)+Parameters!$D$8*Parameters!$D$9*(D22+E22)</f>
        <v>0.0</v>
      </c>
      <c r="Y22" s="7">
        <f>Parameters!$D$8*(1-Parameters!$D$9)*(D22+E22)</f>
        <v>0.0</v>
      </c>
      <c r="Z22" s="7">
        <f>POWER(1/(1+Parameters!$D$32),A22-1)*(M22-N22)</f>
        <v>1351.0039797327772</v>
      </c>
    </row>
    <row r="23" spans="1:26">
      <c r="A23" s="7">
        <v>19</v>
      </c>
      <c r="B23" s="7">
        <f>Parameters!$D$20</f>
        <v>1000</v>
      </c>
      <c r="C23" s="7">
        <f>X22+B23</f>
        <v>1000.0</v>
      </c>
      <c r="D23" s="7">
        <f>Y22</f>
        <v>0.0</v>
      </c>
      <c r="E23" s="7">
        <f>Parameters!$D$6*C23</f>
        <v>100.0</v>
      </c>
      <c r="F23" s="7">
        <f>IF(Parameters!$D$5=1,E23,0)</f>
        <v>0.0</v>
      </c>
      <c r="G23" s="7">
        <f>Parameters!$D$27*G22+F23</f>
        <v>0.0</v>
      </c>
      <c r="H23" s="7">
        <f>IF(AND(Parameters!$D$5=1,Parameters!$D$26=1),SUMPRODUCT(--($A$5:A23&lt;A23),--(MOD(A23-$A$5:A23,Parameters!$D$28)=0),$F$5:F23,POWER(Parameters!$D$27,IF(A23-$A$5:A23=0,1,A23-$A$5:A23))),0)</f>
        <v>0.0</v>
      </c>
      <c r="I23" s="7">
        <f>Parameters!$D$23*I22+B23*Parameters!$D$22</f>
        <v>0.0</v>
      </c>
      <c r="J23" s="7">
        <f>E23*Parameters!$D$14*(1-Parameters!$D$15)</f>
        <v>1900.0</v>
      </c>
      <c r="K23" s="7">
        <f>H23*Parameters!$D$29</f>
        <v>0.0</v>
      </c>
      <c r="L23" s="7">
        <f>I23*Parameters!$D$24</f>
        <v>0.0</v>
      </c>
      <c r="M23" s="7">
        <f>J23+K23+L23</f>
        <v>1900.0</v>
      </c>
      <c r="N23" s="7">
        <f>C23*Parameters!$D$17+D23*Parameters!$D$18+E23*Parameters!$D$16+I23*Parameters!$D$25+G23*Parameters!$D$30</f>
        <v>300.0</v>
      </c>
      <c r="O23" s="7">
        <f>B23*Parameters!$D$19</f>
        <v>4000</v>
      </c>
      <c r="P23" s="7">
        <f>M23-N23-O23</f>
        <v>-2400.0</v>
      </c>
      <c r="Q23" s="7">
        <f>Parameters!$D$21</f>
        <v>1000</v>
      </c>
      <c r="R23" s="7">
        <f>P23-Q23</f>
        <v>-3400.0</v>
      </c>
      <c r="S23" s="7">
        <f>IF(A23&lt;1+Parameters!$D$31,0,INDEX($M$5:$M$40,A23-Parameters!$D$31))</f>
        <v>1900.0</v>
      </c>
      <c r="T23" s="7">
        <f>T22+M23-S23</f>
        <v>1900.0</v>
      </c>
      <c r="U23" s="7">
        <f>S23-N23-O23-Q23</f>
        <v>-3400.0</v>
      </c>
      <c r="V23" s="7">
        <f>V22+U23</f>
        <v>-66500.0</v>
      </c>
      <c r="W23" s="7">
        <f>(1-Parameters!$D$7)*(C23-E23)+(1-Parameters!$D$8)*(D23+E23)</f>
        <v>1000.0</v>
      </c>
      <c r="X23" s="7">
        <f>Parameters!$D$7*(C23-E23)+Parameters!$D$8*Parameters!$D$9*(D23+E23)</f>
        <v>0.0</v>
      </c>
      <c r="Y23" s="7">
        <f>Parameters!$D$8*(1-Parameters!$D$9)*(D23+E23)</f>
        <v>0.0</v>
      </c>
      <c r="Z23" s="7">
        <f>POWER(1/(1+Parameters!$D$32),A23-1)*(M23-N23)</f>
        <v>1337.6277027057201</v>
      </c>
    </row>
    <row r="24" spans="1:26">
      <c r="A24" s="7">
        <v>20</v>
      </c>
      <c r="B24" s="7">
        <f>Parameters!$D$20</f>
        <v>1000</v>
      </c>
      <c r="C24" s="7">
        <f>X23+B24</f>
        <v>1000.0</v>
      </c>
      <c r="D24" s="7">
        <f>Y23</f>
        <v>0.0</v>
      </c>
      <c r="E24" s="7">
        <f>Parameters!$D$6*C24</f>
        <v>100.0</v>
      </c>
      <c r="F24" s="7">
        <f>IF(Parameters!$D$5=1,E24,0)</f>
        <v>0.0</v>
      </c>
      <c r="G24" s="7">
        <f>Parameters!$D$27*G23+F24</f>
        <v>0.0</v>
      </c>
      <c r="H24" s="7">
        <f>IF(AND(Parameters!$D$5=1,Parameters!$D$26=1),SUMPRODUCT(--($A$5:A24&lt;A24),--(MOD(A24-$A$5:A24,Parameters!$D$28)=0),$F$5:F24,POWER(Parameters!$D$27,IF(A24-$A$5:A24=0,1,A24-$A$5:A24))),0)</f>
        <v>0.0</v>
      </c>
      <c r="I24" s="7">
        <f>Parameters!$D$23*I23+B24*Parameters!$D$22</f>
        <v>0.0</v>
      </c>
      <c r="J24" s="7">
        <f>E24*Parameters!$D$14*(1-Parameters!$D$15)</f>
        <v>1900.0</v>
      </c>
      <c r="K24" s="7">
        <f>H24*Parameters!$D$29</f>
        <v>0.0</v>
      </c>
      <c r="L24" s="7">
        <f>I24*Parameters!$D$24</f>
        <v>0.0</v>
      </c>
      <c r="M24" s="7">
        <f>J24+K24+L24</f>
        <v>1900.0</v>
      </c>
      <c r="N24" s="7">
        <f>C24*Parameters!$D$17+D24*Parameters!$D$18+E24*Parameters!$D$16+I24*Parameters!$D$25+G24*Parameters!$D$30</f>
        <v>300.0</v>
      </c>
      <c r="O24" s="7">
        <f>B24*Parameters!$D$19</f>
        <v>4000</v>
      </c>
      <c r="P24" s="7">
        <f>M24-N24-O24</f>
        <v>-2400.0</v>
      </c>
      <c r="Q24" s="7">
        <f>Parameters!$D$21</f>
        <v>1000</v>
      </c>
      <c r="R24" s="7">
        <f>P24-Q24</f>
        <v>-3400.0</v>
      </c>
      <c r="S24" s="7">
        <f>IF(A24&lt;1+Parameters!$D$31,0,INDEX($M$5:$M$40,A24-Parameters!$D$31))</f>
        <v>1900.0</v>
      </c>
      <c r="T24" s="7">
        <f>T23+M24-S24</f>
        <v>1900.0</v>
      </c>
      <c r="U24" s="7">
        <f>S24-N24-O24-Q24</f>
        <v>-3400.0</v>
      </c>
      <c r="V24" s="7">
        <f>V23+U24</f>
        <v>-69900.0</v>
      </c>
      <c r="W24" s="7">
        <f>(1-Parameters!$D$7)*(C24-E24)+(1-Parameters!$D$8)*(D24+E24)</f>
        <v>1000.0</v>
      </c>
      <c r="X24" s="7">
        <f>Parameters!$D$7*(C24-E24)+Parameters!$D$8*Parameters!$D$9*(D24+E24)</f>
        <v>0.0</v>
      </c>
      <c r="Y24" s="7">
        <f>Parameters!$D$8*(1-Parameters!$D$9)*(D24+E24)</f>
        <v>0.0</v>
      </c>
      <c r="Z24" s="7">
        <f>POWER(1/(1+Parameters!$D$32),A24-1)*(M24-N24)</f>
        <v>1324.3838640650692</v>
      </c>
    </row>
    <row r="25" spans="1:26">
      <c r="A25" s="7">
        <v>21</v>
      </c>
      <c r="B25" s="7">
        <f>Parameters!$D$20</f>
        <v>1000</v>
      </c>
      <c r="C25" s="7">
        <f>X24+B25</f>
        <v>1000.0</v>
      </c>
      <c r="D25" s="7">
        <f>Y24</f>
        <v>0.0</v>
      </c>
      <c r="E25" s="7">
        <f>Parameters!$D$6*C25</f>
        <v>100.0</v>
      </c>
      <c r="F25" s="7">
        <f>IF(Parameters!$D$5=1,E25,0)</f>
        <v>0.0</v>
      </c>
      <c r="G25" s="7">
        <f>Parameters!$D$27*G24+F25</f>
        <v>0.0</v>
      </c>
      <c r="H25" s="7">
        <f>IF(AND(Parameters!$D$5=1,Parameters!$D$26=1),SUMPRODUCT(--($A$5:A25&lt;A25),--(MOD(A25-$A$5:A25,Parameters!$D$28)=0),$F$5:F25,POWER(Parameters!$D$27,IF(A25-$A$5:A25=0,1,A25-$A$5:A25))),0)</f>
        <v>0.0</v>
      </c>
      <c r="I25" s="7">
        <f>Parameters!$D$23*I24+B25*Parameters!$D$22</f>
        <v>0.0</v>
      </c>
      <c r="J25" s="7">
        <f>E25*Parameters!$D$14*(1-Parameters!$D$15)</f>
        <v>1900.0</v>
      </c>
      <c r="K25" s="7">
        <f>H25*Parameters!$D$29</f>
        <v>0.0</v>
      </c>
      <c r="L25" s="7">
        <f>I25*Parameters!$D$24</f>
        <v>0.0</v>
      </c>
      <c r="M25" s="7">
        <f>J25+K25+L25</f>
        <v>1900.0</v>
      </c>
      <c r="N25" s="7">
        <f>C25*Parameters!$D$17+D25*Parameters!$D$18+E25*Parameters!$D$16+I25*Parameters!$D$25+G25*Parameters!$D$30</f>
        <v>300.0</v>
      </c>
      <c r="O25" s="7">
        <f>B25*Parameters!$D$19</f>
        <v>4000</v>
      </c>
      <c r="P25" s="7">
        <f>M25-N25-O25</f>
        <v>-2400.0</v>
      </c>
      <c r="Q25" s="7">
        <f>Parameters!$D$21</f>
        <v>1000</v>
      </c>
      <c r="R25" s="7">
        <f>P25-Q25</f>
        <v>-3400.0</v>
      </c>
      <c r="S25" s="7">
        <f>IF(A25&lt;1+Parameters!$D$31,0,INDEX($M$5:$M$40,A25-Parameters!$D$31))</f>
        <v>1900.0</v>
      </c>
      <c r="T25" s="7">
        <f>T24+M25-S25</f>
        <v>1900.0</v>
      </c>
      <c r="U25" s="7">
        <f>S25-N25-O25-Q25</f>
        <v>-3400.0</v>
      </c>
      <c r="V25" s="7">
        <f>V24+U25</f>
        <v>-73300.0</v>
      </c>
      <c r="W25" s="7">
        <f>(1-Parameters!$D$7)*(C25-E25)+(1-Parameters!$D$8)*(D25+E25)</f>
        <v>1000.0</v>
      </c>
      <c r="X25" s="7">
        <f>Parameters!$D$7*(C25-E25)+Parameters!$D$8*Parameters!$D$9*(D25+E25)</f>
        <v>0.0</v>
      </c>
      <c r="Y25" s="7">
        <f>Parameters!$D$8*(1-Parameters!$D$9)*(D25+E25)</f>
        <v>0.0</v>
      </c>
      <c r="Z25" s="7">
        <f>POWER(1/(1+Parameters!$D$32),A25-1)*(M25-N25)</f>
        <v>1311.2711525396726</v>
      </c>
    </row>
    <row r="26" spans="1:26">
      <c r="A26" s="7">
        <v>22</v>
      </c>
      <c r="B26" s="7">
        <f>Parameters!$D$20</f>
        <v>1000</v>
      </c>
      <c r="C26" s="7">
        <f>X25+B26</f>
        <v>1000.0</v>
      </c>
      <c r="D26" s="7">
        <f>Y25</f>
        <v>0.0</v>
      </c>
      <c r="E26" s="7">
        <f>Parameters!$D$6*C26</f>
        <v>100.0</v>
      </c>
      <c r="F26" s="7">
        <f>IF(Parameters!$D$5=1,E26,0)</f>
        <v>0.0</v>
      </c>
      <c r="G26" s="7">
        <f>Parameters!$D$27*G25+F26</f>
        <v>0.0</v>
      </c>
      <c r="H26" s="7">
        <f>IF(AND(Parameters!$D$5=1,Parameters!$D$26=1),SUMPRODUCT(--($A$5:A26&lt;A26),--(MOD(A26-$A$5:A26,Parameters!$D$28)=0),$F$5:F26,POWER(Parameters!$D$27,IF(A26-$A$5:A26=0,1,A26-$A$5:A26))),0)</f>
        <v>0.0</v>
      </c>
      <c r="I26" s="7">
        <f>Parameters!$D$23*I25+B26*Parameters!$D$22</f>
        <v>0.0</v>
      </c>
      <c r="J26" s="7">
        <f>E26*Parameters!$D$14*(1-Parameters!$D$15)</f>
        <v>1900.0</v>
      </c>
      <c r="K26" s="7">
        <f>H26*Parameters!$D$29</f>
        <v>0.0</v>
      </c>
      <c r="L26" s="7">
        <f>I26*Parameters!$D$24</f>
        <v>0.0</v>
      </c>
      <c r="M26" s="7">
        <f>J26+K26+L26</f>
        <v>1900.0</v>
      </c>
      <c r="N26" s="7">
        <f>C26*Parameters!$D$17+D26*Parameters!$D$18+E26*Parameters!$D$16+I26*Parameters!$D$25+G26*Parameters!$D$30</f>
        <v>300.0</v>
      </c>
      <c r="O26" s="7">
        <f>B26*Parameters!$D$19</f>
        <v>4000</v>
      </c>
      <c r="P26" s="7">
        <f>M26-N26-O26</f>
        <v>-2400.0</v>
      </c>
      <c r="Q26" s="7">
        <f>Parameters!$D$21</f>
        <v>1000</v>
      </c>
      <c r="R26" s="7">
        <f>P26-Q26</f>
        <v>-3400.0</v>
      </c>
      <c r="S26" s="7">
        <f>IF(A26&lt;1+Parameters!$D$31,0,INDEX($M$5:$M$40,A26-Parameters!$D$31))</f>
        <v>1900.0</v>
      </c>
      <c r="T26" s="7">
        <f>T25+M26-S26</f>
        <v>1900.0</v>
      </c>
      <c r="U26" s="7">
        <f>S26-N26-O26-Q26</f>
        <v>-3400.0</v>
      </c>
      <c r="V26" s="7">
        <f>V25+U26</f>
        <v>-76700.0</v>
      </c>
      <c r="W26" s="7">
        <f>(1-Parameters!$D$7)*(C26-E26)+(1-Parameters!$D$8)*(D26+E26)</f>
        <v>1000.0</v>
      </c>
      <c r="X26" s="7">
        <f>Parameters!$D$7*(C26-E26)+Parameters!$D$8*Parameters!$D$9*(D26+E26)</f>
        <v>0.0</v>
      </c>
      <c r="Y26" s="7">
        <f>Parameters!$D$8*(1-Parameters!$D$9)*(D26+E26)</f>
        <v>0.0</v>
      </c>
      <c r="Z26" s="7">
        <f>POWER(1/(1+Parameters!$D$32),A26-1)*(M26-N26)</f>
        <v>1298.28826984126</v>
      </c>
    </row>
    <row r="27" spans="1:26">
      <c r="A27" s="7">
        <v>23</v>
      </c>
      <c r="B27" s="7">
        <f>Parameters!$D$20</f>
        <v>1000</v>
      </c>
      <c r="C27" s="7">
        <f>X26+B27</f>
        <v>1000.0</v>
      </c>
      <c r="D27" s="7">
        <f>Y26</f>
        <v>0.0</v>
      </c>
      <c r="E27" s="7">
        <f>Parameters!$D$6*C27</f>
        <v>100.0</v>
      </c>
      <c r="F27" s="7">
        <f>IF(Parameters!$D$5=1,E27,0)</f>
        <v>0.0</v>
      </c>
      <c r="G27" s="7">
        <f>Parameters!$D$27*G26+F27</f>
        <v>0.0</v>
      </c>
      <c r="H27" s="7">
        <f>IF(AND(Parameters!$D$5=1,Parameters!$D$26=1),SUMPRODUCT(--($A$5:A27&lt;A27),--(MOD(A27-$A$5:A27,Parameters!$D$28)=0),$F$5:F27,POWER(Parameters!$D$27,IF(A27-$A$5:A27=0,1,A27-$A$5:A27))),0)</f>
        <v>0.0</v>
      </c>
      <c r="I27" s="7">
        <f>Parameters!$D$23*I26+B27*Parameters!$D$22</f>
        <v>0.0</v>
      </c>
      <c r="J27" s="7">
        <f>E27*Parameters!$D$14*(1-Parameters!$D$15)</f>
        <v>1900.0</v>
      </c>
      <c r="K27" s="7">
        <f>H27*Parameters!$D$29</f>
        <v>0.0</v>
      </c>
      <c r="L27" s="7">
        <f>I27*Parameters!$D$24</f>
        <v>0.0</v>
      </c>
      <c r="M27" s="7">
        <f>J27+K27+L27</f>
        <v>1900.0</v>
      </c>
      <c r="N27" s="7">
        <f>C27*Parameters!$D$17+D27*Parameters!$D$18+E27*Parameters!$D$16+I27*Parameters!$D$25+G27*Parameters!$D$30</f>
        <v>300.0</v>
      </c>
      <c r="O27" s="7">
        <f>B27*Parameters!$D$19</f>
        <v>4000</v>
      </c>
      <c r="P27" s="7">
        <f>M27-N27-O27</f>
        <v>-2400.0</v>
      </c>
      <c r="Q27" s="7">
        <f>Parameters!$D$21</f>
        <v>1000</v>
      </c>
      <c r="R27" s="7">
        <f>P27-Q27</f>
        <v>-3400.0</v>
      </c>
      <c r="S27" s="7">
        <f>IF(A27&lt;1+Parameters!$D$31,0,INDEX($M$5:$M$40,A27-Parameters!$D$31))</f>
        <v>1900.0</v>
      </c>
      <c r="T27" s="7">
        <f>T26+M27-S27</f>
        <v>1900.0</v>
      </c>
      <c r="U27" s="7">
        <f>S27-N27-O27-Q27</f>
        <v>-3400.0</v>
      </c>
      <c r="V27" s="7">
        <f>V26+U27</f>
        <v>-80100.0</v>
      </c>
      <c r="W27" s="7">
        <f>(1-Parameters!$D$7)*(C27-E27)+(1-Parameters!$D$8)*(D27+E27)</f>
        <v>1000.0</v>
      </c>
      <c r="X27" s="7">
        <f>Parameters!$D$7*(C27-E27)+Parameters!$D$8*Parameters!$D$9*(D27+E27)</f>
        <v>0.0</v>
      </c>
      <c r="Y27" s="7">
        <f>Parameters!$D$8*(1-Parameters!$D$9)*(D27+E27)</f>
        <v>0.0</v>
      </c>
      <c r="Z27" s="7">
        <f>POWER(1/(1+Parameters!$D$32),A27-1)*(M27-N27)</f>
        <v>1285.433930535901</v>
      </c>
    </row>
    <row r="28" spans="1:26">
      <c r="A28" s="7">
        <v>24</v>
      </c>
      <c r="B28" s="7">
        <f>Parameters!$D$20</f>
        <v>1000</v>
      </c>
      <c r="C28" s="7">
        <f>X27+B28</f>
        <v>1000.0</v>
      </c>
      <c r="D28" s="7">
        <f>Y27</f>
        <v>0.0</v>
      </c>
      <c r="E28" s="7">
        <f>Parameters!$D$6*C28</f>
        <v>100.0</v>
      </c>
      <c r="F28" s="7">
        <f>IF(Parameters!$D$5=1,E28,0)</f>
        <v>0.0</v>
      </c>
      <c r="G28" s="7">
        <f>Parameters!$D$27*G27+F28</f>
        <v>0.0</v>
      </c>
      <c r="H28" s="7">
        <f>IF(AND(Parameters!$D$5=1,Parameters!$D$26=1),SUMPRODUCT(--($A$5:A28&lt;A28),--(MOD(A28-$A$5:A28,Parameters!$D$28)=0),$F$5:F28,POWER(Parameters!$D$27,IF(A28-$A$5:A28=0,1,A28-$A$5:A28))),0)</f>
        <v>0.0</v>
      </c>
      <c r="I28" s="7">
        <f>Parameters!$D$23*I27+B28*Parameters!$D$22</f>
        <v>0.0</v>
      </c>
      <c r="J28" s="7">
        <f>E28*Parameters!$D$14*(1-Parameters!$D$15)</f>
        <v>1900.0</v>
      </c>
      <c r="K28" s="7">
        <f>H28*Parameters!$D$29</f>
        <v>0.0</v>
      </c>
      <c r="L28" s="7">
        <f>I28*Parameters!$D$24</f>
        <v>0.0</v>
      </c>
      <c r="M28" s="7">
        <f>J28+K28+L28</f>
        <v>1900.0</v>
      </c>
      <c r="N28" s="7">
        <f>C28*Parameters!$D$17+D28*Parameters!$D$18+E28*Parameters!$D$16+I28*Parameters!$D$25+G28*Parameters!$D$30</f>
        <v>300.0</v>
      </c>
      <c r="O28" s="7">
        <f>B28*Parameters!$D$19</f>
        <v>4000</v>
      </c>
      <c r="P28" s="7">
        <f>M28-N28-O28</f>
        <v>-2400.0</v>
      </c>
      <c r="Q28" s="7">
        <f>Parameters!$D$21</f>
        <v>1000</v>
      </c>
      <c r="R28" s="7">
        <f>P28-Q28</f>
        <v>-3400.0</v>
      </c>
      <c r="S28" s="7">
        <f>IF(A28&lt;1+Parameters!$D$31,0,INDEX($M$5:$M$40,A28-Parameters!$D$31))</f>
        <v>1900.0</v>
      </c>
      <c r="T28" s="7">
        <f>T27+M28-S28</f>
        <v>1900.0</v>
      </c>
      <c r="U28" s="7">
        <f>S28-N28-O28-Q28</f>
        <v>-3400.0</v>
      </c>
      <c r="V28" s="7">
        <f>V27+U28</f>
        <v>-83500.0</v>
      </c>
      <c r="W28" s="7">
        <f>(1-Parameters!$D$7)*(C28-E28)+(1-Parameters!$D$8)*(D28+E28)</f>
        <v>1000.0</v>
      </c>
      <c r="X28" s="7">
        <f>Parameters!$D$7*(C28-E28)+Parameters!$D$8*Parameters!$D$9*(D28+E28)</f>
        <v>0.0</v>
      </c>
      <c r="Y28" s="7">
        <f>Parameters!$D$8*(1-Parameters!$D$9)*(D28+E28)</f>
        <v>0.0</v>
      </c>
      <c r="Z28" s="7">
        <f>POWER(1/(1+Parameters!$D$32),A28-1)*(M28-N28)</f>
        <v>1272.7068619167337</v>
      </c>
    </row>
    <row r="29" spans="1:26">
      <c r="A29" s="7">
        <v>25</v>
      </c>
      <c r="B29" s="7">
        <f>Parameters!$D$20</f>
        <v>1000</v>
      </c>
      <c r="C29" s="7">
        <f>X28+B29</f>
        <v>1000.0</v>
      </c>
      <c r="D29" s="7">
        <f>Y28</f>
        <v>0.0</v>
      </c>
      <c r="E29" s="7">
        <f>Parameters!$D$6*C29</f>
        <v>100.0</v>
      </c>
      <c r="F29" s="7">
        <f>IF(Parameters!$D$5=1,E29,0)</f>
        <v>0.0</v>
      </c>
      <c r="G29" s="7">
        <f>Parameters!$D$27*G28+F29</f>
        <v>0.0</v>
      </c>
      <c r="H29" s="7">
        <f>IF(AND(Parameters!$D$5=1,Parameters!$D$26=1),SUMPRODUCT(--($A$5:A29&lt;A29),--(MOD(A29-$A$5:A29,Parameters!$D$28)=0),$F$5:F29,POWER(Parameters!$D$27,IF(A29-$A$5:A29=0,1,A29-$A$5:A29))),0)</f>
        <v>0.0</v>
      </c>
      <c r="I29" s="7">
        <f>Parameters!$D$23*I28+B29*Parameters!$D$22</f>
        <v>0.0</v>
      </c>
      <c r="J29" s="7">
        <f>E29*Parameters!$D$14*(1-Parameters!$D$15)</f>
        <v>1900.0</v>
      </c>
      <c r="K29" s="7">
        <f>H29*Parameters!$D$29</f>
        <v>0.0</v>
      </c>
      <c r="L29" s="7">
        <f>I29*Parameters!$D$24</f>
        <v>0.0</v>
      </c>
      <c r="M29" s="7">
        <f>J29+K29+L29</f>
        <v>1900.0</v>
      </c>
      <c r="N29" s="7">
        <f>C29*Parameters!$D$17+D29*Parameters!$D$18+E29*Parameters!$D$16+I29*Parameters!$D$25+G29*Parameters!$D$30</f>
        <v>300.0</v>
      </c>
      <c r="O29" s="7">
        <f>B29*Parameters!$D$19</f>
        <v>4000</v>
      </c>
      <c r="P29" s="7">
        <f>M29-N29-O29</f>
        <v>-2400.0</v>
      </c>
      <c r="Q29" s="7">
        <f>Parameters!$D$21</f>
        <v>1000</v>
      </c>
      <c r="R29" s="7">
        <f>P29-Q29</f>
        <v>-3400.0</v>
      </c>
      <c r="S29" s="7">
        <f>IF(A29&lt;1+Parameters!$D$31,0,INDEX($M$5:$M$40,A29-Parameters!$D$31))</f>
        <v>1900.0</v>
      </c>
      <c r="T29" s="7">
        <f>T28+M29-S29</f>
        <v>1900.0</v>
      </c>
      <c r="U29" s="7">
        <f>S29-N29-O29-Q29</f>
        <v>-3400.0</v>
      </c>
      <c r="V29" s="7">
        <f>V28+U29</f>
        <v>-86900.0</v>
      </c>
      <c r="W29" s="7">
        <f>(1-Parameters!$D$7)*(C29-E29)+(1-Parameters!$D$8)*(D29+E29)</f>
        <v>1000.0</v>
      </c>
      <c r="X29" s="7">
        <f>Parameters!$D$7*(C29-E29)+Parameters!$D$8*Parameters!$D$9*(D29+E29)</f>
        <v>0.0</v>
      </c>
      <c r="Y29" s="7">
        <f>Parameters!$D$8*(1-Parameters!$D$9)*(D29+E29)</f>
        <v>0.0</v>
      </c>
      <c r="Z29" s="7">
        <f>POWER(1/(1+Parameters!$D$32),A29-1)*(M29-N29)</f>
        <v>1260.1058038779543</v>
      </c>
    </row>
    <row r="30" spans="1:26">
      <c r="A30" s="7">
        <v>26</v>
      </c>
      <c r="B30" s="7">
        <f>Parameters!$D$20</f>
        <v>1000</v>
      </c>
      <c r="C30" s="7">
        <f>X29+B30</f>
        <v>1000.0</v>
      </c>
      <c r="D30" s="7">
        <f>Y29</f>
        <v>0.0</v>
      </c>
      <c r="E30" s="7">
        <f>Parameters!$D$6*C30</f>
        <v>100.0</v>
      </c>
      <c r="F30" s="7">
        <f>IF(Parameters!$D$5=1,E30,0)</f>
        <v>0.0</v>
      </c>
      <c r="G30" s="7">
        <f>Parameters!$D$27*G29+F30</f>
        <v>0.0</v>
      </c>
      <c r="H30" s="7">
        <f>IF(AND(Parameters!$D$5=1,Parameters!$D$26=1),SUMPRODUCT(--($A$5:A30&lt;A30),--(MOD(A30-$A$5:A30,Parameters!$D$28)=0),$F$5:F30,POWER(Parameters!$D$27,IF(A30-$A$5:A30=0,1,A30-$A$5:A30))),0)</f>
        <v>0.0</v>
      </c>
      <c r="I30" s="7">
        <f>Parameters!$D$23*I29+B30*Parameters!$D$22</f>
        <v>0.0</v>
      </c>
      <c r="J30" s="7">
        <f>E30*Parameters!$D$14*(1-Parameters!$D$15)</f>
        <v>1900.0</v>
      </c>
      <c r="K30" s="7">
        <f>H30*Parameters!$D$29</f>
        <v>0.0</v>
      </c>
      <c r="L30" s="7">
        <f>I30*Parameters!$D$24</f>
        <v>0.0</v>
      </c>
      <c r="M30" s="7">
        <f>J30+K30+L30</f>
        <v>1900.0</v>
      </c>
      <c r="N30" s="7">
        <f>C30*Parameters!$D$17+D30*Parameters!$D$18+E30*Parameters!$D$16+I30*Parameters!$D$25+G30*Parameters!$D$30</f>
        <v>300.0</v>
      </c>
      <c r="O30" s="7">
        <f>B30*Parameters!$D$19</f>
        <v>4000</v>
      </c>
      <c r="P30" s="7">
        <f>M30-N30-O30</f>
        <v>-2400.0</v>
      </c>
      <c r="Q30" s="7">
        <f>Parameters!$D$21</f>
        <v>1000</v>
      </c>
      <c r="R30" s="7">
        <f>P30-Q30</f>
        <v>-3400.0</v>
      </c>
      <c r="S30" s="7">
        <f>IF(A30&lt;1+Parameters!$D$31,0,INDEX($M$5:$M$40,A30-Parameters!$D$31))</f>
        <v>1900.0</v>
      </c>
      <c r="T30" s="7">
        <f>T29+M30-S30</f>
        <v>1900.0</v>
      </c>
      <c r="U30" s="7">
        <f>S30-N30-O30-Q30</f>
        <v>-3400.0</v>
      </c>
      <c r="V30" s="7">
        <f>V29+U30</f>
        <v>-90300.0</v>
      </c>
      <c r="W30" s="7">
        <f>(1-Parameters!$D$7)*(C30-E30)+(1-Parameters!$D$8)*(D30+E30)</f>
        <v>1000.0</v>
      </c>
      <c r="X30" s="7">
        <f>Parameters!$D$7*(C30-E30)+Parameters!$D$8*Parameters!$D$9*(D30+E30)</f>
        <v>0.0</v>
      </c>
      <c r="Y30" s="7">
        <f>Parameters!$D$8*(1-Parameters!$D$9)*(D30+E30)</f>
        <v>0.0</v>
      </c>
      <c r="Z30" s="7">
        <f>POWER(1/(1+Parameters!$D$32),A30-1)*(M30-N30)</f>
        <v>1247.6295087900535</v>
      </c>
    </row>
    <row r="31" spans="1:26">
      <c r="A31" s="7">
        <v>27</v>
      </c>
      <c r="B31" s="7">
        <f>Parameters!$D$20</f>
        <v>1000</v>
      </c>
      <c r="C31" s="7">
        <f>X30+B31</f>
        <v>1000.0</v>
      </c>
      <c r="D31" s="7">
        <f>Y30</f>
        <v>0.0</v>
      </c>
      <c r="E31" s="7">
        <f>Parameters!$D$6*C31</f>
        <v>100.0</v>
      </c>
      <c r="F31" s="7">
        <f>IF(Parameters!$D$5=1,E31,0)</f>
        <v>0.0</v>
      </c>
      <c r="G31" s="7">
        <f>Parameters!$D$27*G30+F31</f>
        <v>0.0</v>
      </c>
      <c r="H31" s="7">
        <f>IF(AND(Parameters!$D$5=1,Parameters!$D$26=1),SUMPRODUCT(--($A$5:A31&lt;A31),--(MOD(A31-$A$5:A31,Parameters!$D$28)=0),$F$5:F31,POWER(Parameters!$D$27,IF(A31-$A$5:A31=0,1,A31-$A$5:A31))),0)</f>
        <v>0.0</v>
      </c>
      <c r="I31" s="7">
        <f>Parameters!$D$23*I30+B31*Parameters!$D$22</f>
        <v>0.0</v>
      </c>
      <c r="J31" s="7">
        <f>E31*Parameters!$D$14*(1-Parameters!$D$15)</f>
        <v>1900.0</v>
      </c>
      <c r="K31" s="7">
        <f>H31*Parameters!$D$29</f>
        <v>0.0</v>
      </c>
      <c r="L31" s="7">
        <f>I31*Parameters!$D$24</f>
        <v>0.0</v>
      </c>
      <c r="M31" s="7">
        <f>J31+K31+L31</f>
        <v>1900.0</v>
      </c>
      <c r="N31" s="7">
        <f>C31*Parameters!$D$17+D31*Parameters!$D$18+E31*Parameters!$D$16+I31*Parameters!$D$25+G31*Parameters!$D$30</f>
        <v>300.0</v>
      </c>
      <c r="O31" s="7">
        <f>B31*Parameters!$D$19</f>
        <v>4000</v>
      </c>
      <c r="P31" s="7">
        <f>M31-N31-O31</f>
        <v>-2400.0</v>
      </c>
      <c r="Q31" s="7">
        <f>Parameters!$D$21</f>
        <v>1000</v>
      </c>
      <c r="R31" s="7">
        <f>P31-Q31</f>
        <v>-3400.0</v>
      </c>
      <c r="S31" s="7">
        <f>IF(A31&lt;1+Parameters!$D$31,0,INDEX($M$5:$M$40,A31-Parameters!$D$31))</f>
        <v>1900.0</v>
      </c>
      <c r="T31" s="7">
        <f>T30+M31-S31</f>
        <v>1900.0</v>
      </c>
      <c r="U31" s="7">
        <f>S31-N31-O31-Q31</f>
        <v>-3400.0</v>
      </c>
      <c r="V31" s="7">
        <f>V30+U31</f>
        <v>-93700.0</v>
      </c>
      <c r="W31" s="7">
        <f>(1-Parameters!$D$7)*(C31-E31)+(1-Parameters!$D$8)*(D31+E31)</f>
        <v>1000.0</v>
      </c>
      <c r="X31" s="7">
        <f>Parameters!$D$7*(C31-E31)+Parameters!$D$8*Parameters!$D$9*(D31+E31)</f>
        <v>0.0</v>
      </c>
      <c r="Y31" s="7">
        <f>Parameters!$D$8*(1-Parameters!$D$9)*(D31+E31)</f>
        <v>0.0</v>
      </c>
      <c r="Z31" s="7">
        <f>POWER(1/(1+Parameters!$D$32),A31-1)*(M31-N31)</f>
        <v>1235.2767413762906</v>
      </c>
    </row>
    <row r="32" spans="1:26">
      <c r="A32" s="7">
        <v>28</v>
      </c>
      <c r="B32" s="7">
        <f>Parameters!$D$20</f>
        <v>1000</v>
      </c>
      <c r="C32" s="7">
        <f>X31+B32</f>
        <v>1000.0</v>
      </c>
      <c r="D32" s="7">
        <f>Y31</f>
        <v>0.0</v>
      </c>
      <c r="E32" s="7">
        <f>Parameters!$D$6*C32</f>
        <v>100.0</v>
      </c>
      <c r="F32" s="7">
        <f>IF(Parameters!$D$5=1,E32,0)</f>
        <v>0.0</v>
      </c>
      <c r="G32" s="7">
        <f>Parameters!$D$27*G31+F32</f>
        <v>0.0</v>
      </c>
      <c r="H32" s="7">
        <f>IF(AND(Parameters!$D$5=1,Parameters!$D$26=1),SUMPRODUCT(--($A$5:A32&lt;A32),--(MOD(A32-$A$5:A32,Parameters!$D$28)=0),$F$5:F32,POWER(Parameters!$D$27,IF(A32-$A$5:A32=0,1,A32-$A$5:A32))),0)</f>
        <v>0.0</v>
      </c>
      <c r="I32" s="7">
        <f>Parameters!$D$23*I31+B32*Parameters!$D$22</f>
        <v>0.0</v>
      </c>
      <c r="J32" s="7">
        <f>E32*Parameters!$D$14*(1-Parameters!$D$15)</f>
        <v>1900.0</v>
      </c>
      <c r="K32" s="7">
        <f>H32*Parameters!$D$29</f>
        <v>0.0</v>
      </c>
      <c r="L32" s="7">
        <f>I32*Parameters!$D$24</f>
        <v>0.0</v>
      </c>
      <c r="M32" s="7">
        <f>J32+K32+L32</f>
        <v>1900.0</v>
      </c>
      <c r="N32" s="7">
        <f>C32*Parameters!$D$17+D32*Parameters!$D$18+E32*Parameters!$D$16+I32*Parameters!$D$25+G32*Parameters!$D$30</f>
        <v>300.0</v>
      </c>
      <c r="O32" s="7">
        <f>B32*Parameters!$D$19</f>
        <v>4000</v>
      </c>
      <c r="P32" s="7">
        <f>M32-N32-O32</f>
        <v>-2400.0</v>
      </c>
      <c r="Q32" s="7">
        <f>Parameters!$D$21</f>
        <v>1000</v>
      </c>
      <c r="R32" s="7">
        <f>P32-Q32</f>
        <v>-3400.0</v>
      </c>
      <c r="S32" s="7">
        <f>IF(A32&lt;1+Parameters!$D$31,0,INDEX($M$5:$M$40,A32-Parameters!$D$31))</f>
        <v>1900.0</v>
      </c>
      <c r="T32" s="7">
        <f>T31+M32-S32</f>
        <v>1900.0</v>
      </c>
      <c r="U32" s="7">
        <f>S32-N32-O32-Q32</f>
        <v>-3400.0</v>
      </c>
      <c r="V32" s="7">
        <f>V31+U32</f>
        <v>-97100.0</v>
      </c>
      <c r="W32" s="7">
        <f>(1-Parameters!$D$7)*(C32-E32)+(1-Parameters!$D$8)*(D32+E32)</f>
        <v>1000.0</v>
      </c>
      <c r="X32" s="7">
        <f>Parameters!$D$7*(C32-E32)+Parameters!$D$8*Parameters!$D$9*(D32+E32)</f>
        <v>0.0</v>
      </c>
      <c r="Y32" s="7">
        <f>Parameters!$D$8*(1-Parameters!$D$9)*(D32+E32)</f>
        <v>0.0</v>
      </c>
      <c r="Z32" s="7">
        <f>POWER(1/(1+Parameters!$D$32),A32-1)*(M32-N32)</f>
        <v>1223.0462785903867</v>
      </c>
    </row>
    <row r="33" spans="1:26">
      <c r="A33" s="7">
        <v>29</v>
      </c>
      <c r="B33" s="7">
        <f>Parameters!$D$20</f>
        <v>1000</v>
      </c>
      <c r="C33" s="7">
        <f>X32+B33</f>
        <v>1000.0</v>
      </c>
      <c r="D33" s="7">
        <f>Y32</f>
        <v>0.0</v>
      </c>
      <c r="E33" s="7">
        <f>Parameters!$D$6*C33</f>
        <v>100.0</v>
      </c>
      <c r="F33" s="7">
        <f>IF(Parameters!$D$5=1,E33,0)</f>
        <v>0.0</v>
      </c>
      <c r="G33" s="7">
        <f>Parameters!$D$27*G32+F33</f>
        <v>0.0</v>
      </c>
      <c r="H33" s="7">
        <f>IF(AND(Parameters!$D$5=1,Parameters!$D$26=1),SUMPRODUCT(--($A$5:A33&lt;A33),--(MOD(A33-$A$5:A33,Parameters!$D$28)=0),$F$5:F33,POWER(Parameters!$D$27,IF(A33-$A$5:A33=0,1,A33-$A$5:A33))),0)</f>
        <v>0.0</v>
      </c>
      <c r="I33" s="7">
        <f>Parameters!$D$23*I32+B33*Parameters!$D$22</f>
        <v>0.0</v>
      </c>
      <c r="J33" s="7">
        <f>E33*Parameters!$D$14*(1-Parameters!$D$15)</f>
        <v>1900.0</v>
      </c>
      <c r="K33" s="7">
        <f>H33*Parameters!$D$29</f>
        <v>0.0</v>
      </c>
      <c r="L33" s="7">
        <f>I33*Parameters!$D$24</f>
        <v>0.0</v>
      </c>
      <c r="M33" s="7">
        <f>J33+K33+L33</f>
        <v>1900.0</v>
      </c>
      <c r="N33" s="7">
        <f>C33*Parameters!$D$17+D33*Parameters!$D$18+E33*Parameters!$D$16+I33*Parameters!$D$25+G33*Parameters!$D$30</f>
        <v>300.0</v>
      </c>
      <c r="O33" s="7">
        <f>B33*Parameters!$D$19</f>
        <v>4000</v>
      </c>
      <c r="P33" s="7">
        <f>M33-N33-O33</f>
        <v>-2400.0</v>
      </c>
      <c r="Q33" s="7">
        <f>Parameters!$D$21</f>
        <v>1000</v>
      </c>
      <c r="R33" s="7">
        <f>P33-Q33</f>
        <v>-3400.0</v>
      </c>
      <c r="S33" s="7">
        <f>IF(A33&lt;1+Parameters!$D$31,0,INDEX($M$5:$M$40,A33-Parameters!$D$31))</f>
        <v>1900.0</v>
      </c>
      <c r="T33" s="7">
        <f>T32+M33-S33</f>
        <v>1900.0</v>
      </c>
      <c r="U33" s="7">
        <f>S33-N33-O33-Q33</f>
        <v>-3400.0</v>
      </c>
      <c r="V33" s="7">
        <f>V32+U33</f>
        <v>-100500.0</v>
      </c>
      <c r="W33" s="7">
        <f>(1-Parameters!$D$7)*(C33-E33)+(1-Parameters!$D$8)*(D33+E33)</f>
        <v>1000.0</v>
      </c>
      <c r="X33" s="7">
        <f>Parameters!$D$7*(C33-E33)+Parameters!$D$8*Parameters!$D$9*(D33+E33)</f>
        <v>0.0</v>
      </c>
      <c r="Y33" s="7">
        <f>Parameters!$D$8*(1-Parameters!$D$9)*(D33+E33)</f>
        <v>0.0</v>
      </c>
      <c r="Z33" s="7">
        <f>POWER(1/(1+Parameters!$D$32),A33-1)*(M33-N33)</f>
        <v>1210.9369094954325</v>
      </c>
    </row>
    <row r="34" spans="1:26">
      <c r="A34" s="7">
        <v>30</v>
      </c>
      <c r="B34" s="7">
        <f>Parameters!$D$20</f>
        <v>1000</v>
      </c>
      <c r="C34" s="7">
        <f>X33+B34</f>
        <v>1000.0</v>
      </c>
      <c r="D34" s="7">
        <f>Y33</f>
        <v>0.0</v>
      </c>
      <c r="E34" s="7">
        <f>Parameters!$D$6*C34</f>
        <v>100.0</v>
      </c>
      <c r="F34" s="7">
        <f>IF(Parameters!$D$5=1,E34,0)</f>
        <v>0.0</v>
      </c>
      <c r="G34" s="7">
        <f>Parameters!$D$27*G33+F34</f>
        <v>0.0</v>
      </c>
      <c r="H34" s="7">
        <f>IF(AND(Parameters!$D$5=1,Parameters!$D$26=1),SUMPRODUCT(--($A$5:A34&lt;A34),--(MOD(A34-$A$5:A34,Parameters!$D$28)=0),$F$5:F34,POWER(Parameters!$D$27,IF(A34-$A$5:A34=0,1,A34-$A$5:A34))),0)</f>
        <v>0.0</v>
      </c>
      <c r="I34" s="7">
        <f>Parameters!$D$23*I33+B34*Parameters!$D$22</f>
        <v>0.0</v>
      </c>
      <c r="J34" s="7">
        <f>E34*Parameters!$D$14*(1-Parameters!$D$15)</f>
        <v>1900.0</v>
      </c>
      <c r="K34" s="7">
        <f>H34*Parameters!$D$29</f>
        <v>0.0</v>
      </c>
      <c r="L34" s="7">
        <f>I34*Parameters!$D$24</f>
        <v>0.0</v>
      </c>
      <c r="M34" s="7">
        <f>J34+K34+L34</f>
        <v>1900.0</v>
      </c>
      <c r="N34" s="7">
        <f>C34*Parameters!$D$17+D34*Parameters!$D$18+E34*Parameters!$D$16+I34*Parameters!$D$25+G34*Parameters!$D$30</f>
        <v>300.0</v>
      </c>
      <c r="O34" s="7">
        <f>B34*Parameters!$D$19</f>
        <v>4000</v>
      </c>
      <c r="P34" s="7">
        <f>M34-N34-O34</f>
        <v>-2400.0</v>
      </c>
      <c r="Q34" s="7">
        <f>Parameters!$D$21</f>
        <v>1000</v>
      </c>
      <c r="R34" s="7">
        <f>P34-Q34</f>
        <v>-3400.0</v>
      </c>
      <c r="S34" s="7">
        <f>IF(A34&lt;1+Parameters!$D$31,0,INDEX($M$5:$M$40,A34-Parameters!$D$31))</f>
        <v>1900.0</v>
      </c>
      <c r="T34" s="7">
        <f>T33+M34-S34</f>
        <v>1900.0</v>
      </c>
      <c r="U34" s="7">
        <f>S34-N34-O34-Q34</f>
        <v>-3400.0</v>
      </c>
      <c r="V34" s="7">
        <f>V33+U34</f>
        <v>-103900.0</v>
      </c>
      <c r="W34" s="7">
        <f>(1-Parameters!$D$7)*(C34-E34)+(1-Parameters!$D$8)*(D34+E34)</f>
        <v>1000.0</v>
      </c>
      <c r="X34" s="7">
        <f>Parameters!$D$7*(C34-E34)+Parameters!$D$8*Parameters!$D$9*(D34+E34)</f>
        <v>0.0</v>
      </c>
      <c r="Y34" s="7">
        <f>Parameters!$D$8*(1-Parameters!$D$9)*(D34+E34)</f>
        <v>0.0</v>
      </c>
      <c r="Z34" s="7">
        <f>POWER(1/(1+Parameters!$D$32),A34-1)*(M34-N34)</f>
        <v>1198.9474351439926</v>
      </c>
    </row>
    <row r="35" spans="1:26">
      <c r="A35" s="7">
        <v>31</v>
      </c>
      <c r="B35" s="7">
        <f>Parameters!$D$20</f>
        <v>1000</v>
      </c>
      <c r="C35" s="7">
        <f>X34+B35</f>
        <v>1000.0</v>
      </c>
      <c r="D35" s="7">
        <f>Y34</f>
        <v>0.0</v>
      </c>
      <c r="E35" s="7">
        <f>Parameters!$D$6*C35</f>
        <v>100.0</v>
      </c>
      <c r="F35" s="7">
        <f>IF(Parameters!$D$5=1,E35,0)</f>
        <v>0.0</v>
      </c>
      <c r="G35" s="7">
        <f>Parameters!$D$27*G34+F35</f>
        <v>0.0</v>
      </c>
      <c r="H35" s="7">
        <f>IF(AND(Parameters!$D$5=1,Parameters!$D$26=1),SUMPRODUCT(--($A$5:A35&lt;A35),--(MOD(A35-$A$5:A35,Parameters!$D$28)=0),$F$5:F35,POWER(Parameters!$D$27,IF(A35-$A$5:A35=0,1,A35-$A$5:A35))),0)</f>
        <v>0.0</v>
      </c>
      <c r="I35" s="7">
        <f>Parameters!$D$23*I34+B35*Parameters!$D$22</f>
        <v>0.0</v>
      </c>
      <c r="J35" s="7">
        <f>E35*Parameters!$D$14*(1-Parameters!$D$15)</f>
        <v>1900.0</v>
      </c>
      <c r="K35" s="7">
        <f>H35*Parameters!$D$29</f>
        <v>0.0</v>
      </c>
      <c r="L35" s="7">
        <f>I35*Parameters!$D$24</f>
        <v>0.0</v>
      </c>
      <c r="M35" s="7">
        <f>J35+K35+L35</f>
        <v>1900.0</v>
      </c>
      <c r="N35" s="7">
        <f>C35*Parameters!$D$17+D35*Parameters!$D$18+E35*Parameters!$D$16+I35*Parameters!$D$25+G35*Parameters!$D$30</f>
        <v>300.0</v>
      </c>
      <c r="O35" s="7">
        <f>B35*Parameters!$D$19</f>
        <v>4000</v>
      </c>
      <c r="P35" s="7">
        <f>M35-N35-O35</f>
        <v>-2400.0</v>
      </c>
      <c r="Q35" s="7">
        <f>Parameters!$D$21</f>
        <v>1000</v>
      </c>
      <c r="R35" s="7">
        <f>P35-Q35</f>
        <v>-3400.0</v>
      </c>
      <c r="S35" s="7">
        <f>IF(A35&lt;1+Parameters!$D$31,0,INDEX($M$5:$M$40,A35-Parameters!$D$31))</f>
        <v>1900.0</v>
      </c>
      <c r="T35" s="7">
        <f>T34+M35-S35</f>
        <v>1900.0</v>
      </c>
      <c r="U35" s="7">
        <f>S35-N35-O35-Q35</f>
        <v>-3400.0</v>
      </c>
      <c r="V35" s="7">
        <f>V34+U35</f>
        <v>-107300.0</v>
      </c>
      <c r="W35" s="7">
        <f>(1-Parameters!$D$7)*(C35-E35)+(1-Parameters!$D$8)*(D35+E35)</f>
        <v>1000.0</v>
      </c>
      <c r="X35" s="7">
        <f>Parameters!$D$7*(C35-E35)+Parameters!$D$8*Parameters!$D$9*(D35+E35)</f>
        <v>0.0</v>
      </c>
      <c r="Y35" s="7">
        <f>Parameters!$D$8*(1-Parameters!$D$9)*(D35+E35)</f>
        <v>0.0</v>
      </c>
      <c r="Z35" s="7">
        <f>POWER(1/(1+Parameters!$D$32),A35-1)*(M35-N35)</f>
        <v>1187.0766684593984</v>
      </c>
    </row>
    <row r="36" spans="1:26">
      <c r="A36" s="7">
        <v>32</v>
      </c>
      <c r="B36" s="7">
        <f>Parameters!$D$20</f>
        <v>1000</v>
      </c>
      <c r="C36" s="7">
        <f>X35+B36</f>
        <v>1000.0</v>
      </c>
      <c r="D36" s="7">
        <f>Y35</f>
        <v>0.0</v>
      </c>
      <c r="E36" s="7">
        <f>Parameters!$D$6*C36</f>
        <v>100.0</v>
      </c>
      <c r="F36" s="7">
        <f>IF(Parameters!$D$5=1,E36,0)</f>
        <v>0.0</v>
      </c>
      <c r="G36" s="7">
        <f>Parameters!$D$27*G35+F36</f>
        <v>0.0</v>
      </c>
      <c r="H36" s="7">
        <f>IF(AND(Parameters!$D$5=1,Parameters!$D$26=1),SUMPRODUCT(--($A$5:A36&lt;A36),--(MOD(A36-$A$5:A36,Parameters!$D$28)=0),$F$5:F36,POWER(Parameters!$D$27,IF(A36-$A$5:A36=0,1,A36-$A$5:A36))),0)</f>
        <v>0.0</v>
      </c>
      <c r="I36" s="7">
        <f>Parameters!$D$23*I35+B36*Parameters!$D$22</f>
        <v>0.0</v>
      </c>
      <c r="J36" s="7">
        <f>E36*Parameters!$D$14*(1-Parameters!$D$15)</f>
        <v>1900.0</v>
      </c>
      <c r="K36" s="7">
        <f>H36*Parameters!$D$29</f>
        <v>0.0</v>
      </c>
      <c r="L36" s="7">
        <f>I36*Parameters!$D$24</f>
        <v>0.0</v>
      </c>
      <c r="M36" s="7">
        <f>J36+K36+L36</f>
        <v>1900.0</v>
      </c>
      <c r="N36" s="7">
        <f>C36*Parameters!$D$17+D36*Parameters!$D$18+E36*Parameters!$D$16+I36*Parameters!$D$25+G36*Parameters!$D$30</f>
        <v>300.0</v>
      </c>
      <c r="O36" s="7">
        <f>B36*Parameters!$D$19</f>
        <v>4000</v>
      </c>
      <c r="P36" s="7">
        <f>M36-N36-O36</f>
        <v>-2400.0</v>
      </c>
      <c r="Q36" s="7">
        <f>Parameters!$D$21</f>
        <v>1000</v>
      </c>
      <c r="R36" s="7">
        <f>P36-Q36</f>
        <v>-3400.0</v>
      </c>
      <c r="S36" s="7">
        <f>IF(A36&lt;1+Parameters!$D$31,0,INDEX($M$5:$M$40,A36-Parameters!$D$31))</f>
        <v>1900.0</v>
      </c>
      <c r="T36" s="7">
        <f>T35+M36-S36</f>
        <v>1900.0</v>
      </c>
      <c r="U36" s="7">
        <f>S36-N36-O36-Q36</f>
        <v>-3400.0</v>
      </c>
      <c r="V36" s="7">
        <f>V35+U36</f>
        <v>-110700.0</v>
      </c>
      <c r="W36" s="7">
        <f>(1-Parameters!$D$7)*(C36-E36)+(1-Parameters!$D$8)*(D36+E36)</f>
        <v>1000.0</v>
      </c>
      <c r="X36" s="7">
        <f>Parameters!$D$7*(C36-E36)+Parameters!$D$8*Parameters!$D$9*(D36+E36)</f>
        <v>0.0</v>
      </c>
      <c r="Y36" s="7">
        <f>Parameters!$D$8*(1-Parameters!$D$9)*(D36+E36)</f>
        <v>0.0</v>
      </c>
      <c r="Z36" s="7">
        <f>POWER(1/(1+Parameters!$D$32),A36-1)*(M36-N36)</f>
        <v>1175.3234341182165</v>
      </c>
    </row>
    <row r="37" spans="1:26">
      <c r="A37" s="7">
        <v>33</v>
      </c>
      <c r="B37" s="7">
        <f>Parameters!$D$20</f>
        <v>1000</v>
      </c>
      <c r="C37" s="7">
        <f>X36+B37</f>
        <v>1000.0</v>
      </c>
      <c r="D37" s="7">
        <f>Y36</f>
        <v>0.0</v>
      </c>
      <c r="E37" s="7">
        <f>Parameters!$D$6*C37</f>
        <v>100.0</v>
      </c>
      <c r="F37" s="7">
        <f>IF(Parameters!$D$5=1,E37,0)</f>
        <v>0.0</v>
      </c>
      <c r="G37" s="7">
        <f>Parameters!$D$27*G36+F37</f>
        <v>0.0</v>
      </c>
      <c r="H37" s="7">
        <f>IF(AND(Parameters!$D$5=1,Parameters!$D$26=1),SUMPRODUCT(--($A$5:A37&lt;A37),--(MOD(A37-$A$5:A37,Parameters!$D$28)=0),$F$5:F37,POWER(Parameters!$D$27,IF(A37-$A$5:A37=0,1,A37-$A$5:A37))),0)</f>
        <v>0.0</v>
      </c>
      <c r="I37" s="7">
        <f>Parameters!$D$23*I36+B37*Parameters!$D$22</f>
        <v>0.0</v>
      </c>
      <c r="J37" s="7">
        <f>E37*Parameters!$D$14*(1-Parameters!$D$15)</f>
        <v>1900.0</v>
      </c>
      <c r="K37" s="7">
        <f>H37*Parameters!$D$29</f>
        <v>0.0</v>
      </c>
      <c r="L37" s="7">
        <f>I37*Parameters!$D$24</f>
        <v>0.0</v>
      </c>
      <c r="M37" s="7">
        <f>J37+K37+L37</f>
        <v>1900.0</v>
      </c>
      <c r="N37" s="7">
        <f>C37*Parameters!$D$17+D37*Parameters!$D$18+E37*Parameters!$D$16+I37*Parameters!$D$25+G37*Parameters!$D$30</f>
        <v>300.0</v>
      </c>
      <c r="O37" s="7">
        <f>B37*Parameters!$D$19</f>
        <v>4000</v>
      </c>
      <c r="P37" s="7">
        <f>M37-N37-O37</f>
        <v>-2400.0</v>
      </c>
      <c r="Q37" s="7">
        <f>Parameters!$D$21</f>
        <v>1000</v>
      </c>
      <c r="R37" s="7">
        <f>P37-Q37</f>
        <v>-3400.0</v>
      </c>
      <c r="S37" s="7">
        <f>IF(A37&lt;1+Parameters!$D$31,0,INDEX($M$5:$M$40,A37-Parameters!$D$31))</f>
        <v>1900.0</v>
      </c>
      <c r="T37" s="7">
        <f>T36+M37-S37</f>
        <v>1900.0</v>
      </c>
      <c r="U37" s="7">
        <f>S37-N37-O37-Q37</f>
        <v>-3400.0</v>
      </c>
      <c r="V37" s="7">
        <f>V36+U37</f>
        <v>-114100.0</v>
      </c>
      <c r="W37" s="7">
        <f>(1-Parameters!$D$7)*(C37-E37)+(1-Parameters!$D$8)*(D37+E37)</f>
        <v>1000.0</v>
      </c>
      <c r="X37" s="7">
        <f>Parameters!$D$7*(C37-E37)+Parameters!$D$8*Parameters!$D$9*(D37+E37)</f>
        <v>0.0</v>
      </c>
      <c r="Y37" s="7">
        <f>Parameters!$D$8*(1-Parameters!$D$9)*(D37+E37)</f>
        <v>0.0</v>
      </c>
      <c r="Z37" s="7">
        <f>POWER(1/(1+Parameters!$D$32),A37-1)*(M37-N37)</f>
        <v>1163.6865684338777</v>
      </c>
    </row>
    <row r="38" spans="1:26">
      <c r="A38" s="7">
        <v>34</v>
      </c>
      <c r="B38" s="7">
        <f>Parameters!$D$20</f>
        <v>1000</v>
      </c>
      <c r="C38" s="7">
        <f>X37+B38</f>
        <v>1000.0</v>
      </c>
      <c r="D38" s="7">
        <f>Y37</f>
        <v>0.0</v>
      </c>
      <c r="E38" s="7">
        <f>Parameters!$D$6*C38</f>
        <v>100.0</v>
      </c>
      <c r="F38" s="7">
        <f>IF(Parameters!$D$5=1,E38,0)</f>
        <v>0.0</v>
      </c>
      <c r="G38" s="7">
        <f>Parameters!$D$27*G37+F38</f>
        <v>0.0</v>
      </c>
      <c r="H38" s="7">
        <f>IF(AND(Parameters!$D$5=1,Parameters!$D$26=1),SUMPRODUCT(--($A$5:A38&lt;A38),--(MOD(A38-$A$5:A38,Parameters!$D$28)=0),$F$5:F38,POWER(Parameters!$D$27,IF(A38-$A$5:A38=0,1,A38-$A$5:A38))),0)</f>
        <v>0.0</v>
      </c>
      <c r="I38" s="7">
        <f>Parameters!$D$23*I37+B38*Parameters!$D$22</f>
        <v>0.0</v>
      </c>
      <c r="J38" s="7">
        <f>E38*Parameters!$D$14*(1-Parameters!$D$15)</f>
        <v>1900.0</v>
      </c>
      <c r="K38" s="7">
        <f>H38*Parameters!$D$29</f>
        <v>0.0</v>
      </c>
      <c r="L38" s="7">
        <f>I38*Parameters!$D$24</f>
        <v>0.0</v>
      </c>
      <c r="M38" s="7">
        <f>J38+K38+L38</f>
        <v>1900.0</v>
      </c>
      <c r="N38" s="7">
        <f>C38*Parameters!$D$17+D38*Parameters!$D$18+E38*Parameters!$D$16+I38*Parameters!$D$25+G38*Parameters!$D$30</f>
        <v>300.0</v>
      </c>
      <c r="O38" s="7">
        <f>B38*Parameters!$D$19</f>
        <v>4000</v>
      </c>
      <c r="P38" s="7">
        <f>M38-N38-O38</f>
        <v>-2400.0</v>
      </c>
      <c r="Q38" s="7">
        <f>Parameters!$D$21</f>
        <v>1000</v>
      </c>
      <c r="R38" s="7">
        <f>P38-Q38</f>
        <v>-3400.0</v>
      </c>
      <c r="S38" s="7">
        <f>IF(A38&lt;1+Parameters!$D$31,0,INDEX($M$5:$M$40,A38-Parameters!$D$31))</f>
        <v>1900.0</v>
      </c>
      <c r="T38" s="7">
        <f>T37+M38-S38</f>
        <v>1900.0</v>
      </c>
      <c r="U38" s="7">
        <f>S38-N38-O38-Q38</f>
        <v>-3400.0</v>
      </c>
      <c r="V38" s="7">
        <f>V37+U38</f>
        <v>-117500.0</v>
      </c>
      <c r="W38" s="7">
        <f>(1-Parameters!$D$7)*(C38-E38)+(1-Parameters!$D$8)*(D38+E38)</f>
        <v>1000.0</v>
      </c>
      <c r="X38" s="7">
        <f>Parameters!$D$7*(C38-E38)+Parameters!$D$8*Parameters!$D$9*(D38+E38)</f>
        <v>0.0</v>
      </c>
      <c r="Y38" s="7">
        <f>Parameters!$D$8*(1-Parameters!$D$9)*(D38+E38)</f>
        <v>0.0</v>
      </c>
      <c r="Z38" s="7">
        <f>POWER(1/(1+Parameters!$D$32),A38-1)*(M38-N38)</f>
        <v>1152.164919241463</v>
      </c>
    </row>
    <row r="39" spans="1:26">
      <c r="A39" s="7">
        <v>35</v>
      </c>
      <c r="B39" s="7">
        <f>Parameters!$D$20</f>
        <v>1000</v>
      </c>
      <c r="C39" s="7">
        <f>X38+B39</f>
        <v>1000.0</v>
      </c>
      <c r="D39" s="7">
        <f>Y38</f>
        <v>0.0</v>
      </c>
      <c r="E39" s="7">
        <f>Parameters!$D$6*C39</f>
        <v>100.0</v>
      </c>
      <c r="F39" s="7">
        <f>IF(Parameters!$D$5=1,E39,0)</f>
        <v>0.0</v>
      </c>
      <c r="G39" s="7">
        <f>Parameters!$D$27*G38+F39</f>
        <v>0.0</v>
      </c>
      <c r="H39" s="7">
        <f>IF(AND(Parameters!$D$5=1,Parameters!$D$26=1),SUMPRODUCT(--($A$5:A39&lt;A39),--(MOD(A39-$A$5:A39,Parameters!$D$28)=0),$F$5:F39,POWER(Parameters!$D$27,IF(A39-$A$5:A39=0,1,A39-$A$5:A39))),0)</f>
        <v>0.0</v>
      </c>
      <c r="I39" s="7">
        <f>Parameters!$D$23*I38+B39*Parameters!$D$22</f>
        <v>0.0</v>
      </c>
      <c r="J39" s="7">
        <f>E39*Parameters!$D$14*(1-Parameters!$D$15)</f>
        <v>1900.0</v>
      </c>
      <c r="K39" s="7">
        <f>H39*Parameters!$D$29</f>
        <v>0.0</v>
      </c>
      <c r="L39" s="7">
        <f>I39*Parameters!$D$24</f>
        <v>0.0</v>
      </c>
      <c r="M39" s="7">
        <f>J39+K39+L39</f>
        <v>1900.0</v>
      </c>
      <c r="N39" s="7">
        <f>C39*Parameters!$D$17+D39*Parameters!$D$18+E39*Parameters!$D$16+I39*Parameters!$D$25+G39*Parameters!$D$30</f>
        <v>300.0</v>
      </c>
      <c r="O39" s="7">
        <f>B39*Parameters!$D$19</f>
        <v>4000</v>
      </c>
      <c r="P39" s="7">
        <f>M39-N39-O39</f>
        <v>-2400.0</v>
      </c>
      <c r="Q39" s="7">
        <f>Parameters!$D$21</f>
        <v>1000</v>
      </c>
      <c r="R39" s="7">
        <f>P39-Q39</f>
        <v>-3400.0</v>
      </c>
      <c r="S39" s="7">
        <f>IF(A39&lt;1+Parameters!$D$31,0,INDEX($M$5:$M$40,A39-Parameters!$D$31))</f>
        <v>1900.0</v>
      </c>
      <c r="T39" s="7">
        <f>T38+M39-S39</f>
        <v>1900.0</v>
      </c>
      <c r="U39" s="7">
        <f>S39-N39-O39-Q39</f>
        <v>-3400.0</v>
      </c>
      <c r="V39" s="7">
        <f>V38+U39</f>
        <v>-120900.0</v>
      </c>
      <c r="W39" s="7">
        <f>(1-Parameters!$D$7)*(C39-E39)+(1-Parameters!$D$8)*(D39+E39)</f>
        <v>1000.0</v>
      </c>
      <c r="X39" s="7">
        <f>Parameters!$D$7*(C39-E39)+Parameters!$D$8*Parameters!$D$9*(D39+E39)</f>
        <v>0.0</v>
      </c>
      <c r="Y39" s="7">
        <f>Parameters!$D$8*(1-Parameters!$D$9)*(D39+E39)</f>
        <v>0.0</v>
      </c>
      <c r="Z39" s="7">
        <f>POWER(1/(1+Parameters!$D$32),A39-1)*(M39-N39)</f>
        <v>1140.7573457836265</v>
      </c>
    </row>
    <row r="40" spans="1:26">
      <c r="A40" s="7">
        <v>36</v>
      </c>
      <c r="B40" s="7">
        <f>Parameters!$D$20</f>
        <v>1000</v>
      </c>
      <c r="C40" s="7">
        <f>X39+B40</f>
        <v>1000.0</v>
      </c>
      <c r="D40" s="7">
        <f>Y39</f>
        <v>0.0</v>
      </c>
      <c r="E40" s="7">
        <f>Parameters!$D$6*C40</f>
        <v>100.0</v>
      </c>
      <c r="F40" s="7">
        <f>IF(Parameters!$D$5=1,E40,0)</f>
        <v>0.0</v>
      </c>
      <c r="G40" s="7">
        <f>Parameters!$D$27*G39+F40</f>
        <v>0.0</v>
      </c>
      <c r="H40" s="7">
        <f>IF(AND(Parameters!$D$5=1,Parameters!$D$26=1),SUMPRODUCT(--($A$5:A40&lt;A40),--(MOD(A40-$A$5:A40,Parameters!$D$28)=0),$F$5:F40,POWER(Parameters!$D$27,IF(A40-$A$5:A40=0,1,A40-$A$5:A40))),0)</f>
        <v>0.0</v>
      </c>
      <c r="I40" s="7">
        <f>Parameters!$D$23*I39+B40*Parameters!$D$22</f>
        <v>0.0</v>
      </c>
      <c r="J40" s="7">
        <f>E40*Parameters!$D$14*(1-Parameters!$D$15)</f>
        <v>1900.0</v>
      </c>
      <c r="K40" s="7">
        <f>H40*Parameters!$D$29</f>
        <v>0.0</v>
      </c>
      <c r="L40" s="7">
        <f>I40*Parameters!$D$24</f>
        <v>0.0</v>
      </c>
      <c r="M40" s="7">
        <f>J40+K40+L40</f>
        <v>1900.0</v>
      </c>
      <c r="N40" s="7">
        <f>C40*Parameters!$D$17+D40*Parameters!$D$18+E40*Parameters!$D$16+I40*Parameters!$D$25+G40*Parameters!$D$30</f>
        <v>300.0</v>
      </c>
      <c r="O40" s="7">
        <f>B40*Parameters!$D$19</f>
        <v>4000</v>
      </c>
      <c r="P40" s="7">
        <f>M40-N40-O40</f>
        <v>-2400.0</v>
      </c>
      <c r="Q40" s="7">
        <f>Parameters!$D$21</f>
        <v>1000</v>
      </c>
      <c r="R40" s="7">
        <f>P40-Q40</f>
        <v>-3400.0</v>
      </c>
      <c r="S40" s="7">
        <f>IF(A40&lt;1+Parameters!$D$31,0,INDEX($M$5:$M$40,A40-Parameters!$D$31))</f>
        <v>1900.0</v>
      </c>
      <c r="T40" s="7">
        <f>T39+M40-S40</f>
        <v>1900.0</v>
      </c>
      <c r="U40" s="7">
        <f>S40-N40-O40-Q40</f>
        <v>-3400.0</v>
      </c>
      <c r="V40" s="7">
        <f>V39+U40</f>
        <v>-124300.0</v>
      </c>
      <c r="W40" s="7">
        <f>(1-Parameters!$D$7)*(C40-E40)+(1-Parameters!$D$8)*(D40+E40)</f>
        <v>1000.0</v>
      </c>
      <c r="X40" s="7">
        <f>Parameters!$D$7*(C40-E40)+Parameters!$D$8*Parameters!$D$9*(D40+E40)</f>
        <v>0.0</v>
      </c>
      <c r="Y40" s="7">
        <f>Parameters!$D$8*(1-Parameters!$D$9)*(D40+E40)</f>
        <v>0.0</v>
      </c>
      <c r="Z40" s="7">
        <f>POWER(1/(1+Parameters!$D$32),A40-1)*(M40-N40)</f>
        <v>1129.46271859765</v>
      </c>
    </row>
    <row r="43" spans="1:26">
      <c r="A43" s="1" t="s">
        <v>185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160</v>
      </c>
      <c r="B44" s="4" t="s">
        <v>161</v>
      </c>
      <c r="C44" s="4" t="s">
        <v>162</v>
      </c>
      <c r="D44" s="4" t="s">
        <v>163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4" t="s">
        <v>169</v>
      </c>
      <c r="K44" s="4" t="s">
        <v>170</v>
      </c>
      <c r="L44" s="4" t="s">
        <v>171</v>
      </c>
      <c r="M44" s="4" t="s">
        <v>172</v>
      </c>
      <c r="N44" s="4" t="s">
        <v>173</v>
      </c>
      <c r="O44" s="4" t="s">
        <v>95</v>
      </c>
      <c r="P44" s="4" t="s">
        <v>174</v>
      </c>
      <c r="Q44" s="4" t="s">
        <v>175</v>
      </c>
      <c r="R44" s="4" t="s">
        <v>176</v>
      </c>
      <c r="S44" s="4" t="s">
        <v>177</v>
      </c>
      <c r="T44" s="4" t="s">
        <v>178</v>
      </c>
      <c r="U44" s="4" t="s">
        <v>179</v>
      </c>
      <c r="V44" s="4" t="s">
        <v>180</v>
      </c>
      <c r="W44" s="4" t="s">
        <v>181</v>
      </c>
      <c r="X44" s="4" t="s">
        <v>182</v>
      </c>
      <c r="Y44" s="4" t="s">
        <v>183</v>
      </c>
      <c r="Z44" s="4" t="s">
        <v>184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Parameters!$D$6*C45</f>
        <v>0.1</v>
      </c>
      <c r="F45" s="7">
        <f>IF(Parameters!$D$5=1,E45,0)</f>
        <v>0.0</v>
      </c>
      <c r="G45" s="7">
        <f>F45</f>
        <v>0.0</v>
      </c>
      <c r="H45" s="7">
        <f>IF(AND(Parameters!$D$5=1,Parameters!$D$26=1),SUMPRODUCT(--($A$45:A45&lt;A45),--(MOD(A45-$A$45:A45,Parameters!$D$28)=0),$F$45:F45,POWER(Parameters!$D$27,IF(A45-$A$45:A45=0,1,A45-$A$45:A45))),0)</f>
        <v>0.0</v>
      </c>
      <c r="I45" s="7">
        <f>B45*Parameters!$D$22</f>
        <v>0.0</v>
      </c>
      <c r="J45" s="7">
        <f>E45*Parameters!$D$14*(1-Parameters!$D$15)</f>
        <v>1.9</v>
      </c>
      <c r="K45" s="7">
        <f>H45*Parameters!$D$29</f>
        <v>0.0</v>
      </c>
      <c r="L45" s="7">
        <f>I45*Parameters!$D$24</f>
        <v>0.0</v>
      </c>
      <c r="M45" s="7">
        <f>J45+K45+L45</f>
        <v>1.9</v>
      </c>
      <c r="N45" s="7">
        <f>C45*Parameters!$D$17+D45*Parameters!$D$18+E45*Parameters!$D$16+I45*Parameters!$D$25+G45*Parameters!$D$30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IF(A45&lt;1+Parameters!$D$31,0,INDEX($M$45:$M$80,A45-Parameters!$D$31))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(1-Parameters!$D$7)*(C45-E45)+(1-Parameters!$D$8)*(D45+E45)</f>
        <v>1.0</v>
      </c>
      <c r="X45" s="7">
        <f>Parameters!$D$7*(C45-E45)+Parameters!$D$8*Parameters!$D$9*(D45+E45)</f>
        <v>0.0</v>
      </c>
      <c r="Y45" s="7">
        <f>Parameters!$D$8*(1-Parameters!$D$9)*(D45+E45)</f>
        <v>0.0</v>
      </c>
      <c r="Z45" s="7">
        <f>POWER(1/(1+Parameters!$D$32),A45-1)*(M45-N45)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</v>
      </c>
      <c r="E46" s="7">
        <f>Parameters!$D$6*C46</f>
        <v>0.0</v>
      </c>
      <c r="F46" s="7">
        <f>IF(Parameters!$D$5=1,E46,0)</f>
        <v>0.0</v>
      </c>
      <c r="G46" s="7">
        <f>Parameters!$D$27*G45+F46</f>
        <v>0.0</v>
      </c>
      <c r="H46" s="7">
        <f>IF(AND(Parameters!$D$5=1,Parameters!$D$26=1),SUMPRODUCT(--($A$45:A46&lt;A46),--(MOD(A46-$A$45:A46,Parameters!$D$28)=0),$F$45:F46,POWER(Parameters!$D$27,IF(A46-$A$45:A46=0,1,A46-$A$45:A46))),0)</f>
        <v>0.0</v>
      </c>
      <c r="I46" s="7">
        <f>Parameters!$D$23*I45+B46*Parameters!$D$22</f>
        <v>0.0</v>
      </c>
      <c r="J46" s="7">
        <f>E46*Parameters!$D$14*(1-Parameters!$D$15)</f>
        <v>0.0</v>
      </c>
      <c r="K46" s="7">
        <f>H46*Parameters!$D$29</f>
        <v>0.0</v>
      </c>
      <c r="L46" s="7">
        <f>I46*Parameters!$D$24</f>
        <v>0.0</v>
      </c>
      <c r="M46" s="7">
        <f>J46+K46+L46</f>
        <v>0.0</v>
      </c>
      <c r="N46" s="7">
        <f>C46*Parameters!$D$17+D46*Parameters!$D$18+E46*Parameters!$D$16+I46*Parameters!$D$25+G46*Parameters!$D$30</f>
        <v>0.0</v>
      </c>
      <c r="O46" s="7">
        <f>0</f>
        <v>0</v>
      </c>
      <c r="P46" s="7">
        <f>M46-N46-O46</f>
        <v>0.0</v>
      </c>
      <c r="Q46" s="7">
        <f>0</f>
        <v>0</v>
      </c>
      <c r="R46" s="7">
        <f>P46-Q46</f>
        <v>0.0</v>
      </c>
      <c r="S46" s="7">
        <f>IF(A46&lt;1+Parameters!$D$31,0,INDEX($M$45:$M$80,A46-Parameters!$D$31))</f>
        <v>1.9</v>
      </c>
      <c r="T46" s="7">
        <f>T45+M46-S46</f>
        <v>0.0</v>
      </c>
      <c r="U46" s="7">
        <f>S46-N46-O46-Q46</f>
        <v>1.9</v>
      </c>
      <c r="V46" s="7">
        <f>V45+U46</f>
        <v>1.5999999999999999</v>
      </c>
      <c r="W46" s="7">
        <f>(1-Parameters!$D$7)*(C46-E46)+(1-Parameters!$D$8)*(D46+E46)</f>
        <v>0.0</v>
      </c>
      <c r="X46" s="7">
        <f>Parameters!$D$7*(C46-E46)+Parameters!$D$8*Parameters!$D$9*(D46+E46)</f>
        <v>0.0</v>
      </c>
      <c r="Y46" s="7">
        <f>Parameters!$D$8*(1-Parameters!$D$9)*(D46+E46)</f>
        <v>0.0</v>
      </c>
      <c r="Z46" s="7">
        <f>POWER(1/(1+Parameters!$D$32),A46-1)*(M46-N46)</f>
        <v>0.0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</v>
      </c>
      <c r="E47" s="7">
        <f>Parameters!$D$6*C47</f>
        <v>0.0</v>
      </c>
      <c r="F47" s="7">
        <f>IF(Parameters!$D$5=1,E47,0)</f>
        <v>0.0</v>
      </c>
      <c r="G47" s="7">
        <f>Parameters!$D$27*G46+F47</f>
        <v>0.0</v>
      </c>
      <c r="H47" s="7">
        <f>IF(AND(Parameters!$D$5=1,Parameters!$D$26=1),SUMPRODUCT(--($A$45:A47&lt;A47),--(MOD(A47-$A$45:A47,Parameters!$D$28)=0),$F$45:F47,POWER(Parameters!$D$27,IF(A47-$A$45:A47=0,1,A47-$A$45:A47))),0)</f>
        <v>0.0</v>
      </c>
      <c r="I47" s="7">
        <f>Parameters!$D$23*I46+B47*Parameters!$D$22</f>
        <v>0.0</v>
      </c>
      <c r="J47" s="7">
        <f>E47*Parameters!$D$14*(1-Parameters!$D$15)</f>
        <v>0.0</v>
      </c>
      <c r="K47" s="7">
        <f>H47*Parameters!$D$29</f>
        <v>0.0</v>
      </c>
      <c r="L47" s="7">
        <f>I47*Parameters!$D$24</f>
        <v>0.0</v>
      </c>
      <c r="M47" s="7">
        <f>J47+K47+L47</f>
        <v>0.0</v>
      </c>
      <c r="N47" s="7">
        <f>C47*Parameters!$D$17+D47*Parameters!$D$18+E47*Parameters!$D$16+I47*Parameters!$D$25+G47*Parameters!$D$30</f>
        <v>0.0</v>
      </c>
      <c r="O47" s="7">
        <f>0</f>
        <v>0</v>
      </c>
      <c r="P47" s="7">
        <f>M47-N47-O47</f>
        <v>0.0</v>
      </c>
      <c r="Q47" s="7">
        <f>0</f>
        <v>0</v>
      </c>
      <c r="R47" s="7">
        <f>P47-Q47</f>
        <v>0.0</v>
      </c>
      <c r="S47" s="7">
        <f>IF(A47&lt;1+Parameters!$D$31,0,INDEX($M$45:$M$80,A47-Parameters!$D$31))</f>
        <v>0.0</v>
      </c>
      <c r="T47" s="7">
        <f>T46+M47-S47</f>
        <v>0.0</v>
      </c>
      <c r="U47" s="7">
        <f>S47-N47-O47-Q47</f>
        <v>0.0</v>
      </c>
      <c r="V47" s="7">
        <f>V46+U47</f>
        <v>1.5999999999999999</v>
      </c>
      <c r="W47" s="7">
        <f>(1-Parameters!$D$7)*(C47-E47)+(1-Parameters!$D$8)*(D47+E47)</f>
        <v>0.0</v>
      </c>
      <c r="X47" s="7">
        <f>Parameters!$D$7*(C47-E47)+Parameters!$D$8*Parameters!$D$9*(D47+E47)</f>
        <v>0.0</v>
      </c>
      <c r="Y47" s="7">
        <f>Parameters!$D$8*(1-Parameters!$D$9)*(D47+E47)</f>
        <v>0.0</v>
      </c>
      <c r="Z47" s="7">
        <f>POWER(1/(1+Parameters!$D$32),A47-1)*(M47-N47)</f>
        <v>0.0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</v>
      </c>
      <c r="E48" s="7">
        <f>Parameters!$D$6*C48</f>
        <v>0.0</v>
      </c>
      <c r="F48" s="7">
        <f>IF(Parameters!$D$5=1,E48,0)</f>
        <v>0.0</v>
      </c>
      <c r="G48" s="7">
        <f>Parameters!$D$27*G47+F48</f>
        <v>0.0</v>
      </c>
      <c r="H48" s="7">
        <f>IF(AND(Parameters!$D$5=1,Parameters!$D$26=1),SUMPRODUCT(--($A$45:A48&lt;A48),--(MOD(A48-$A$45:A48,Parameters!$D$28)=0),$F$45:F48,POWER(Parameters!$D$27,IF(A48-$A$45:A48=0,1,A48-$A$45:A48))),0)</f>
        <v>0.0</v>
      </c>
      <c r="I48" s="7">
        <f>Parameters!$D$23*I47+B48*Parameters!$D$22</f>
        <v>0.0</v>
      </c>
      <c r="J48" s="7">
        <f>E48*Parameters!$D$14*(1-Parameters!$D$15)</f>
        <v>0.0</v>
      </c>
      <c r="K48" s="7">
        <f>H48*Parameters!$D$29</f>
        <v>0.0</v>
      </c>
      <c r="L48" s="7">
        <f>I48*Parameters!$D$24</f>
        <v>0.0</v>
      </c>
      <c r="M48" s="7">
        <f>J48+K48+L48</f>
        <v>0.0</v>
      </c>
      <c r="N48" s="7">
        <f>C48*Parameters!$D$17+D48*Parameters!$D$18+E48*Parameters!$D$16+I48*Parameters!$D$25+G48*Parameters!$D$30</f>
        <v>0.0</v>
      </c>
      <c r="O48" s="7">
        <f>0</f>
        <v>0</v>
      </c>
      <c r="P48" s="7">
        <f>M48-N48-O48</f>
        <v>0.0</v>
      </c>
      <c r="Q48" s="7">
        <f>0</f>
        <v>0</v>
      </c>
      <c r="R48" s="7">
        <f>P48-Q48</f>
        <v>0.0</v>
      </c>
      <c r="S48" s="7">
        <f>IF(A48&lt;1+Parameters!$D$31,0,INDEX($M$45:$M$80,A48-Parameters!$D$31))</f>
        <v>0.0</v>
      </c>
      <c r="T48" s="7">
        <f>T47+M48-S48</f>
        <v>0.0</v>
      </c>
      <c r="U48" s="7">
        <f>S48-N48-O48-Q48</f>
        <v>0.0</v>
      </c>
      <c r="V48" s="7">
        <f>V47+U48</f>
        <v>1.5999999999999999</v>
      </c>
      <c r="W48" s="7">
        <f>(1-Parameters!$D$7)*(C48-E48)+(1-Parameters!$D$8)*(D48+E48)</f>
        <v>0.0</v>
      </c>
      <c r="X48" s="7">
        <f>Parameters!$D$7*(C48-E48)+Parameters!$D$8*Parameters!$D$9*(D48+E48)</f>
        <v>0.0</v>
      </c>
      <c r="Y48" s="7">
        <f>Parameters!$D$8*(1-Parameters!$D$9)*(D48+E48)</f>
        <v>0.0</v>
      </c>
      <c r="Z48" s="7">
        <f>POWER(1/(1+Parameters!$D$32),A48-1)*(M48-N48)</f>
        <v>0.0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</v>
      </c>
      <c r="E49" s="7">
        <f>Parameters!$D$6*C49</f>
        <v>0.0</v>
      </c>
      <c r="F49" s="7">
        <f>IF(Parameters!$D$5=1,E49,0)</f>
        <v>0.0</v>
      </c>
      <c r="G49" s="7">
        <f>Parameters!$D$27*G48+F49</f>
        <v>0.0</v>
      </c>
      <c r="H49" s="7">
        <f>IF(AND(Parameters!$D$5=1,Parameters!$D$26=1),SUMPRODUCT(--($A$45:A49&lt;A49),--(MOD(A49-$A$45:A49,Parameters!$D$28)=0),$F$45:F49,POWER(Parameters!$D$27,IF(A49-$A$45:A49=0,1,A49-$A$45:A49))),0)</f>
        <v>0.0</v>
      </c>
      <c r="I49" s="7">
        <f>Parameters!$D$23*I48+B49*Parameters!$D$22</f>
        <v>0.0</v>
      </c>
      <c r="J49" s="7">
        <f>E49*Parameters!$D$14*(1-Parameters!$D$15)</f>
        <v>0.0</v>
      </c>
      <c r="K49" s="7">
        <f>H49*Parameters!$D$29</f>
        <v>0.0</v>
      </c>
      <c r="L49" s="7">
        <f>I49*Parameters!$D$24</f>
        <v>0.0</v>
      </c>
      <c r="M49" s="7">
        <f>J49+K49+L49</f>
        <v>0.0</v>
      </c>
      <c r="N49" s="7">
        <f>C49*Parameters!$D$17+D49*Parameters!$D$18+E49*Parameters!$D$16+I49*Parameters!$D$25+G49*Parameters!$D$30</f>
        <v>0.0</v>
      </c>
      <c r="O49" s="7">
        <f>0</f>
        <v>0</v>
      </c>
      <c r="P49" s="7">
        <f>M49-N49-O49</f>
        <v>0.0</v>
      </c>
      <c r="Q49" s="7">
        <f>0</f>
        <v>0</v>
      </c>
      <c r="R49" s="7">
        <f>P49-Q49</f>
        <v>0.0</v>
      </c>
      <c r="S49" s="7">
        <f>IF(A49&lt;1+Parameters!$D$31,0,INDEX($M$45:$M$80,A49-Parameters!$D$31))</f>
        <v>0.0</v>
      </c>
      <c r="T49" s="7">
        <f>T48+M49-S49</f>
        <v>0.0</v>
      </c>
      <c r="U49" s="7">
        <f>S49-N49-O49-Q49</f>
        <v>0.0</v>
      </c>
      <c r="V49" s="7">
        <f>V48+U49</f>
        <v>1.5999999999999999</v>
      </c>
      <c r="W49" s="7">
        <f>(1-Parameters!$D$7)*(C49-E49)+(1-Parameters!$D$8)*(D49+E49)</f>
        <v>0.0</v>
      </c>
      <c r="X49" s="7">
        <f>Parameters!$D$7*(C49-E49)+Parameters!$D$8*Parameters!$D$9*(D49+E49)</f>
        <v>0.0</v>
      </c>
      <c r="Y49" s="7">
        <f>Parameters!$D$8*(1-Parameters!$D$9)*(D49+E49)</f>
        <v>0.0</v>
      </c>
      <c r="Z49" s="7">
        <f>POWER(1/(1+Parameters!$D$32),A49-1)*(M49-N49)</f>
        <v>0.0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</v>
      </c>
      <c r="E50" s="7">
        <f>Parameters!$D$6*C50</f>
        <v>0.0</v>
      </c>
      <c r="F50" s="7">
        <f>IF(Parameters!$D$5=1,E50,0)</f>
        <v>0.0</v>
      </c>
      <c r="G50" s="7">
        <f>Parameters!$D$27*G49+F50</f>
        <v>0.0</v>
      </c>
      <c r="H50" s="7">
        <f>IF(AND(Parameters!$D$5=1,Parameters!$D$26=1),SUMPRODUCT(--($A$45:A50&lt;A50),--(MOD(A50-$A$45:A50,Parameters!$D$28)=0),$F$45:F50,POWER(Parameters!$D$27,IF(A50-$A$45:A50=0,1,A50-$A$45:A50))),0)</f>
        <v>0.0</v>
      </c>
      <c r="I50" s="7">
        <f>Parameters!$D$23*I49+B50*Parameters!$D$22</f>
        <v>0.0</v>
      </c>
      <c r="J50" s="7">
        <f>E50*Parameters!$D$14*(1-Parameters!$D$15)</f>
        <v>0.0</v>
      </c>
      <c r="K50" s="7">
        <f>H50*Parameters!$D$29</f>
        <v>0.0</v>
      </c>
      <c r="L50" s="7">
        <f>I50*Parameters!$D$24</f>
        <v>0.0</v>
      </c>
      <c r="M50" s="7">
        <f>J50+K50+L50</f>
        <v>0.0</v>
      </c>
      <c r="N50" s="7">
        <f>C50*Parameters!$D$17+D50*Parameters!$D$18+E50*Parameters!$D$16+I50*Parameters!$D$25+G50*Parameters!$D$30</f>
        <v>0.0</v>
      </c>
      <c r="O50" s="7">
        <f>0</f>
        <v>0</v>
      </c>
      <c r="P50" s="7">
        <f>M50-N50-O50</f>
        <v>0.0</v>
      </c>
      <c r="Q50" s="7">
        <f>0</f>
        <v>0</v>
      </c>
      <c r="R50" s="7">
        <f>P50-Q50</f>
        <v>0.0</v>
      </c>
      <c r="S50" s="7">
        <f>IF(A50&lt;1+Parameters!$D$31,0,INDEX($M$45:$M$80,A50-Parameters!$D$31))</f>
        <v>0.0</v>
      </c>
      <c r="T50" s="7">
        <f>T49+M50-S50</f>
        <v>0.0</v>
      </c>
      <c r="U50" s="7">
        <f>S50-N50-O50-Q50</f>
        <v>0.0</v>
      </c>
      <c r="V50" s="7">
        <f>V49+U50</f>
        <v>1.5999999999999999</v>
      </c>
      <c r="W50" s="7">
        <f>(1-Parameters!$D$7)*(C50-E50)+(1-Parameters!$D$8)*(D50+E50)</f>
        <v>0.0</v>
      </c>
      <c r="X50" s="7">
        <f>Parameters!$D$7*(C50-E50)+Parameters!$D$8*Parameters!$D$9*(D50+E50)</f>
        <v>0.0</v>
      </c>
      <c r="Y50" s="7">
        <f>Parameters!$D$8*(1-Parameters!$D$9)*(D50+E50)</f>
        <v>0.0</v>
      </c>
      <c r="Z50" s="7">
        <f>POWER(1/(1+Parameters!$D$32),A50-1)*(M50-N50)</f>
        <v>0.0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</v>
      </c>
      <c r="E51" s="7">
        <f>Parameters!$D$6*C51</f>
        <v>0.0</v>
      </c>
      <c r="F51" s="7">
        <f>IF(Parameters!$D$5=1,E51,0)</f>
        <v>0.0</v>
      </c>
      <c r="G51" s="7">
        <f>Parameters!$D$27*G50+F51</f>
        <v>0.0</v>
      </c>
      <c r="H51" s="7">
        <f>IF(AND(Parameters!$D$5=1,Parameters!$D$26=1),SUMPRODUCT(--($A$45:A51&lt;A51),--(MOD(A51-$A$45:A51,Parameters!$D$28)=0),$F$45:F51,POWER(Parameters!$D$27,IF(A51-$A$45:A51=0,1,A51-$A$45:A51))),0)</f>
        <v>0.0</v>
      </c>
      <c r="I51" s="7">
        <f>Parameters!$D$23*I50+B51*Parameters!$D$22</f>
        <v>0.0</v>
      </c>
      <c r="J51" s="7">
        <f>E51*Parameters!$D$14*(1-Parameters!$D$15)</f>
        <v>0.0</v>
      </c>
      <c r="K51" s="7">
        <f>H51*Parameters!$D$29</f>
        <v>0.0</v>
      </c>
      <c r="L51" s="7">
        <f>I51*Parameters!$D$24</f>
        <v>0.0</v>
      </c>
      <c r="M51" s="7">
        <f>J51+K51+L51</f>
        <v>0.0</v>
      </c>
      <c r="N51" s="7">
        <f>C51*Parameters!$D$17+D51*Parameters!$D$18+E51*Parameters!$D$16+I51*Parameters!$D$25+G51*Parameters!$D$30</f>
        <v>0.0</v>
      </c>
      <c r="O51" s="7">
        <f>0</f>
        <v>0</v>
      </c>
      <c r="P51" s="7">
        <f>M51-N51-O51</f>
        <v>0.0</v>
      </c>
      <c r="Q51" s="7">
        <f>0</f>
        <v>0</v>
      </c>
      <c r="R51" s="7">
        <f>P51-Q51</f>
        <v>0.0</v>
      </c>
      <c r="S51" s="7">
        <f>IF(A51&lt;1+Parameters!$D$31,0,INDEX($M$45:$M$80,A51-Parameters!$D$31))</f>
        <v>0.0</v>
      </c>
      <c r="T51" s="7">
        <f>T50+M51-S51</f>
        <v>0.0</v>
      </c>
      <c r="U51" s="7">
        <f>S51-N51-O51-Q51</f>
        <v>0.0</v>
      </c>
      <c r="V51" s="7">
        <f>V50+U51</f>
        <v>1.5999999999999999</v>
      </c>
      <c r="W51" s="7">
        <f>(1-Parameters!$D$7)*(C51-E51)+(1-Parameters!$D$8)*(D51+E51)</f>
        <v>0.0</v>
      </c>
      <c r="X51" s="7">
        <f>Parameters!$D$7*(C51-E51)+Parameters!$D$8*Parameters!$D$9*(D51+E51)</f>
        <v>0.0</v>
      </c>
      <c r="Y51" s="7">
        <f>Parameters!$D$8*(1-Parameters!$D$9)*(D51+E51)</f>
        <v>0.0</v>
      </c>
      <c r="Z51" s="7">
        <f>POWER(1/(1+Parameters!$D$32),A51-1)*(M51-N51)</f>
        <v>0.0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</v>
      </c>
      <c r="E52" s="7">
        <f>Parameters!$D$6*C52</f>
        <v>0.0</v>
      </c>
      <c r="F52" s="7">
        <f>IF(Parameters!$D$5=1,E52,0)</f>
        <v>0.0</v>
      </c>
      <c r="G52" s="7">
        <f>Parameters!$D$27*G51+F52</f>
        <v>0.0</v>
      </c>
      <c r="H52" s="7">
        <f>IF(AND(Parameters!$D$5=1,Parameters!$D$26=1),SUMPRODUCT(--($A$45:A52&lt;A52),--(MOD(A52-$A$45:A52,Parameters!$D$28)=0),$F$45:F52,POWER(Parameters!$D$27,IF(A52-$A$45:A52=0,1,A52-$A$45:A52))),0)</f>
        <v>0.0</v>
      </c>
      <c r="I52" s="7">
        <f>Parameters!$D$23*I51+B52*Parameters!$D$22</f>
        <v>0.0</v>
      </c>
      <c r="J52" s="7">
        <f>E52*Parameters!$D$14*(1-Parameters!$D$15)</f>
        <v>0.0</v>
      </c>
      <c r="K52" s="7">
        <f>H52*Parameters!$D$29</f>
        <v>0.0</v>
      </c>
      <c r="L52" s="7">
        <f>I52*Parameters!$D$24</f>
        <v>0.0</v>
      </c>
      <c r="M52" s="7">
        <f>J52+K52+L52</f>
        <v>0.0</v>
      </c>
      <c r="N52" s="7">
        <f>C52*Parameters!$D$17+D52*Parameters!$D$18+E52*Parameters!$D$16+I52*Parameters!$D$25+G52*Parameters!$D$30</f>
        <v>0.0</v>
      </c>
      <c r="O52" s="7">
        <f>0</f>
        <v>0</v>
      </c>
      <c r="P52" s="7">
        <f>M52-N52-O52</f>
        <v>0.0</v>
      </c>
      <c r="Q52" s="7">
        <f>0</f>
        <v>0</v>
      </c>
      <c r="R52" s="7">
        <f>P52-Q52</f>
        <v>0.0</v>
      </c>
      <c r="S52" s="7">
        <f>IF(A52&lt;1+Parameters!$D$31,0,INDEX($M$45:$M$80,A52-Parameters!$D$31))</f>
        <v>0.0</v>
      </c>
      <c r="T52" s="7">
        <f>T51+M52-S52</f>
        <v>0.0</v>
      </c>
      <c r="U52" s="7">
        <f>S52-N52-O52-Q52</f>
        <v>0.0</v>
      </c>
      <c r="V52" s="7">
        <f>V51+U52</f>
        <v>1.5999999999999999</v>
      </c>
      <c r="W52" s="7">
        <f>(1-Parameters!$D$7)*(C52-E52)+(1-Parameters!$D$8)*(D52+E52)</f>
        <v>0.0</v>
      </c>
      <c r="X52" s="7">
        <f>Parameters!$D$7*(C52-E52)+Parameters!$D$8*Parameters!$D$9*(D52+E52)</f>
        <v>0.0</v>
      </c>
      <c r="Y52" s="7">
        <f>Parameters!$D$8*(1-Parameters!$D$9)*(D52+E52)</f>
        <v>0.0</v>
      </c>
      <c r="Z52" s="7">
        <f>POWER(1/(1+Parameters!$D$32),A52-1)*(M52-N52)</f>
        <v>0.0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</v>
      </c>
      <c r="E53" s="7">
        <f>Parameters!$D$6*C53</f>
        <v>0.0</v>
      </c>
      <c r="F53" s="7">
        <f>IF(Parameters!$D$5=1,E53,0)</f>
        <v>0.0</v>
      </c>
      <c r="G53" s="7">
        <f>Parameters!$D$27*G52+F53</f>
        <v>0.0</v>
      </c>
      <c r="H53" s="7">
        <f>IF(AND(Parameters!$D$5=1,Parameters!$D$26=1),SUMPRODUCT(--($A$45:A53&lt;A53),--(MOD(A53-$A$45:A53,Parameters!$D$28)=0),$F$45:F53,POWER(Parameters!$D$27,IF(A53-$A$45:A53=0,1,A53-$A$45:A53))),0)</f>
        <v>0.0</v>
      </c>
      <c r="I53" s="7">
        <f>Parameters!$D$23*I52+B53*Parameters!$D$22</f>
        <v>0.0</v>
      </c>
      <c r="J53" s="7">
        <f>E53*Parameters!$D$14*(1-Parameters!$D$15)</f>
        <v>0.0</v>
      </c>
      <c r="K53" s="7">
        <f>H53*Parameters!$D$29</f>
        <v>0.0</v>
      </c>
      <c r="L53" s="7">
        <f>I53*Parameters!$D$24</f>
        <v>0.0</v>
      </c>
      <c r="M53" s="7">
        <f>J53+K53+L53</f>
        <v>0.0</v>
      </c>
      <c r="N53" s="7">
        <f>C53*Parameters!$D$17+D53*Parameters!$D$18+E53*Parameters!$D$16+I53*Parameters!$D$25+G53*Parameters!$D$30</f>
        <v>0.0</v>
      </c>
      <c r="O53" s="7">
        <f>0</f>
        <v>0</v>
      </c>
      <c r="P53" s="7">
        <f>M53-N53-O53</f>
        <v>0.0</v>
      </c>
      <c r="Q53" s="7">
        <f>0</f>
        <v>0</v>
      </c>
      <c r="R53" s="7">
        <f>P53-Q53</f>
        <v>0.0</v>
      </c>
      <c r="S53" s="7">
        <f>IF(A53&lt;1+Parameters!$D$31,0,INDEX($M$45:$M$80,A53-Parameters!$D$31))</f>
        <v>0.0</v>
      </c>
      <c r="T53" s="7">
        <f>T52+M53-S53</f>
        <v>0.0</v>
      </c>
      <c r="U53" s="7">
        <f>S53-N53-O53-Q53</f>
        <v>0.0</v>
      </c>
      <c r="V53" s="7">
        <f>V52+U53</f>
        <v>1.5999999999999999</v>
      </c>
      <c r="W53" s="7">
        <f>(1-Parameters!$D$7)*(C53-E53)+(1-Parameters!$D$8)*(D53+E53)</f>
        <v>0.0</v>
      </c>
      <c r="X53" s="7">
        <f>Parameters!$D$7*(C53-E53)+Parameters!$D$8*Parameters!$D$9*(D53+E53)</f>
        <v>0.0</v>
      </c>
      <c r="Y53" s="7">
        <f>Parameters!$D$8*(1-Parameters!$D$9)*(D53+E53)</f>
        <v>0.0</v>
      </c>
      <c r="Z53" s="7">
        <f>POWER(1/(1+Parameters!$D$32),A53-1)*(M53-N53)</f>
        <v>0.0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</v>
      </c>
      <c r="E54" s="7">
        <f>Parameters!$D$6*C54</f>
        <v>0.0</v>
      </c>
      <c r="F54" s="7">
        <f>IF(Parameters!$D$5=1,E54,0)</f>
        <v>0.0</v>
      </c>
      <c r="G54" s="7">
        <f>Parameters!$D$27*G53+F54</f>
        <v>0.0</v>
      </c>
      <c r="H54" s="7">
        <f>IF(AND(Parameters!$D$5=1,Parameters!$D$26=1),SUMPRODUCT(--($A$45:A54&lt;A54),--(MOD(A54-$A$45:A54,Parameters!$D$28)=0),$F$45:F54,POWER(Parameters!$D$27,IF(A54-$A$45:A54=0,1,A54-$A$45:A54))),0)</f>
        <v>0.0</v>
      </c>
      <c r="I54" s="7">
        <f>Parameters!$D$23*I53+B54*Parameters!$D$22</f>
        <v>0.0</v>
      </c>
      <c r="J54" s="7">
        <f>E54*Parameters!$D$14*(1-Parameters!$D$15)</f>
        <v>0.0</v>
      </c>
      <c r="K54" s="7">
        <f>H54*Parameters!$D$29</f>
        <v>0.0</v>
      </c>
      <c r="L54" s="7">
        <f>I54*Parameters!$D$24</f>
        <v>0.0</v>
      </c>
      <c r="M54" s="7">
        <f>J54+K54+L54</f>
        <v>0.0</v>
      </c>
      <c r="N54" s="7">
        <f>C54*Parameters!$D$17+D54*Parameters!$D$18+E54*Parameters!$D$16+I54*Parameters!$D$25+G54*Parameters!$D$30</f>
        <v>0.0</v>
      </c>
      <c r="O54" s="7">
        <f>0</f>
        <v>0</v>
      </c>
      <c r="P54" s="7">
        <f>M54-N54-O54</f>
        <v>0.0</v>
      </c>
      <c r="Q54" s="7">
        <f>0</f>
        <v>0</v>
      </c>
      <c r="R54" s="7">
        <f>P54-Q54</f>
        <v>0.0</v>
      </c>
      <c r="S54" s="7">
        <f>IF(A54&lt;1+Parameters!$D$31,0,INDEX($M$45:$M$80,A54-Parameters!$D$31))</f>
        <v>0.0</v>
      </c>
      <c r="T54" s="7">
        <f>T53+M54-S54</f>
        <v>0.0</v>
      </c>
      <c r="U54" s="7">
        <f>S54-N54-O54-Q54</f>
        <v>0.0</v>
      </c>
      <c r="V54" s="7">
        <f>V53+U54</f>
        <v>1.5999999999999999</v>
      </c>
      <c r="W54" s="7">
        <f>(1-Parameters!$D$7)*(C54-E54)+(1-Parameters!$D$8)*(D54+E54)</f>
        <v>0.0</v>
      </c>
      <c r="X54" s="7">
        <f>Parameters!$D$7*(C54-E54)+Parameters!$D$8*Parameters!$D$9*(D54+E54)</f>
        <v>0.0</v>
      </c>
      <c r="Y54" s="7">
        <f>Parameters!$D$8*(1-Parameters!$D$9)*(D54+E54)</f>
        <v>0.0</v>
      </c>
      <c r="Z54" s="7">
        <f>POWER(1/(1+Parameters!$D$32),A54-1)*(M54-N54)</f>
        <v>0.0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</v>
      </c>
      <c r="E55" s="7">
        <f>Parameters!$D$6*C55</f>
        <v>0.0</v>
      </c>
      <c r="F55" s="7">
        <f>IF(Parameters!$D$5=1,E55,0)</f>
        <v>0.0</v>
      </c>
      <c r="G55" s="7">
        <f>Parameters!$D$27*G54+F55</f>
        <v>0.0</v>
      </c>
      <c r="H55" s="7">
        <f>IF(AND(Parameters!$D$5=1,Parameters!$D$26=1),SUMPRODUCT(--($A$45:A55&lt;A55),--(MOD(A55-$A$45:A55,Parameters!$D$28)=0),$F$45:F55,POWER(Parameters!$D$27,IF(A55-$A$45:A55=0,1,A55-$A$45:A55))),0)</f>
        <v>0.0</v>
      </c>
      <c r="I55" s="7">
        <f>Parameters!$D$23*I54+B55*Parameters!$D$22</f>
        <v>0.0</v>
      </c>
      <c r="J55" s="7">
        <f>E55*Parameters!$D$14*(1-Parameters!$D$15)</f>
        <v>0.0</v>
      </c>
      <c r="K55" s="7">
        <f>H55*Parameters!$D$29</f>
        <v>0.0</v>
      </c>
      <c r="L55" s="7">
        <f>I55*Parameters!$D$24</f>
        <v>0.0</v>
      </c>
      <c r="M55" s="7">
        <f>J55+K55+L55</f>
        <v>0.0</v>
      </c>
      <c r="N55" s="7">
        <f>C55*Parameters!$D$17+D55*Parameters!$D$18+E55*Parameters!$D$16+I55*Parameters!$D$25+G55*Parameters!$D$30</f>
        <v>0.0</v>
      </c>
      <c r="O55" s="7">
        <f>0</f>
        <v>0</v>
      </c>
      <c r="P55" s="7">
        <f>M55-N55-O55</f>
        <v>0.0</v>
      </c>
      <c r="Q55" s="7">
        <f>0</f>
        <v>0</v>
      </c>
      <c r="R55" s="7">
        <f>P55-Q55</f>
        <v>0.0</v>
      </c>
      <c r="S55" s="7">
        <f>IF(A55&lt;1+Parameters!$D$31,0,INDEX($M$45:$M$80,A55-Parameters!$D$31))</f>
        <v>0.0</v>
      </c>
      <c r="T55" s="7">
        <f>T54+M55-S55</f>
        <v>0.0</v>
      </c>
      <c r="U55" s="7">
        <f>S55-N55-O55-Q55</f>
        <v>0.0</v>
      </c>
      <c r="V55" s="7">
        <f>V54+U55</f>
        <v>1.5999999999999999</v>
      </c>
      <c r="W55" s="7">
        <f>(1-Parameters!$D$7)*(C55-E55)+(1-Parameters!$D$8)*(D55+E55)</f>
        <v>0.0</v>
      </c>
      <c r="X55" s="7">
        <f>Parameters!$D$7*(C55-E55)+Parameters!$D$8*Parameters!$D$9*(D55+E55)</f>
        <v>0.0</v>
      </c>
      <c r="Y55" s="7">
        <f>Parameters!$D$8*(1-Parameters!$D$9)*(D55+E55)</f>
        <v>0.0</v>
      </c>
      <c r="Z55" s="7">
        <f>POWER(1/(1+Parameters!$D$32),A55-1)*(M55-N55)</f>
        <v>0.0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</v>
      </c>
      <c r="E56" s="7">
        <f>Parameters!$D$6*C56</f>
        <v>0.0</v>
      </c>
      <c r="F56" s="7">
        <f>IF(Parameters!$D$5=1,E56,0)</f>
        <v>0.0</v>
      </c>
      <c r="G56" s="7">
        <f>Parameters!$D$27*G55+F56</f>
        <v>0.0</v>
      </c>
      <c r="H56" s="7">
        <f>IF(AND(Parameters!$D$5=1,Parameters!$D$26=1),SUMPRODUCT(--($A$45:A56&lt;A56),--(MOD(A56-$A$45:A56,Parameters!$D$28)=0),$F$45:F56,POWER(Parameters!$D$27,IF(A56-$A$45:A56=0,1,A56-$A$45:A56))),0)</f>
        <v>0.0</v>
      </c>
      <c r="I56" s="7">
        <f>Parameters!$D$23*I55+B56*Parameters!$D$22</f>
        <v>0.0</v>
      </c>
      <c r="J56" s="7">
        <f>E56*Parameters!$D$14*(1-Parameters!$D$15)</f>
        <v>0.0</v>
      </c>
      <c r="K56" s="7">
        <f>H56*Parameters!$D$29</f>
        <v>0.0</v>
      </c>
      <c r="L56" s="7">
        <f>I56*Parameters!$D$24</f>
        <v>0.0</v>
      </c>
      <c r="M56" s="7">
        <f>J56+K56+L56</f>
        <v>0.0</v>
      </c>
      <c r="N56" s="7">
        <f>C56*Parameters!$D$17+D56*Parameters!$D$18+E56*Parameters!$D$16+I56*Parameters!$D$25+G56*Parameters!$D$30</f>
        <v>0.0</v>
      </c>
      <c r="O56" s="7">
        <f>0</f>
        <v>0</v>
      </c>
      <c r="P56" s="7">
        <f>M56-N56-O56</f>
        <v>0.0</v>
      </c>
      <c r="Q56" s="7">
        <f>0</f>
        <v>0</v>
      </c>
      <c r="R56" s="7">
        <f>P56-Q56</f>
        <v>0.0</v>
      </c>
      <c r="S56" s="7">
        <f>IF(A56&lt;1+Parameters!$D$31,0,INDEX($M$45:$M$80,A56-Parameters!$D$31))</f>
        <v>0.0</v>
      </c>
      <c r="T56" s="7">
        <f>T55+M56-S56</f>
        <v>0.0</v>
      </c>
      <c r="U56" s="7">
        <f>S56-N56-O56-Q56</f>
        <v>0.0</v>
      </c>
      <c r="V56" s="7">
        <f>V55+U56</f>
        <v>1.5999999999999999</v>
      </c>
      <c r="W56" s="7">
        <f>(1-Parameters!$D$7)*(C56-E56)+(1-Parameters!$D$8)*(D56+E56)</f>
        <v>0.0</v>
      </c>
      <c r="X56" s="7">
        <f>Parameters!$D$7*(C56-E56)+Parameters!$D$8*Parameters!$D$9*(D56+E56)</f>
        <v>0.0</v>
      </c>
      <c r="Y56" s="7">
        <f>Parameters!$D$8*(1-Parameters!$D$9)*(D56+E56)</f>
        <v>0.0</v>
      </c>
      <c r="Z56" s="7">
        <f>POWER(1/(1+Parameters!$D$32),A56-1)*(M56-N56)</f>
        <v>0.0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</v>
      </c>
      <c r="E57" s="7">
        <f>Parameters!$D$6*C57</f>
        <v>0.0</v>
      </c>
      <c r="F57" s="7">
        <f>IF(Parameters!$D$5=1,E57,0)</f>
        <v>0.0</v>
      </c>
      <c r="G57" s="7">
        <f>Parameters!$D$27*G56+F57</f>
        <v>0.0</v>
      </c>
      <c r="H57" s="7">
        <f>IF(AND(Parameters!$D$5=1,Parameters!$D$26=1),SUMPRODUCT(--($A$45:A57&lt;A57),--(MOD(A57-$A$45:A57,Parameters!$D$28)=0),$F$45:F57,POWER(Parameters!$D$27,IF(A57-$A$45:A57=0,1,A57-$A$45:A57))),0)</f>
        <v>0.0</v>
      </c>
      <c r="I57" s="7">
        <f>Parameters!$D$23*I56+B57*Parameters!$D$22</f>
        <v>0.0</v>
      </c>
      <c r="J57" s="7">
        <f>E57*Parameters!$D$14*(1-Parameters!$D$15)</f>
        <v>0.0</v>
      </c>
      <c r="K57" s="7">
        <f>H57*Parameters!$D$29</f>
        <v>0.0</v>
      </c>
      <c r="L57" s="7">
        <f>I57*Parameters!$D$24</f>
        <v>0.0</v>
      </c>
      <c r="M57" s="7">
        <f>J57+K57+L57</f>
        <v>0.0</v>
      </c>
      <c r="N57" s="7">
        <f>C57*Parameters!$D$17+D57*Parameters!$D$18+E57*Parameters!$D$16+I57*Parameters!$D$25+G57*Parameters!$D$30</f>
        <v>0.0</v>
      </c>
      <c r="O57" s="7">
        <f>0</f>
        <v>0</v>
      </c>
      <c r="P57" s="7">
        <f>M57-N57-O57</f>
        <v>0.0</v>
      </c>
      <c r="Q57" s="7">
        <f>0</f>
        <v>0</v>
      </c>
      <c r="R57" s="7">
        <f>P57-Q57</f>
        <v>0.0</v>
      </c>
      <c r="S57" s="7">
        <f>IF(A57&lt;1+Parameters!$D$31,0,INDEX($M$45:$M$80,A57-Parameters!$D$31))</f>
        <v>0.0</v>
      </c>
      <c r="T57" s="7">
        <f>T56+M57-S57</f>
        <v>0.0</v>
      </c>
      <c r="U57" s="7">
        <f>S57-N57-O57-Q57</f>
        <v>0.0</v>
      </c>
      <c r="V57" s="7">
        <f>V56+U57</f>
        <v>1.5999999999999999</v>
      </c>
      <c r="W57" s="7">
        <f>(1-Parameters!$D$7)*(C57-E57)+(1-Parameters!$D$8)*(D57+E57)</f>
        <v>0.0</v>
      </c>
      <c r="X57" s="7">
        <f>Parameters!$D$7*(C57-E57)+Parameters!$D$8*Parameters!$D$9*(D57+E57)</f>
        <v>0.0</v>
      </c>
      <c r="Y57" s="7">
        <f>Parameters!$D$8*(1-Parameters!$D$9)*(D57+E57)</f>
        <v>0.0</v>
      </c>
      <c r="Z57" s="7">
        <f>POWER(1/(1+Parameters!$D$32),A57-1)*(M57-N57)</f>
        <v>0.0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</v>
      </c>
      <c r="E58" s="7">
        <f>Parameters!$D$6*C58</f>
        <v>0.0</v>
      </c>
      <c r="F58" s="7">
        <f>IF(Parameters!$D$5=1,E58,0)</f>
        <v>0.0</v>
      </c>
      <c r="G58" s="7">
        <f>Parameters!$D$27*G57+F58</f>
        <v>0.0</v>
      </c>
      <c r="H58" s="7">
        <f>IF(AND(Parameters!$D$5=1,Parameters!$D$26=1),SUMPRODUCT(--($A$45:A58&lt;A58),--(MOD(A58-$A$45:A58,Parameters!$D$28)=0),$F$45:F58,POWER(Parameters!$D$27,IF(A58-$A$45:A58=0,1,A58-$A$45:A58))),0)</f>
        <v>0.0</v>
      </c>
      <c r="I58" s="7">
        <f>Parameters!$D$23*I57+B58*Parameters!$D$22</f>
        <v>0.0</v>
      </c>
      <c r="J58" s="7">
        <f>E58*Parameters!$D$14*(1-Parameters!$D$15)</f>
        <v>0.0</v>
      </c>
      <c r="K58" s="7">
        <f>H58*Parameters!$D$29</f>
        <v>0.0</v>
      </c>
      <c r="L58" s="7">
        <f>I58*Parameters!$D$24</f>
        <v>0.0</v>
      </c>
      <c r="M58" s="7">
        <f>J58+K58+L58</f>
        <v>0.0</v>
      </c>
      <c r="N58" s="7">
        <f>C58*Parameters!$D$17+D58*Parameters!$D$18+E58*Parameters!$D$16+I58*Parameters!$D$25+G58*Parameters!$D$30</f>
        <v>0.0</v>
      </c>
      <c r="O58" s="7">
        <f>0</f>
        <v>0</v>
      </c>
      <c r="P58" s="7">
        <f>M58-N58-O58</f>
        <v>0.0</v>
      </c>
      <c r="Q58" s="7">
        <f>0</f>
        <v>0</v>
      </c>
      <c r="R58" s="7">
        <f>P58-Q58</f>
        <v>0.0</v>
      </c>
      <c r="S58" s="7">
        <f>IF(A58&lt;1+Parameters!$D$31,0,INDEX($M$45:$M$80,A58-Parameters!$D$31))</f>
        <v>0.0</v>
      </c>
      <c r="T58" s="7">
        <f>T57+M58-S58</f>
        <v>0.0</v>
      </c>
      <c r="U58" s="7">
        <f>S58-N58-O58-Q58</f>
        <v>0.0</v>
      </c>
      <c r="V58" s="7">
        <f>V57+U58</f>
        <v>1.5999999999999999</v>
      </c>
      <c r="W58" s="7">
        <f>(1-Parameters!$D$7)*(C58-E58)+(1-Parameters!$D$8)*(D58+E58)</f>
        <v>0.0</v>
      </c>
      <c r="X58" s="7">
        <f>Parameters!$D$7*(C58-E58)+Parameters!$D$8*Parameters!$D$9*(D58+E58)</f>
        <v>0.0</v>
      </c>
      <c r="Y58" s="7">
        <f>Parameters!$D$8*(1-Parameters!$D$9)*(D58+E58)</f>
        <v>0.0</v>
      </c>
      <c r="Z58" s="7">
        <f>POWER(1/(1+Parameters!$D$32),A58-1)*(M58-N58)</f>
        <v>0.0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</v>
      </c>
      <c r="E59" s="7">
        <f>Parameters!$D$6*C59</f>
        <v>0.0</v>
      </c>
      <c r="F59" s="7">
        <f>IF(Parameters!$D$5=1,E59,0)</f>
        <v>0.0</v>
      </c>
      <c r="G59" s="7">
        <f>Parameters!$D$27*G58+F59</f>
        <v>0.0</v>
      </c>
      <c r="H59" s="7">
        <f>IF(AND(Parameters!$D$5=1,Parameters!$D$26=1),SUMPRODUCT(--($A$45:A59&lt;A59),--(MOD(A59-$A$45:A59,Parameters!$D$28)=0),$F$45:F59,POWER(Parameters!$D$27,IF(A59-$A$45:A59=0,1,A59-$A$45:A59))),0)</f>
        <v>0.0</v>
      </c>
      <c r="I59" s="7">
        <f>Parameters!$D$23*I58+B59*Parameters!$D$22</f>
        <v>0.0</v>
      </c>
      <c r="J59" s="7">
        <f>E59*Parameters!$D$14*(1-Parameters!$D$15)</f>
        <v>0.0</v>
      </c>
      <c r="K59" s="7">
        <f>H59*Parameters!$D$29</f>
        <v>0.0</v>
      </c>
      <c r="L59" s="7">
        <f>I59*Parameters!$D$24</f>
        <v>0.0</v>
      </c>
      <c r="M59" s="7">
        <f>J59+K59+L59</f>
        <v>0.0</v>
      </c>
      <c r="N59" s="7">
        <f>C59*Parameters!$D$17+D59*Parameters!$D$18+E59*Parameters!$D$16+I59*Parameters!$D$25+G59*Parameters!$D$30</f>
        <v>0.0</v>
      </c>
      <c r="O59" s="7">
        <f>0</f>
        <v>0</v>
      </c>
      <c r="P59" s="7">
        <f>M59-N59-O59</f>
        <v>0.0</v>
      </c>
      <c r="Q59" s="7">
        <f>0</f>
        <v>0</v>
      </c>
      <c r="R59" s="7">
        <f>P59-Q59</f>
        <v>0.0</v>
      </c>
      <c r="S59" s="7">
        <f>IF(A59&lt;1+Parameters!$D$31,0,INDEX($M$45:$M$80,A59-Parameters!$D$31))</f>
        <v>0.0</v>
      </c>
      <c r="T59" s="7">
        <f>T58+M59-S59</f>
        <v>0.0</v>
      </c>
      <c r="U59" s="7">
        <f>S59-N59-O59-Q59</f>
        <v>0.0</v>
      </c>
      <c r="V59" s="7">
        <f>V58+U59</f>
        <v>1.5999999999999999</v>
      </c>
      <c r="W59" s="7">
        <f>(1-Parameters!$D$7)*(C59-E59)+(1-Parameters!$D$8)*(D59+E59)</f>
        <v>0.0</v>
      </c>
      <c r="X59" s="7">
        <f>Parameters!$D$7*(C59-E59)+Parameters!$D$8*Parameters!$D$9*(D59+E59)</f>
        <v>0.0</v>
      </c>
      <c r="Y59" s="7">
        <f>Parameters!$D$8*(1-Parameters!$D$9)*(D59+E59)</f>
        <v>0.0</v>
      </c>
      <c r="Z59" s="7">
        <f>POWER(1/(1+Parameters!$D$32),A59-1)*(M59-N59)</f>
        <v>0.0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</v>
      </c>
      <c r="E60" s="7">
        <f>Parameters!$D$6*C60</f>
        <v>0.0</v>
      </c>
      <c r="F60" s="7">
        <f>IF(Parameters!$D$5=1,E60,0)</f>
        <v>0.0</v>
      </c>
      <c r="G60" s="7">
        <f>Parameters!$D$27*G59+F60</f>
        <v>0.0</v>
      </c>
      <c r="H60" s="7">
        <f>IF(AND(Parameters!$D$5=1,Parameters!$D$26=1),SUMPRODUCT(--($A$45:A60&lt;A60),--(MOD(A60-$A$45:A60,Parameters!$D$28)=0),$F$45:F60,POWER(Parameters!$D$27,IF(A60-$A$45:A60=0,1,A60-$A$45:A60))),0)</f>
        <v>0.0</v>
      </c>
      <c r="I60" s="7">
        <f>Parameters!$D$23*I59+B60*Parameters!$D$22</f>
        <v>0.0</v>
      </c>
      <c r="J60" s="7">
        <f>E60*Parameters!$D$14*(1-Parameters!$D$15)</f>
        <v>0.0</v>
      </c>
      <c r="K60" s="7">
        <f>H60*Parameters!$D$29</f>
        <v>0.0</v>
      </c>
      <c r="L60" s="7">
        <f>I60*Parameters!$D$24</f>
        <v>0.0</v>
      </c>
      <c r="M60" s="7">
        <f>J60+K60+L60</f>
        <v>0.0</v>
      </c>
      <c r="N60" s="7">
        <f>C60*Parameters!$D$17+D60*Parameters!$D$18+E60*Parameters!$D$16+I60*Parameters!$D$25+G60*Parameters!$D$30</f>
        <v>0.0</v>
      </c>
      <c r="O60" s="7">
        <f>0</f>
        <v>0</v>
      </c>
      <c r="P60" s="7">
        <f>M60-N60-O60</f>
        <v>0.0</v>
      </c>
      <c r="Q60" s="7">
        <f>0</f>
        <v>0</v>
      </c>
      <c r="R60" s="7">
        <f>P60-Q60</f>
        <v>0.0</v>
      </c>
      <c r="S60" s="7">
        <f>IF(A60&lt;1+Parameters!$D$31,0,INDEX($M$45:$M$80,A60-Parameters!$D$31))</f>
        <v>0.0</v>
      </c>
      <c r="T60" s="7">
        <f>T59+M60-S60</f>
        <v>0.0</v>
      </c>
      <c r="U60" s="7">
        <f>S60-N60-O60-Q60</f>
        <v>0.0</v>
      </c>
      <c r="V60" s="7">
        <f>V59+U60</f>
        <v>1.5999999999999999</v>
      </c>
      <c r="W60" s="7">
        <f>(1-Parameters!$D$7)*(C60-E60)+(1-Parameters!$D$8)*(D60+E60)</f>
        <v>0.0</v>
      </c>
      <c r="X60" s="7">
        <f>Parameters!$D$7*(C60-E60)+Parameters!$D$8*Parameters!$D$9*(D60+E60)</f>
        <v>0.0</v>
      </c>
      <c r="Y60" s="7">
        <f>Parameters!$D$8*(1-Parameters!$D$9)*(D60+E60)</f>
        <v>0.0</v>
      </c>
      <c r="Z60" s="7">
        <f>POWER(1/(1+Parameters!$D$32),A60-1)*(M60-N60)</f>
        <v>0.0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</v>
      </c>
      <c r="E61" s="7">
        <f>Parameters!$D$6*C61</f>
        <v>0.0</v>
      </c>
      <c r="F61" s="7">
        <f>IF(Parameters!$D$5=1,E61,0)</f>
        <v>0.0</v>
      </c>
      <c r="G61" s="7">
        <f>Parameters!$D$27*G60+F61</f>
        <v>0.0</v>
      </c>
      <c r="H61" s="7">
        <f>IF(AND(Parameters!$D$5=1,Parameters!$D$26=1),SUMPRODUCT(--($A$45:A61&lt;A61),--(MOD(A61-$A$45:A61,Parameters!$D$28)=0),$F$45:F61,POWER(Parameters!$D$27,IF(A61-$A$45:A61=0,1,A61-$A$45:A61))),0)</f>
        <v>0.0</v>
      </c>
      <c r="I61" s="7">
        <f>Parameters!$D$23*I60+B61*Parameters!$D$22</f>
        <v>0.0</v>
      </c>
      <c r="J61" s="7">
        <f>E61*Parameters!$D$14*(1-Parameters!$D$15)</f>
        <v>0.0</v>
      </c>
      <c r="K61" s="7">
        <f>H61*Parameters!$D$29</f>
        <v>0.0</v>
      </c>
      <c r="L61" s="7">
        <f>I61*Parameters!$D$24</f>
        <v>0.0</v>
      </c>
      <c r="M61" s="7">
        <f>J61+K61+L61</f>
        <v>0.0</v>
      </c>
      <c r="N61" s="7">
        <f>C61*Parameters!$D$17+D61*Parameters!$D$18+E61*Parameters!$D$16+I61*Parameters!$D$25+G61*Parameters!$D$30</f>
        <v>0.0</v>
      </c>
      <c r="O61" s="7">
        <f>0</f>
        <v>0</v>
      </c>
      <c r="P61" s="7">
        <f>M61-N61-O61</f>
        <v>0.0</v>
      </c>
      <c r="Q61" s="7">
        <f>0</f>
        <v>0</v>
      </c>
      <c r="R61" s="7">
        <f>P61-Q61</f>
        <v>0.0</v>
      </c>
      <c r="S61" s="7">
        <f>IF(A61&lt;1+Parameters!$D$31,0,INDEX($M$45:$M$80,A61-Parameters!$D$31))</f>
        <v>0.0</v>
      </c>
      <c r="T61" s="7">
        <f>T60+M61-S61</f>
        <v>0.0</v>
      </c>
      <c r="U61" s="7">
        <f>S61-N61-O61-Q61</f>
        <v>0.0</v>
      </c>
      <c r="V61" s="7">
        <f>V60+U61</f>
        <v>1.5999999999999999</v>
      </c>
      <c r="W61" s="7">
        <f>(1-Parameters!$D$7)*(C61-E61)+(1-Parameters!$D$8)*(D61+E61)</f>
        <v>0.0</v>
      </c>
      <c r="X61" s="7">
        <f>Parameters!$D$7*(C61-E61)+Parameters!$D$8*Parameters!$D$9*(D61+E61)</f>
        <v>0.0</v>
      </c>
      <c r="Y61" s="7">
        <f>Parameters!$D$8*(1-Parameters!$D$9)*(D61+E61)</f>
        <v>0.0</v>
      </c>
      <c r="Z61" s="7">
        <f>POWER(1/(1+Parameters!$D$32),A61-1)*(M61-N61)</f>
        <v>0.0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</v>
      </c>
      <c r="E62" s="7">
        <f>Parameters!$D$6*C62</f>
        <v>0.0</v>
      </c>
      <c r="F62" s="7">
        <f>IF(Parameters!$D$5=1,E62,0)</f>
        <v>0.0</v>
      </c>
      <c r="G62" s="7">
        <f>Parameters!$D$27*G61+F62</f>
        <v>0.0</v>
      </c>
      <c r="H62" s="7">
        <f>IF(AND(Parameters!$D$5=1,Parameters!$D$26=1),SUMPRODUCT(--($A$45:A62&lt;A62),--(MOD(A62-$A$45:A62,Parameters!$D$28)=0),$F$45:F62,POWER(Parameters!$D$27,IF(A62-$A$45:A62=0,1,A62-$A$45:A62))),0)</f>
        <v>0.0</v>
      </c>
      <c r="I62" s="7">
        <f>Parameters!$D$23*I61+B62*Parameters!$D$22</f>
        <v>0.0</v>
      </c>
      <c r="J62" s="7">
        <f>E62*Parameters!$D$14*(1-Parameters!$D$15)</f>
        <v>0.0</v>
      </c>
      <c r="K62" s="7">
        <f>H62*Parameters!$D$29</f>
        <v>0.0</v>
      </c>
      <c r="L62" s="7">
        <f>I62*Parameters!$D$24</f>
        <v>0.0</v>
      </c>
      <c r="M62" s="7">
        <f>J62+K62+L62</f>
        <v>0.0</v>
      </c>
      <c r="N62" s="7">
        <f>C62*Parameters!$D$17+D62*Parameters!$D$18+E62*Parameters!$D$16+I62*Parameters!$D$25+G62*Parameters!$D$30</f>
        <v>0.0</v>
      </c>
      <c r="O62" s="7">
        <f>0</f>
        <v>0</v>
      </c>
      <c r="P62" s="7">
        <f>M62-N62-O62</f>
        <v>0.0</v>
      </c>
      <c r="Q62" s="7">
        <f>0</f>
        <v>0</v>
      </c>
      <c r="R62" s="7">
        <f>P62-Q62</f>
        <v>0.0</v>
      </c>
      <c r="S62" s="7">
        <f>IF(A62&lt;1+Parameters!$D$31,0,INDEX($M$45:$M$80,A62-Parameters!$D$31))</f>
        <v>0.0</v>
      </c>
      <c r="T62" s="7">
        <f>T61+M62-S62</f>
        <v>0.0</v>
      </c>
      <c r="U62" s="7">
        <f>S62-N62-O62-Q62</f>
        <v>0.0</v>
      </c>
      <c r="V62" s="7">
        <f>V61+U62</f>
        <v>1.5999999999999999</v>
      </c>
      <c r="W62" s="7">
        <f>(1-Parameters!$D$7)*(C62-E62)+(1-Parameters!$D$8)*(D62+E62)</f>
        <v>0.0</v>
      </c>
      <c r="X62" s="7">
        <f>Parameters!$D$7*(C62-E62)+Parameters!$D$8*Parameters!$D$9*(D62+E62)</f>
        <v>0.0</v>
      </c>
      <c r="Y62" s="7">
        <f>Parameters!$D$8*(1-Parameters!$D$9)*(D62+E62)</f>
        <v>0.0</v>
      </c>
      <c r="Z62" s="7">
        <f>POWER(1/(1+Parameters!$D$32),A62-1)*(M62-N62)</f>
        <v>0.0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</v>
      </c>
      <c r="E63" s="7">
        <f>Parameters!$D$6*C63</f>
        <v>0.0</v>
      </c>
      <c r="F63" s="7">
        <f>IF(Parameters!$D$5=1,E63,0)</f>
        <v>0.0</v>
      </c>
      <c r="G63" s="7">
        <f>Parameters!$D$27*G62+F63</f>
        <v>0.0</v>
      </c>
      <c r="H63" s="7">
        <f>IF(AND(Parameters!$D$5=1,Parameters!$D$26=1),SUMPRODUCT(--($A$45:A63&lt;A63),--(MOD(A63-$A$45:A63,Parameters!$D$28)=0),$F$45:F63,POWER(Parameters!$D$27,IF(A63-$A$45:A63=0,1,A63-$A$45:A63))),0)</f>
        <v>0.0</v>
      </c>
      <c r="I63" s="7">
        <f>Parameters!$D$23*I62+B63*Parameters!$D$22</f>
        <v>0.0</v>
      </c>
      <c r="J63" s="7">
        <f>E63*Parameters!$D$14*(1-Parameters!$D$15)</f>
        <v>0.0</v>
      </c>
      <c r="K63" s="7">
        <f>H63*Parameters!$D$29</f>
        <v>0.0</v>
      </c>
      <c r="L63" s="7">
        <f>I63*Parameters!$D$24</f>
        <v>0.0</v>
      </c>
      <c r="M63" s="7">
        <f>J63+K63+L63</f>
        <v>0.0</v>
      </c>
      <c r="N63" s="7">
        <f>C63*Parameters!$D$17+D63*Parameters!$D$18+E63*Parameters!$D$16+I63*Parameters!$D$25+G63*Parameters!$D$30</f>
        <v>0.0</v>
      </c>
      <c r="O63" s="7">
        <f>0</f>
        <v>0</v>
      </c>
      <c r="P63" s="7">
        <f>M63-N63-O63</f>
        <v>0.0</v>
      </c>
      <c r="Q63" s="7">
        <f>0</f>
        <v>0</v>
      </c>
      <c r="R63" s="7">
        <f>P63-Q63</f>
        <v>0.0</v>
      </c>
      <c r="S63" s="7">
        <f>IF(A63&lt;1+Parameters!$D$31,0,INDEX($M$45:$M$80,A63-Parameters!$D$31))</f>
        <v>0.0</v>
      </c>
      <c r="T63" s="7">
        <f>T62+M63-S63</f>
        <v>0.0</v>
      </c>
      <c r="U63" s="7">
        <f>S63-N63-O63-Q63</f>
        <v>0.0</v>
      </c>
      <c r="V63" s="7">
        <f>V62+U63</f>
        <v>1.5999999999999999</v>
      </c>
      <c r="W63" s="7">
        <f>(1-Parameters!$D$7)*(C63-E63)+(1-Parameters!$D$8)*(D63+E63)</f>
        <v>0.0</v>
      </c>
      <c r="X63" s="7">
        <f>Parameters!$D$7*(C63-E63)+Parameters!$D$8*Parameters!$D$9*(D63+E63)</f>
        <v>0.0</v>
      </c>
      <c r="Y63" s="7">
        <f>Parameters!$D$8*(1-Parameters!$D$9)*(D63+E63)</f>
        <v>0.0</v>
      </c>
      <c r="Z63" s="7">
        <f>POWER(1/(1+Parameters!$D$32),A63-1)*(M63-N63)</f>
        <v>0.0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</v>
      </c>
      <c r="E64" s="7">
        <f>Parameters!$D$6*C64</f>
        <v>0.0</v>
      </c>
      <c r="F64" s="7">
        <f>IF(Parameters!$D$5=1,E64,0)</f>
        <v>0.0</v>
      </c>
      <c r="G64" s="7">
        <f>Parameters!$D$27*G63+F64</f>
        <v>0.0</v>
      </c>
      <c r="H64" s="7">
        <f>IF(AND(Parameters!$D$5=1,Parameters!$D$26=1),SUMPRODUCT(--($A$45:A64&lt;A64),--(MOD(A64-$A$45:A64,Parameters!$D$28)=0),$F$45:F64,POWER(Parameters!$D$27,IF(A64-$A$45:A64=0,1,A64-$A$45:A64))),0)</f>
        <v>0.0</v>
      </c>
      <c r="I64" s="7">
        <f>Parameters!$D$23*I63+B64*Parameters!$D$22</f>
        <v>0.0</v>
      </c>
      <c r="J64" s="7">
        <f>E64*Parameters!$D$14*(1-Parameters!$D$15)</f>
        <v>0.0</v>
      </c>
      <c r="K64" s="7">
        <f>H64*Parameters!$D$29</f>
        <v>0.0</v>
      </c>
      <c r="L64" s="7">
        <f>I64*Parameters!$D$24</f>
        <v>0.0</v>
      </c>
      <c r="M64" s="7">
        <f>J64+K64+L64</f>
        <v>0.0</v>
      </c>
      <c r="N64" s="7">
        <f>C64*Parameters!$D$17+D64*Parameters!$D$18+E64*Parameters!$D$16+I64*Parameters!$D$25+G64*Parameters!$D$30</f>
        <v>0.0</v>
      </c>
      <c r="O64" s="7">
        <f>0</f>
        <v>0</v>
      </c>
      <c r="P64" s="7">
        <f>M64-N64-O64</f>
        <v>0.0</v>
      </c>
      <c r="Q64" s="7">
        <f>0</f>
        <v>0</v>
      </c>
      <c r="R64" s="7">
        <f>P64-Q64</f>
        <v>0.0</v>
      </c>
      <c r="S64" s="7">
        <f>IF(A64&lt;1+Parameters!$D$31,0,INDEX($M$45:$M$80,A64-Parameters!$D$31))</f>
        <v>0.0</v>
      </c>
      <c r="T64" s="7">
        <f>T63+M64-S64</f>
        <v>0.0</v>
      </c>
      <c r="U64" s="7">
        <f>S64-N64-O64-Q64</f>
        <v>0.0</v>
      </c>
      <c r="V64" s="7">
        <f>V63+U64</f>
        <v>1.5999999999999999</v>
      </c>
      <c r="W64" s="7">
        <f>(1-Parameters!$D$7)*(C64-E64)+(1-Parameters!$D$8)*(D64+E64)</f>
        <v>0.0</v>
      </c>
      <c r="X64" s="7">
        <f>Parameters!$D$7*(C64-E64)+Parameters!$D$8*Parameters!$D$9*(D64+E64)</f>
        <v>0.0</v>
      </c>
      <c r="Y64" s="7">
        <f>Parameters!$D$8*(1-Parameters!$D$9)*(D64+E64)</f>
        <v>0.0</v>
      </c>
      <c r="Z64" s="7">
        <f>POWER(1/(1+Parameters!$D$32),A64-1)*(M64-N64)</f>
        <v>0.0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</v>
      </c>
      <c r="E65" s="7">
        <f>Parameters!$D$6*C65</f>
        <v>0.0</v>
      </c>
      <c r="F65" s="7">
        <f>IF(Parameters!$D$5=1,E65,0)</f>
        <v>0.0</v>
      </c>
      <c r="G65" s="7">
        <f>Parameters!$D$27*G64+F65</f>
        <v>0.0</v>
      </c>
      <c r="H65" s="7">
        <f>IF(AND(Parameters!$D$5=1,Parameters!$D$26=1),SUMPRODUCT(--($A$45:A65&lt;A65),--(MOD(A65-$A$45:A65,Parameters!$D$28)=0),$F$45:F65,POWER(Parameters!$D$27,IF(A65-$A$45:A65=0,1,A65-$A$45:A65))),0)</f>
        <v>0.0</v>
      </c>
      <c r="I65" s="7">
        <f>Parameters!$D$23*I64+B65*Parameters!$D$22</f>
        <v>0.0</v>
      </c>
      <c r="J65" s="7">
        <f>E65*Parameters!$D$14*(1-Parameters!$D$15)</f>
        <v>0.0</v>
      </c>
      <c r="K65" s="7">
        <f>H65*Parameters!$D$29</f>
        <v>0.0</v>
      </c>
      <c r="L65" s="7">
        <f>I65*Parameters!$D$24</f>
        <v>0.0</v>
      </c>
      <c r="M65" s="7">
        <f>J65+K65+L65</f>
        <v>0.0</v>
      </c>
      <c r="N65" s="7">
        <f>C65*Parameters!$D$17+D65*Parameters!$D$18+E65*Parameters!$D$16+I65*Parameters!$D$25+G65*Parameters!$D$30</f>
        <v>0.0</v>
      </c>
      <c r="O65" s="7">
        <f>0</f>
        <v>0</v>
      </c>
      <c r="P65" s="7">
        <f>M65-N65-O65</f>
        <v>0.0</v>
      </c>
      <c r="Q65" s="7">
        <f>0</f>
        <v>0</v>
      </c>
      <c r="R65" s="7">
        <f>P65-Q65</f>
        <v>0.0</v>
      </c>
      <c r="S65" s="7">
        <f>IF(A65&lt;1+Parameters!$D$31,0,INDEX($M$45:$M$80,A65-Parameters!$D$31))</f>
        <v>0.0</v>
      </c>
      <c r="T65" s="7">
        <f>T64+M65-S65</f>
        <v>0.0</v>
      </c>
      <c r="U65" s="7">
        <f>S65-N65-O65-Q65</f>
        <v>0.0</v>
      </c>
      <c r="V65" s="7">
        <f>V64+U65</f>
        <v>1.5999999999999999</v>
      </c>
      <c r="W65" s="7">
        <f>(1-Parameters!$D$7)*(C65-E65)+(1-Parameters!$D$8)*(D65+E65)</f>
        <v>0.0</v>
      </c>
      <c r="X65" s="7">
        <f>Parameters!$D$7*(C65-E65)+Parameters!$D$8*Parameters!$D$9*(D65+E65)</f>
        <v>0.0</v>
      </c>
      <c r="Y65" s="7">
        <f>Parameters!$D$8*(1-Parameters!$D$9)*(D65+E65)</f>
        <v>0.0</v>
      </c>
      <c r="Z65" s="7">
        <f>POWER(1/(1+Parameters!$D$32),A65-1)*(M65-N65)</f>
        <v>0.0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</v>
      </c>
      <c r="E66" s="7">
        <f>Parameters!$D$6*C66</f>
        <v>0.0</v>
      </c>
      <c r="F66" s="7">
        <f>IF(Parameters!$D$5=1,E66,0)</f>
        <v>0.0</v>
      </c>
      <c r="G66" s="7">
        <f>Parameters!$D$27*G65+F66</f>
        <v>0.0</v>
      </c>
      <c r="H66" s="7">
        <f>IF(AND(Parameters!$D$5=1,Parameters!$D$26=1),SUMPRODUCT(--($A$45:A66&lt;A66),--(MOD(A66-$A$45:A66,Parameters!$D$28)=0),$F$45:F66,POWER(Parameters!$D$27,IF(A66-$A$45:A66=0,1,A66-$A$45:A66))),0)</f>
        <v>0.0</v>
      </c>
      <c r="I66" s="7">
        <f>Parameters!$D$23*I65+B66*Parameters!$D$22</f>
        <v>0.0</v>
      </c>
      <c r="J66" s="7">
        <f>E66*Parameters!$D$14*(1-Parameters!$D$15)</f>
        <v>0.0</v>
      </c>
      <c r="K66" s="7">
        <f>H66*Parameters!$D$29</f>
        <v>0.0</v>
      </c>
      <c r="L66" s="7">
        <f>I66*Parameters!$D$24</f>
        <v>0.0</v>
      </c>
      <c r="M66" s="7">
        <f>J66+K66+L66</f>
        <v>0.0</v>
      </c>
      <c r="N66" s="7">
        <f>C66*Parameters!$D$17+D66*Parameters!$D$18+E66*Parameters!$D$16+I66*Parameters!$D$25+G66*Parameters!$D$30</f>
        <v>0.0</v>
      </c>
      <c r="O66" s="7">
        <f>0</f>
        <v>0</v>
      </c>
      <c r="P66" s="7">
        <f>M66-N66-O66</f>
        <v>0.0</v>
      </c>
      <c r="Q66" s="7">
        <f>0</f>
        <v>0</v>
      </c>
      <c r="R66" s="7">
        <f>P66-Q66</f>
        <v>0.0</v>
      </c>
      <c r="S66" s="7">
        <f>IF(A66&lt;1+Parameters!$D$31,0,INDEX($M$45:$M$80,A66-Parameters!$D$31))</f>
        <v>0.0</v>
      </c>
      <c r="T66" s="7">
        <f>T65+M66-S66</f>
        <v>0.0</v>
      </c>
      <c r="U66" s="7">
        <f>S66-N66-O66-Q66</f>
        <v>0.0</v>
      </c>
      <c r="V66" s="7">
        <f>V65+U66</f>
        <v>1.5999999999999999</v>
      </c>
      <c r="W66" s="7">
        <f>(1-Parameters!$D$7)*(C66-E66)+(1-Parameters!$D$8)*(D66+E66)</f>
        <v>0.0</v>
      </c>
      <c r="X66" s="7">
        <f>Parameters!$D$7*(C66-E66)+Parameters!$D$8*Parameters!$D$9*(D66+E66)</f>
        <v>0.0</v>
      </c>
      <c r="Y66" s="7">
        <f>Parameters!$D$8*(1-Parameters!$D$9)*(D66+E66)</f>
        <v>0.0</v>
      </c>
      <c r="Z66" s="7">
        <f>POWER(1/(1+Parameters!$D$32),A66-1)*(M66-N66)</f>
        <v>0.0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</v>
      </c>
      <c r="E67" s="7">
        <f>Parameters!$D$6*C67</f>
        <v>0.0</v>
      </c>
      <c r="F67" s="7">
        <f>IF(Parameters!$D$5=1,E67,0)</f>
        <v>0.0</v>
      </c>
      <c r="G67" s="7">
        <f>Parameters!$D$27*G66+F67</f>
        <v>0.0</v>
      </c>
      <c r="H67" s="7">
        <f>IF(AND(Parameters!$D$5=1,Parameters!$D$26=1),SUMPRODUCT(--($A$45:A67&lt;A67),--(MOD(A67-$A$45:A67,Parameters!$D$28)=0),$F$45:F67,POWER(Parameters!$D$27,IF(A67-$A$45:A67=0,1,A67-$A$45:A67))),0)</f>
        <v>0.0</v>
      </c>
      <c r="I67" s="7">
        <f>Parameters!$D$23*I66+B67*Parameters!$D$22</f>
        <v>0.0</v>
      </c>
      <c r="J67" s="7">
        <f>E67*Parameters!$D$14*(1-Parameters!$D$15)</f>
        <v>0.0</v>
      </c>
      <c r="K67" s="7">
        <f>H67*Parameters!$D$29</f>
        <v>0.0</v>
      </c>
      <c r="L67" s="7">
        <f>I67*Parameters!$D$24</f>
        <v>0.0</v>
      </c>
      <c r="M67" s="7">
        <f>J67+K67+L67</f>
        <v>0.0</v>
      </c>
      <c r="N67" s="7">
        <f>C67*Parameters!$D$17+D67*Parameters!$D$18+E67*Parameters!$D$16+I67*Parameters!$D$25+G67*Parameters!$D$30</f>
        <v>0.0</v>
      </c>
      <c r="O67" s="7">
        <f>0</f>
        <v>0</v>
      </c>
      <c r="P67" s="7">
        <f>M67-N67-O67</f>
        <v>0.0</v>
      </c>
      <c r="Q67" s="7">
        <f>0</f>
        <v>0</v>
      </c>
      <c r="R67" s="7">
        <f>P67-Q67</f>
        <v>0.0</v>
      </c>
      <c r="S67" s="7">
        <f>IF(A67&lt;1+Parameters!$D$31,0,INDEX($M$45:$M$80,A67-Parameters!$D$31))</f>
        <v>0.0</v>
      </c>
      <c r="T67" s="7">
        <f>T66+M67-S67</f>
        <v>0.0</v>
      </c>
      <c r="U67" s="7">
        <f>S67-N67-O67-Q67</f>
        <v>0.0</v>
      </c>
      <c r="V67" s="7">
        <f>V66+U67</f>
        <v>1.5999999999999999</v>
      </c>
      <c r="W67" s="7">
        <f>(1-Parameters!$D$7)*(C67-E67)+(1-Parameters!$D$8)*(D67+E67)</f>
        <v>0.0</v>
      </c>
      <c r="X67" s="7">
        <f>Parameters!$D$7*(C67-E67)+Parameters!$D$8*Parameters!$D$9*(D67+E67)</f>
        <v>0.0</v>
      </c>
      <c r="Y67" s="7">
        <f>Parameters!$D$8*(1-Parameters!$D$9)*(D67+E67)</f>
        <v>0.0</v>
      </c>
      <c r="Z67" s="7">
        <f>POWER(1/(1+Parameters!$D$32),A67-1)*(M67-N67)</f>
        <v>0.0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</v>
      </c>
      <c r="E68" s="7">
        <f>Parameters!$D$6*C68</f>
        <v>0.0</v>
      </c>
      <c r="F68" s="7">
        <f>IF(Parameters!$D$5=1,E68,0)</f>
        <v>0.0</v>
      </c>
      <c r="G68" s="7">
        <f>Parameters!$D$27*G67+F68</f>
        <v>0.0</v>
      </c>
      <c r="H68" s="7">
        <f>IF(AND(Parameters!$D$5=1,Parameters!$D$26=1),SUMPRODUCT(--($A$45:A68&lt;A68),--(MOD(A68-$A$45:A68,Parameters!$D$28)=0),$F$45:F68,POWER(Parameters!$D$27,IF(A68-$A$45:A68=0,1,A68-$A$45:A68))),0)</f>
        <v>0.0</v>
      </c>
      <c r="I68" s="7">
        <f>Parameters!$D$23*I67+B68*Parameters!$D$22</f>
        <v>0.0</v>
      </c>
      <c r="J68" s="7">
        <f>E68*Parameters!$D$14*(1-Parameters!$D$15)</f>
        <v>0.0</v>
      </c>
      <c r="K68" s="7">
        <f>H68*Parameters!$D$29</f>
        <v>0.0</v>
      </c>
      <c r="L68" s="7">
        <f>I68*Parameters!$D$24</f>
        <v>0.0</v>
      </c>
      <c r="M68" s="7">
        <f>J68+K68+L68</f>
        <v>0.0</v>
      </c>
      <c r="N68" s="7">
        <f>C68*Parameters!$D$17+D68*Parameters!$D$18+E68*Parameters!$D$16+I68*Parameters!$D$25+G68*Parameters!$D$30</f>
        <v>0.0</v>
      </c>
      <c r="O68" s="7">
        <f>0</f>
        <v>0</v>
      </c>
      <c r="P68" s="7">
        <f>M68-N68-O68</f>
        <v>0.0</v>
      </c>
      <c r="Q68" s="7">
        <f>0</f>
        <v>0</v>
      </c>
      <c r="R68" s="7">
        <f>P68-Q68</f>
        <v>0.0</v>
      </c>
      <c r="S68" s="7">
        <f>IF(A68&lt;1+Parameters!$D$31,0,INDEX($M$45:$M$80,A68-Parameters!$D$31))</f>
        <v>0.0</v>
      </c>
      <c r="T68" s="7">
        <f>T67+M68-S68</f>
        <v>0.0</v>
      </c>
      <c r="U68" s="7">
        <f>S68-N68-O68-Q68</f>
        <v>0.0</v>
      </c>
      <c r="V68" s="7">
        <f>V67+U68</f>
        <v>1.5999999999999999</v>
      </c>
      <c r="W68" s="7">
        <f>(1-Parameters!$D$7)*(C68-E68)+(1-Parameters!$D$8)*(D68+E68)</f>
        <v>0.0</v>
      </c>
      <c r="X68" s="7">
        <f>Parameters!$D$7*(C68-E68)+Parameters!$D$8*Parameters!$D$9*(D68+E68)</f>
        <v>0.0</v>
      </c>
      <c r="Y68" s="7">
        <f>Parameters!$D$8*(1-Parameters!$D$9)*(D68+E68)</f>
        <v>0.0</v>
      </c>
      <c r="Z68" s="7">
        <f>POWER(1/(1+Parameters!$D$32),A68-1)*(M68-N68)</f>
        <v>0.0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</v>
      </c>
      <c r="E69" s="7">
        <f>Parameters!$D$6*C69</f>
        <v>0.0</v>
      </c>
      <c r="F69" s="7">
        <f>IF(Parameters!$D$5=1,E69,0)</f>
        <v>0.0</v>
      </c>
      <c r="G69" s="7">
        <f>Parameters!$D$27*G68+F69</f>
        <v>0.0</v>
      </c>
      <c r="H69" s="7">
        <f>IF(AND(Parameters!$D$5=1,Parameters!$D$26=1),SUMPRODUCT(--($A$45:A69&lt;A69),--(MOD(A69-$A$45:A69,Parameters!$D$28)=0),$F$45:F69,POWER(Parameters!$D$27,IF(A69-$A$45:A69=0,1,A69-$A$45:A69))),0)</f>
        <v>0.0</v>
      </c>
      <c r="I69" s="7">
        <f>Parameters!$D$23*I68+B69*Parameters!$D$22</f>
        <v>0.0</v>
      </c>
      <c r="J69" s="7">
        <f>E69*Parameters!$D$14*(1-Parameters!$D$15)</f>
        <v>0.0</v>
      </c>
      <c r="K69" s="7">
        <f>H69*Parameters!$D$29</f>
        <v>0.0</v>
      </c>
      <c r="L69" s="7">
        <f>I69*Parameters!$D$24</f>
        <v>0.0</v>
      </c>
      <c r="M69" s="7">
        <f>J69+K69+L69</f>
        <v>0.0</v>
      </c>
      <c r="N69" s="7">
        <f>C69*Parameters!$D$17+D69*Parameters!$D$18+E69*Parameters!$D$16+I69*Parameters!$D$25+G69*Parameters!$D$30</f>
        <v>0.0</v>
      </c>
      <c r="O69" s="7">
        <f>0</f>
        <v>0</v>
      </c>
      <c r="P69" s="7">
        <f>M69-N69-O69</f>
        <v>0.0</v>
      </c>
      <c r="Q69" s="7">
        <f>0</f>
        <v>0</v>
      </c>
      <c r="R69" s="7">
        <f>P69-Q69</f>
        <v>0.0</v>
      </c>
      <c r="S69" s="7">
        <f>IF(A69&lt;1+Parameters!$D$31,0,INDEX($M$45:$M$80,A69-Parameters!$D$31))</f>
        <v>0.0</v>
      </c>
      <c r="T69" s="7">
        <f>T68+M69-S69</f>
        <v>0.0</v>
      </c>
      <c r="U69" s="7">
        <f>S69-N69-O69-Q69</f>
        <v>0.0</v>
      </c>
      <c r="V69" s="7">
        <f>V68+U69</f>
        <v>1.5999999999999999</v>
      </c>
      <c r="W69" s="7">
        <f>(1-Parameters!$D$7)*(C69-E69)+(1-Parameters!$D$8)*(D69+E69)</f>
        <v>0.0</v>
      </c>
      <c r="X69" s="7">
        <f>Parameters!$D$7*(C69-E69)+Parameters!$D$8*Parameters!$D$9*(D69+E69)</f>
        <v>0.0</v>
      </c>
      <c r="Y69" s="7">
        <f>Parameters!$D$8*(1-Parameters!$D$9)*(D69+E69)</f>
        <v>0.0</v>
      </c>
      <c r="Z69" s="7">
        <f>POWER(1/(1+Parameters!$D$32),A69-1)*(M69-N69)</f>
        <v>0.0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</v>
      </c>
      <c r="E70" s="7">
        <f>Parameters!$D$6*C70</f>
        <v>0.0</v>
      </c>
      <c r="F70" s="7">
        <f>IF(Parameters!$D$5=1,E70,0)</f>
        <v>0.0</v>
      </c>
      <c r="G70" s="7">
        <f>Parameters!$D$27*G69+F70</f>
        <v>0.0</v>
      </c>
      <c r="H70" s="7">
        <f>IF(AND(Parameters!$D$5=1,Parameters!$D$26=1),SUMPRODUCT(--($A$45:A70&lt;A70),--(MOD(A70-$A$45:A70,Parameters!$D$28)=0),$F$45:F70,POWER(Parameters!$D$27,IF(A70-$A$45:A70=0,1,A70-$A$45:A70))),0)</f>
        <v>0.0</v>
      </c>
      <c r="I70" s="7">
        <f>Parameters!$D$23*I69+B70*Parameters!$D$22</f>
        <v>0.0</v>
      </c>
      <c r="J70" s="7">
        <f>E70*Parameters!$D$14*(1-Parameters!$D$15)</f>
        <v>0.0</v>
      </c>
      <c r="K70" s="7">
        <f>H70*Parameters!$D$29</f>
        <v>0.0</v>
      </c>
      <c r="L70" s="7">
        <f>I70*Parameters!$D$24</f>
        <v>0.0</v>
      </c>
      <c r="M70" s="7">
        <f>J70+K70+L70</f>
        <v>0.0</v>
      </c>
      <c r="N70" s="7">
        <f>C70*Parameters!$D$17+D70*Parameters!$D$18+E70*Parameters!$D$16+I70*Parameters!$D$25+G70*Parameters!$D$30</f>
        <v>0.0</v>
      </c>
      <c r="O70" s="7">
        <f>0</f>
        <v>0</v>
      </c>
      <c r="P70" s="7">
        <f>M70-N70-O70</f>
        <v>0.0</v>
      </c>
      <c r="Q70" s="7">
        <f>0</f>
        <v>0</v>
      </c>
      <c r="R70" s="7">
        <f>P70-Q70</f>
        <v>0.0</v>
      </c>
      <c r="S70" s="7">
        <f>IF(A70&lt;1+Parameters!$D$31,0,INDEX($M$45:$M$80,A70-Parameters!$D$31))</f>
        <v>0.0</v>
      </c>
      <c r="T70" s="7">
        <f>T69+M70-S70</f>
        <v>0.0</v>
      </c>
      <c r="U70" s="7">
        <f>S70-N70-O70-Q70</f>
        <v>0.0</v>
      </c>
      <c r="V70" s="7">
        <f>V69+U70</f>
        <v>1.5999999999999999</v>
      </c>
      <c r="W70" s="7">
        <f>(1-Parameters!$D$7)*(C70-E70)+(1-Parameters!$D$8)*(D70+E70)</f>
        <v>0.0</v>
      </c>
      <c r="X70" s="7">
        <f>Parameters!$D$7*(C70-E70)+Parameters!$D$8*Parameters!$D$9*(D70+E70)</f>
        <v>0.0</v>
      </c>
      <c r="Y70" s="7">
        <f>Parameters!$D$8*(1-Parameters!$D$9)*(D70+E70)</f>
        <v>0.0</v>
      </c>
      <c r="Z70" s="7">
        <f>POWER(1/(1+Parameters!$D$32),A70-1)*(M70-N70)</f>
        <v>0.0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</v>
      </c>
      <c r="E71" s="7">
        <f>Parameters!$D$6*C71</f>
        <v>0.0</v>
      </c>
      <c r="F71" s="7">
        <f>IF(Parameters!$D$5=1,E71,0)</f>
        <v>0.0</v>
      </c>
      <c r="G71" s="7">
        <f>Parameters!$D$27*G70+F71</f>
        <v>0.0</v>
      </c>
      <c r="H71" s="7">
        <f>IF(AND(Parameters!$D$5=1,Parameters!$D$26=1),SUMPRODUCT(--($A$45:A71&lt;A71),--(MOD(A71-$A$45:A71,Parameters!$D$28)=0),$F$45:F71,POWER(Parameters!$D$27,IF(A71-$A$45:A71=0,1,A71-$A$45:A71))),0)</f>
        <v>0.0</v>
      </c>
      <c r="I71" s="7">
        <f>Parameters!$D$23*I70+B71*Parameters!$D$22</f>
        <v>0.0</v>
      </c>
      <c r="J71" s="7">
        <f>E71*Parameters!$D$14*(1-Parameters!$D$15)</f>
        <v>0.0</v>
      </c>
      <c r="K71" s="7">
        <f>H71*Parameters!$D$29</f>
        <v>0.0</v>
      </c>
      <c r="L71" s="7">
        <f>I71*Parameters!$D$24</f>
        <v>0.0</v>
      </c>
      <c r="M71" s="7">
        <f>J71+K71+L71</f>
        <v>0.0</v>
      </c>
      <c r="N71" s="7">
        <f>C71*Parameters!$D$17+D71*Parameters!$D$18+E71*Parameters!$D$16+I71*Parameters!$D$25+G71*Parameters!$D$30</f>
        <v>0.0</v>
      </c>
      <c r="O71" s="7">
        <f>0</f>
        <v>0</v>
      </c>
      <c r="P71" s="7">
        <f>M71-N71-O71</f>
        <v>0.0</v>
      </c>
      <c r="Q71" s="7">
        <f>0</f>
        <v>0</v>
      </c>
      <c r="R71" s="7">
        <f>P71-Q71</f>
        <v>0.0</v>
      </c>
      <c r="S71" s="7">
        <f>IF(A71&lt;1+Parameters!$D$31,0,INDEX($M$45:$M$80,A71-Parameters!$D$31))</f>
        <v>0.0</v>
      </c>
      <c r="T71" s="7">
        <f>T70+M71-S71</f>
        <v>0.0</v>
      </c>
      <c r="U71" s="7">
        <f>S71-N71-O71-Q71</f>
        <v>0.0</v>
      </c>
      <c r="V71" s="7">
        <f>V70+U71</f>
        <v>1.5999999999999999</v>
      </c>
      <c r="W71" s="7">
        <f>(1-Parameters!$D$7)*(C71-E71)+(1-Parameters!$D$8)*(D71+E71)</f>
        <v>0.0</v>
      </c>
      <c r="X71" s="7">
        <f>Parameters!$D$7*(C71-E71)+Parameters!$D$8*Parameters!$D$9*(D71+E71)</f>
        <v>0.0</v>
      </c>
      <c r="Y71" s="7">
        <f>Parameters!$D$8*(1-Parameters!$D$9)*(D71+E71)</f>
        <v>0.0</v>
      </c>
      <c r="Z71" s="7">
        <f>POWER(1/(1+Parameters!$D$32),A71-1)*(M71-N71)</f>
        <v>0.0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</v>
      </c>
      <c r="E72" s="7">
        <f>Parameters!$D$6*C72</f>
        <v>0.0</v>
      </c>
      <c r="F72" s="7">
        <f>IF(Parameters!$D$5=1,E72,0)</f>
        <v>0.0</v>
      </c>
      <c r="G72" s="7">
        <f>Parameters!$D$27*G71+F72</f>
        <v>0.0</v>
      </c>
      <c r="H72" s="7">
        <f>IF(AND(Parameters!$D$5=1,Parameters!$D$26=1),SUMPRODUCT(--($A$45:A72&lt;A72),--(MOD(A72-$A$45:A72,Parameters!$D$28)=0),$F$45:F72,POWER(Parameters!$D$27,IF(A72-$A$45:A72=0,1,A72-$A$45:A72))),0)</f>
        <v>0.0</v>
      </c>
      <c r="I72" s="7">
        <f>Parameters!$D$23*I71+B72*Parameters!$D$22</f>
        <v>0.0</v>
      </c>
      <c r="J72" s="7">
        <f>E72*Parameters!$D$14*(1-Parameters!$D$15)</f>
        <v>0.0</v>
      </c>
      <c r="K72" s="7">
        <f>H72*Parameters!$D$29</f>
        <v>0.0</v>
      </c>
      <c r="L72" s="7">
        <f>I72*Parameters!$D$24</f>
        <v>0.0</v>
      </c>
      <c r="M72" s="7">
        <f>J72+K72+L72</f>
        <v>0.0</v>
      </c>
      <c r="N72" s="7">
        <f>C72*Parameters!$D$17+D72*Parameters!$D$18+E72*Parameters!$D$16+I72*Parameters!$D$25+G72*Parameters!$D$30</f>
        <v>0.0</v>
      </c>
      <c r="O72" s="7">
        <f>0</f>
        <v>0</v>
      </c>
      <c r="P72" s="7">
        <f>M72-N72-O72</f>
        <v>0.0</v>
      </c>
      <c r="Q72" s="7">
        <f>0</f>
        <v>0</v>
      </c>
      <c r="R72" s="7">
        <f>P72-Q72</f>
        <v>0.0</v>
      </c>
      <c r="S72" s="7">
        <f>IF(A72&lt;1+Parameters!$D$31,0,INDEX($M$45:$M$80,A72-Parameters!$D$31))</f>
        <v>0.0</v>
      </c>
      <c r="T72" s="7">
        <f>T71+M72-S72</f>
        <v>0.0</v>
      </c>
      <c r="U72" s="7">
        <f>S72-N72-O72-Q72</f>
        <v>0.0</v>
      </c>
      <c r="V72" s="7">
        <f>V71+U72</f>
        <v>1.5999999999999999</v>
      </c>
      <c r="W72" s="7">
        <f>(1-Parameters!$D$7)*(C72-E72)+(1-Parameters!$D$8)*(D72+E72)</f>
        <v>0.0</v>
      </c>
      <c r="X72" s="7">
        <f>Parameters!$D$7*(C72-E72)+Parameters!$D$8*Parameters!$D$9*(D72+E72)</f>
        <v>0.0</v>
      </c>
      <c r="Y72" s="7">
        <f>Parameters!$D$8*(1-Parameters!$D$9)*(D72+E72)</f>
        <v>0.0</v>
      </c>
      <c r="Z72" s="7">
        <f>POWER(1/(1+Parameters!$D$32),A72-1)*(M72-N72)</f>
        <v>0.0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</v>
      </c>
      <c r="E73" s="7">
        <f>Parameters!$D$6*C73</f>
        <v>0.0</v>
      </c>
      <c r="F73" s="7">
        <f>IF(Parameters!$D$5=1,E73,0)</f>
        <v>0.0</v>
      </c>
      <c r="G73" s="7">
        <f>Parameters!$D$27*G72+F73</f>
        <v>0.0</v>
      </c>
      <c r="H73" s="7">
        <f>IF(AND(Parameters!$D$5=1,Parameters!$D$26=1),SUMPRODUCT(--($A$45:A73&lt;A73),--(MOD(A73-$A$45:A73,Parameters!$D$28)=0),$F$45:F73,POWER(Parameters!$D$27,IF(A73-$A$45:A73=0,1,A73-$A$45:A73))),0)</f>
        <v>0.0</v>
      </c>
      <c r="I73" s="7">
        <f>Parameters!$D$23*I72+B73*Parameters!$D$22</f>
        <v>0.0</v>
      </c>
      <c r="J73" s="7">
        <f>E73*Parameters!$D$14*(1-Parameters!$D$15)</f>
        <v>0.0</v>
      </c>
      <c r="K73" s="7">
        <f>H73*Parameters!$D$29</f>
        <v>0.0</v>
      </c>
      <c r="L73" s="7">
        <f>I73*Parameters!$D$24</f>
        <v>0.0</v>
      </c>
      <c r="M73" s="7">
        <f>J73+K73+L73</f>
        <v>0.0</v>
      </c>
      <c r="N73" s="7">
        <f>C73*Parameters!$D$17+D73*Parameters!$D$18+E73*Parameters!$D$16+I73*Parameters!$D$25+G73*Parameters!$D$30</f>
        <v>0.0</v>
      </c>
      <c r="O73" s="7">
        <f>0</f>
        <v>0</v>
      </c>
      <c r="P73" s="7">
        <f>M73-N73-O73</f>
        <v>0.0</v>
      </c>
      <c r="Q73" s="7">
        <f>0</f>
        <v>0</v>
      </c>
      <c r="R73" s="7">
        <f>P73-Q73</f>
        <v>0.0</v>
      </c>
      <c r="S73" s="7">
        <f>IF(A73&lt;1+Parameters!$D$31,0,INDEX($M$45:$M$80,A73-Parameters!$D$31))</f>
        <v>0.0</v>
      </c>
      <c r="T73" s="7">
        <f>T72+M73-S73</f>
        <v>0.0</v>
      </c>
      <c r="U73" s="7">
        <f>S73-N73-O73-Q73</f>
        <v>0.0</v>
      </c>
      <c r="V73" s="7">
        <f>V72+U73</f>
        <v>1.5999999999999999</v>
      </c>
      <c r="W73" s="7">
        <f>(1-Parameters!$D$7)*(C73-E73)+(1-Parameters!$D$8)*(D73+E73)</f>
        <v>0.0</v>
      </c>
      <c r="X73" s="7">
        <f>Parameters!$D$7*(C73-E73)+Parameters!$D$8*Parameters!$D$9*(D73+E73)</f>
        <v>0.0</v>
      </c>
      <c r="Y73" s="7">
        <f>Parameters!$D$8*(1-Parameters!$D$9)*(D73+E73)</f>
        <v>0.0</v>
      </c>
      <c r="Z73" s="7">
        <f>POWER(1/(1+Parameters!$D$32),A73-1)*(M73-N73)</f>
        <v>0.0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</v>
      </c>
      <c r="E74" s="7">
        <f>Parameters!$D$6*C74</f>
        <v>0.0</v>
      </c>
      <c r="F74" s="7">
        <f>IF(Parameters!$D$5=1,E74,0)</f>
        <v>0.0</v>
      </c>
      <c r="G74" s="7">
        <f>Parameters!$D$27*G73+F74</f>
        <v>0.0</v>
      </c>
      <c r="H74" s="7">
        <f>IF(AND(Parameters!$D$5=1,Parameters!$D$26=1),SUMPRODUCT(--($A$45:A74&lt;A74),--(MOD(A74-$A$45:A74,Parameters!$D$28)=0),$F$45:F74,POWER(Parameters!$D$27,IF(A74-$A$45:A74=0,1,A74-$A$45:A74))),0)</f>
        <v>0.0</v>
      </c>
      <c r="I74" s="7">
        <f>Parameters!$D$23*I73+B74*Parameters!$D$22</f>
        <v>0.0</v>
      </c>
      <c r="J74" s="7">
        <f>E74*Parameters!$D$14*(1-Parameters!$D$15)</f>
        <v>0.0</v>
      </c>
      <c r="K74" s="7">
        <f>H74*Parameters!$D$29</f>
        <v>0.0</v>
      </c>
      <c r="L74" s="7">
        <f>I74*Parameters!$D$24</f>
        <v>0.0</v>
      </c>
      <c r="M74" s="7">
        <f>J74+K74+L74</f>
        <v>0.0</v>
      </c>
      <c r="N74" s="7">
        <f>C74*Parameters!$D$17+D74*Parameters!$D$18+E74*Parameters!$D$16+I74*Parameters!$D$25+G74*Parameters!$D$30</f>
        <v>0.0</v>
      </c>
      <c r="O74" s="7">
        <f>0</f>
        <v>0</v>
      </c>
      <c r="P74" s="7">
        <f>M74-N74-O74</f>
        <v>0.0</v>
      </c>
      <c r="Q74" s="7">
        <f>0</f>
        <v>0</v>
      </c>
      <c r="R74" s="7">
        <f>P74-Q74</f>
        <v>0.0</v>
      </c>
      <c r="S74" s="7">
        <f>IF(A74&lt;1+Parameters!$D$31,0,INDEX($M$45:$M$80,A74-Parameters!$D$31))</f>
        <v>0.0</v>
      </c>
      <c r="T74" s="7">
        <f>T73+M74-S74</f>
        <v>0.0</v>
      </c>
      <c r="U74" s="7">
        <f>S74-N74-O74-Q74</f>
        <v>0.0</v>
      </c>
      <c r="V74" s="7">
        <f>V73+U74</f>
        <v>1.5999999999999999</v>
      </c>
      <c r="W74" s="7">
        <f>(1-Parameters!$D$7)*(C74-E74)+(1-Parameters!$D$8)*(D74+E74)</f>
        <v>0.0</v>
      </c>
      <c r="X74" s="7">
        <f>Parameters!$D$7*(C74-E74)+Parameters!$D$8*Parameters!$D$9*(D74+E74)</f>
        <v>0.0</v>
      </c>
      <c r="Y74" s="7">
        <f>Parameters!$D$8*(1-Parameters!$D$9)*(D74+E74)</f>
        <v>0.0</v>
      </c>
      <c r="Z74" s="7">
        <f>POWER(1/(1+Parameters!$D$32),A74-1)*(M74-N74)</f>
        <v>0.0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</v>
      </c>
      <c r="E75" s="7">
        <f>Parameters!$D$6*C75</f>
        <v>0.0</v>
      </c>
      <c r="F75" s="7">
        <f>IF(Parameters!$D$5=1,E75,0)</f>
        <v>0.0</v>
      </c>
      <c r="G75" s="7">
        <f>Parameters!$D$27*G74+F75</f>
        <v>0.0</v>
      </c>
      <c r="H75" s="7">
        <f>IF(AND(Parameters!$D$5=1,Parameters!$D$26=1),SUMPRODUCT(--($A$45:A75&lt;A75),--(MOD(A75-$A$45:A75,Parameters!$D$28)=0),$F$45:F75,POWER(Parameters!$D$27,IF(A75-$A$45:A75=0,1,A75-$A$45:A75))),0)</f>
        <v>0.0</v>
      </c>
      <c r="I75" s="7">
        <f>Parameters!$D$23*I74+B75*Parameters!$D$22</f>
        <v>0.0</v>
      </c>
      <c r="J75" s="7">
        <f>E75*Parameters!$D$14*(1-Parameters!$D$15)</f>
        <v>0.0</v>
      </c>
      <c r="K75" s="7">
        <f>H75*Parameters!$D$29</f>
        <v>0.0</v>
      </c>
      <c r="L75" s="7">
        <f>I75*Parameters!$D$24</f>
        <v>0.0</v>
      </c>
      <c r="M75" s="7">
        <f>J75+K75+L75</f>
        <v>0.0</v>
      </c>
      <c r="N75" s="7">
        <f>C75*Parameters!$D$17+D75*Parameters!$D$18+E75*Parameters!$D$16+I75*Parameters!$D$25+G75*Parameters!$D$30</f>
        <v>0.0</v>
      </c>
      <c r="O75" s="7">
        <f>0</f>
        <v>0</v>
      </c>
      <c r="P75" s="7">
        <f>M75-N75-O75</f>
        <v>0.0</v>
      </c>
      <c r="Q75" s="7">
        <f>0</f>
        <v>0</v>
      </c>
      <c r="R75" s="7">
        <f>P75-Q75</f>
        <v>0.0</v>
      </c>
      <c r="S75" s="7">
        <f>IF(A75&lt;1+Parameters!$D$31,0,INDEX($M$45:$M$80,A75-Parameters!$D$31))</f>
        <v>0.0</v>
      </c>
      <c r="T75" s="7">
        <f>T74+M75-S75</f>
        <v>0.0</v>
      </c>
      <c r="U75" s="7">
        <f>S75-N75-O75-Q75</f>
        <v>0.0</v>
      </c>
      <c r="V75" s="7">
        <f>V74+U75</f>
        <v>1.5999999999999999</v>
      </c>
      <c r="W75" s="7">
        <f>(1-Parameters!$D$7)*(C75-E75)+(1-Parameters!$D$8)*(D75+E75)</f>
        <v>0.0</v>
      </c>
      <c r="X75" s="7">
        <f>Parameters!$D$7*(C75-E75)+Parameters!$D$8*Parameters!$D$9*(D75+E75)</f>
        <v>0.0</v>
      </c>
      <c r="Y75" s="7">
        <f>Parameters!$D$8*(1-Parameters!$D$9)*(D75+E75)</f>
        <v>0.0</v>
      </c>
      <c r="Z75" s="7">
        <f>POWER(1/(1+Parameters!$D$32),A75-1)*(M75-N75)</f>
        <v>0.0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0.0</v>
      </c>
      <c r="E76" s="7">
        <f>Parameters!$D$6*C76</f>
        <v>0.0</v>
      </c>
      <c r="F76" s="7">
        <f>IF(Parameters!$D$5=1,E76,0)</f>
        <v>0.0</v>
      </c>
      <c r="G76" s="7">
        <f>Parameters!$D$27*G75+F76</f>
        <v>0.0</v>
      </c>
      <c r="H76" s="7">
        <f>IF(AND(Parameters!$D$5=1,Parameters!$D$26=1),SUMPRODUCT(--($A$45:A76&lt;A76),--(MOD(A76-$A$45:A76,Parameters!$D$28)=0),$F$45:F76,POWER(Parameters!$D$27,IF(A76-$A$45:A76=0,1,A76-$A$45:A76))),0)</f>
        <v>0.0</v>
      </c>
      <c r="I76" s="7">
        <f>Parameters!$D$23*I75+B76*Parameters!$D$22</f>
        <v>0.0</v>
      </c>
      <c r="J76" s="7">
        <f>E76*Parameters!$D$14*(1-Parameters!$D$15)</f>
        <v>0.0</v>
      </c>
      <c r="K76" s="7">
        <f>H76*Parameters!$D$29</f>
        <v>0.0</v>
      </c>
      <c r="L76" s="7">
        <f>I76*Parameters!$D$24</f>
        <v>0.0</v>
      </c>
      <c r="M76" s="7">
        <f>J76+K76+L76</f>
        <v>0.0</v>
      </c>
      <c r="N76" s="7">
        <f>C76*Parameters!$D$17+D76*Parameters!$D$18+E76*Parameters!$D$16+I76*Parameters!$D$25+G76*Parameters!$D$30</f>
        <v>0.0</v>
      </c>
      <c r="O76" s="7">
        <f>0</f>
        <v>0</v>
      </c>
      <c r="P76" s="7">
        <f>M76-N76-O76</f>
        <v>0.0</v>
      </c>
      <c r="Q76" s="7">
        <f>0</f>
        <v>0</v>
      </c>
      <c r="R76" s="7">
        <f>P76-Q76</f>
        <v>0.0</v>
      </c>
      <c r="S76" s="7">
        <f>IF(A76&lt;1+Parameters!$D$31,0,INDEX($M$45:$M$80,A76-Parameters!$D$31))</f>
        <v>0.0</v>
      </c>
      <c r="T76" s="7">
        <f>T75+M76-S76</f>
        <v>0.0</v>
      </c>
      <c r="U76" s="7">
        <f>S76-N76-O76-Q76</f>
        <v>0.0</v>
      </c>
      <c r="V76" s="7">
        <f>V75+U76</f>
        <v>1.5999999999999999</v>
      </c>
      <c r="W76" s="7">
        <f>(1-Parameters!$D$7)*(C76-E76)+(1-Parameters!$D$8)*(D76+E76)</f>
        <v>0.0</v>
      </c>
      <c r="X76" s="7">
        <f>Parameters!$D$7*(C76-E76)+Parameters!$D$8*Parameters!$D$9*(D76+E76)</f>
        <v>0.0</v>
      </c>
      <c r="Y76" s="7">
        <f>Parameters!$D$8*(1-Parameters!$D$9)*(D76+E76)</f>
        <v>0.0</v>
      </c>
      <c r="Z76" s="7">
        <f>POWER(1/(1+Parameters!$D$32),A76-1)*(M76-N76)</f>
        <v>0.0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0.0</v>
      </c>
      <c r="E77" s="7">
        <f>Parameters!$D$6*C77</f>
        <v>0.0</v>
      </c>
      <c r="F77" s="7">
        <f>IF(Parameters!$D$5=1,E77,0)</f>
        <v>0.0</v>
      </c>
      <c r="G77" s="7">
        <f>Parameters!$D$27*G76+F77</f>
        <v>0.0</v>
      </c>
      <c r="H77" s="7">
        <f>IF(AND(Parameters!$D$5=1,Parameters!$D$26=1),SUMPRODUCT(--($A$45:A77&lt;A77),--(MOD(A77-$A$45:A77,Parameters!$D$28)=0),$F$45:F77,POWER(Parameters!$D$27,IF(A77-$A$45:A77=0,1,A77-$A$45:A77))),0)</f>
        <v>0.0</v>
      </c>
      <c r="I77" s="7">
        <f>Parameters!$D$23*I76+B77*Parameters!$D$22</f>
        <v>0.0</v>
      </c>
      <c r="J77" s="7">
        <f>E77*Parameters!$D$14*(1-Parameters!$D$15)</f>
        <v>0.0</v>
      </c>
      <c r="K77" s="7">
        <f>H77*Parameters!$D$29</f>
        <v>0.0</v>
      </c>
      <c r="L77" s="7">
        <f>I77*Parameters!$D$24</f>
        <v>0.0</v>
      </c>
      <c r="M77" s="7">
        <f>J77+K77+L77</f>
        <v>0.0</v>
      </c>
      <c r="N77" s="7">
        <f>C77*Parameters!$D$17+D77*Parameters!$D$18+E77*Parameters!$D$16+I77*Parameters!$D$25+G77*Parameters!$D$30</f>
        <v>0.0</v>
      </c>
      <c r="O77" s="7">
        <f>0</f>
        <v>0</v>
      </c>
      <c r="P77" s="7">
        <f>M77-N77-O77</f>
        <v>0.0</v>
      </c>
      <c r="Q77" s="7">
        <f>0</f>
        <v>0</v>
      </c>
      <c r="R77" s="7">
        <f>P77-Q77</f>
        <v>0.0</v>
      </c>
      <c r="S77" s="7">
        <f>IF(A77&lt;1+Parameters!$D$31,0,INDEX($M$45:$M$80,A77-Parameters!$D$31))</f>
        <v>0.0</v>
      </c>
      <c r="T77" s="7">
        <f>T76+M77-S77</f>
        <v>0.0</v>
      </c>
      <c r="U77" s="7">
        <f>S77-N77-O77-Q77</f>
        <v>0.0</v>
      </c>
      <c r="V77" s="7">
        <f>V76+U77</f>
        <v>1.5999999999999999</v>
      </c>
      <c r="W77" s="7">
        <f>(1-Parameters!$D$7)*(C77-E77)+(1-Parameters!$D$8)*(D77+E77)</f>
        <v>0.0</v>
      </c>
      <c r="X77" s="7">
        <f>Parameters!$D$7*(C77-E77)+Parameters!$D$8*Parameters!$D$9*(D77+E77)</f>
        <v>0.0</v>
      </c>
      <c r="Y77" s="7">
        <f>Parameters!$D$8*(1-Parameters!$D$9)*(D77+E77)</f>
        <v>0.0</v>
      </c>
      <c r="Z77" s="7">
        <f>POWER(1/(1+Parameters!$D$32),A77-1)*(M77-N77)</f>
        <v>0.0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0.0</v>
      </c>
      <c r="E78" s="7">
        <f>Parameters!$D$6*C78</f>
        <v>0.0</v>
      </c>
      <c r="F78" s="7">
        <f>IF(Parameters!$D$5=1,E78,0)</f>
        <v>0.0</v>
      </c>
      <c r="G78" s="7">
        <f>Parameters!$D$27*G77+F78</f>
        <v>0.0</v>
      </c>
      <c r="H78" s="7">
        <f>IF(AND(Parameters!$D$5=1,Parameters!$D$26=1),SUMPRODUCT(--($A$45:A78&lt;A78),--(MOD(A78-$A$45:A78,Parameters!$D$28)=0),$F$45:F78,POWER(Parameters!$D$27,IF(A78-$A$45:A78=0,1,A78-$A$45:A78))),0)</f>
        <v>0.0</v>
      </c>
      <c r="I78" s="7">
        <f>Parameters!$D$23*I77+B78*Parameters!$D$22</f>
        <v>0.0</v>
      </c>
      <c r="J78" s="7">
        <f>E78*Parameters!$D$14*(1-Parameters!$D$15)</f>
        <v>0.0</v>
      </c>
      <c r="K78" s="7">
        <f>H78*Parameters!$D$29</f>
        <v>0.0</v>
      </c>
      <c r="L78" s="7">
        <f>I78*Parameters!$D$24</f>
        <v>0.0</v>
      </c>
      <c r="M78" s="7">
        <f>J78+K78+L78</f>
        <v>0.0</v>
      </c>
      <c r="N78" s="7">
        <f>C78*Parameters!$D$17+D78*Parameters!$D$18+E78*Parameters!$D$16+I78*Parameters!$D$25+G78*Parameters!$D$30</f>
        <v>0.0</v>
      </c>
      <c r="O78" s="7">
        <f>0</f>
        <v>0</v>
      </c>
      <c r="P78" s="7">
        <f>M78-N78-O78</f>
        <v>0.0</v>
      </c>
      <c r="Q78" s="7">
        <f>0</f>
        <v>0</v>
      </c>
      <c r="R78" s="7">
        <f>P78-Q78</f>
        <v>0.0</v>
      </c>
      <c r="S78" s="7">
        <f>IF(A78&lt;1+Parameters!$D$31,0,INDEX($M$45:$M$80,A78-Parameters!$D$31))</f>
        <v>0.0</v>
      </c>
      <c r="T78" s="7">
        <f>T77+M78-S78</f>
        <v>0.0</v>
      </c>
      <c r="U78" s="7">
        <f>S78-N78-O78-Q78</f>
        <v>0.0</v>
      </c>
      <c r="V78" s="7">
        <f>V77+U78</f>
        <v>1.5999999999999999</v>
      </c>
      <c r="W78" s="7">
        <f>(1-Parameters!$D$7)*(C78-E78)+(1-Parameters!$D$8)*(D78+E78)</f>
        <v>0.0</v>
      </c>
      <c r="X78" s="7">
        <f>Parameters!$D$7*(C78-E78)+Parameters!$D$8*Parameters!$D$9*(D78+E78)</f>
        <v>0.0</v>
      </c>
      <c r="Y78" s="7">
        <f>Parameters!$D$8*(1-Parameters!$D$9)*(D78+E78)</f>
        <v>0.0</v>
      </c>
      <c r="Z78" s="7">
        <f>POWER(1/(1+Parameters!$D$32),A78-1)*(M78-N78)</f>
        <v>0.0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0.0</v>
      </c>
      <c r="E79" s="7">
        <f>Parameters!$D$6*C79</f>
        <v>0.0</v>
      </c>
      <c r="F79" s="7">
        <f>IF(Parameters!$D$5=1,E79,0)</f>
        <v>0.0</v>
      </c>
      <c r="G79" s="7">
        <f>Parameters!$D$27*G78+F79</f>
        <v>0.0</v>
      </c>
      <c r="H79" s="7">
        <f>IF(AND(Parameters!$D$5=1,Parameters!$D$26=1),SUMPRODUCT(--($A$45:A79&lt;A79),--(MOD(A79-$A$45:A79,Parameters!$D$28)=0),$F$45:F79,POWER(Parameters!$D$27,IF(A79-$A$45:A79=0,1,A79-$A$45:A79))),0)</f>
        <v>0.0</v>
      </c>
      <c r="I79" s="7">
        <f>Parameters!$D$23*I78+B79*Parameters!$D$22</f>
        <v>0.0</v>
      </c>
      <c r="J79" s="7">
        <f>E79*Parameters!$D$14*(1-Parameters!$D$15)</f>
        <v>0.0</v>
      </c>
      <c r="K79" s="7">
        <f>H79*Parameters!$D$29</f>
        <v>0.0</v>
      </c>
      <c r="L79" s="7">
        <f>I79*Parameters!$D$24</f>
        <v>0.0</v>
      </c>
      <c r="M79" s="7">
        <f>J79+K79+L79</f>
        <v>0.0</v>
      </c>
      <c r="N79" s="7">
        <f>C79*Parameters!$D$17+D79*Parameters!$D$18+E79*Parameters!$D$16+I79*Parameters!$D$25+G79*Parameters!$D$30</f>
        <v>0.0</v>
      </c>
      <c r="O79" s="7">
        <f>0</f>
        <v>0</v>
      </c>
      <c r="P79" s="7">
        <f>M79-N79-O79</f>
        <v>0.0</v>
      </c>
      <c r="Q79" s="7">
        <f>0</f>
        <v>0</v>
      </c>
      <c r="R79" s="7">
        <f>P79-Q79</f>
        <v>0.0</v>
      </c>
      <c r="S79" s="7">
        <f>IF(A79&lt;1+Parameters!$D$31,0,INDEX($M$45:$M$80,A79-Parameters!$D$31))</f>
        <v>0.0</v>
      </c>
      <c r="T79" s="7">
        <f>T78+M79-S79</f>
        <v>0.0</v>
      </c>
      <c r="U79" s="7">
        <f>S79-N79-O79-Q79</f>
        <v>0.0</v>
      </c>
      <c r="V79" s="7">
        <f>V78+U79</f>
        <v>1.5999999999999999</v>
      </c>
      <c r="W79" s="7">
        <f>(1-Parameters!$D$7)*(C79-E79)+(1-Parameters!$D$8)*(D79+E79)</f>
        <v>0.0</v>
      </c>
      <c r="X79" s="7">
        <f>Parameters!$D$7*(C79-E79)+Parameters!$D$8*Parameters!$D$9*(D79+E79)</f>
        <v>0.0</v>
      </c>
      <c r="Y79" s="7">
        <f>Parameters!$D$8*(1-Parameters!$D$9)*(D79+E79)</f>
        <v>0.0</v>
      </c>
      <c r="Z79" s="7">
        <f>POWER(1/(1+Parameters!$D$32),A79-1)*(M79-N79)</f>
        <v>0.0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0.0</v>
      </c>
      <c r="E80" s="7">
        <f>Parameters!$D$6*C80</f>
        <v>0.0</v>
      </c>
      <c r="F80" s="7">
        <f>IF(Parameters!$D$5=1,E80,0)</f>
        <v>0.0</v>
      </c>
      <c r="G80" s="7">
        <f>Parameters!$D$27*G79+F80</f>
        <v>0.0</v>
      </c>
      <c r="H80" s="7">
        <f>IF(AND(Parameters!$D$5=1,Parameters!$D$26=1),SUMPRODUCT(--($A$45:A80&lt;A80),--(MOD(A80-$A$45:A80,Parameters!$D$28)=0),$F$45:F80,POWER(Parameters!$D$27,IF(A80-$A$45:A80=0,1,A80-$A$45:A80))),0)</f>
        <v>0.0</v>
      </c>
      <c r="I80" s="7">
        <f>Parameters!$D$23*I79+B80*Parameters!$D$22</f>
        <v>0.0</v>
      </c>
      <c r="J80" s="7">
        <f>E80*Parameters!$D$14*(1-Parameters!$D$15)</f>
        <v>0.0</v>
      </c>
      <c r="K80" s="7">
        <f>H80*Parameters!$D$29</f>
        <v>0.0</v>
      </c>
      <c r="L80" s="7">
        <f>I80*Parameters!$D$24</f>
        <v>0.0</v>
      </c>
      <c r="M80" s="7">
        <f>J80+K80+L80</f>
        <v>0.0</v>
      </c>
      <c r="N80" s="7">
        <f>C80*Parameters!$D$17+D80*Parameters!$D$18+E80*Parameters!$D$16+I80*Parameters!$D$25+G80*Parameters!$D$30</f>
        <v>0.0</v>
      </c>
      <c r="O80" s="7">
        <f>0</f>
        <v>0</v>
      </c>
      <c r="P80" s="7">
        <f>M80-N80-O80</f>
        <v>0.0</v>
      </c>
      <c r="Q80" s="7">
        <f>0</f>
        <v>0</v>
      </c>
      <c r="R80" s="7">
        <f>P80-Q80</f>
        <v>0.0</v>
      </c>
      <c r="S80" s="7">
        <f>IF(A80&lt;1+Parameters!$D$31,0,INDEX($M$45:$M$80,A80-Parameters!$D$31))</f>
        <v>0.0</v>
      </c>
      <c r="T80" s="7">
        <f>T79+M80-S80</f>
        <v>0.0</v>
      </c>
      <c r="U80" s="7">
        <f>S80-N80-O80-Q80</f>
        <v>0.0</v>
      </c>
      <c r="V80" s="7">
        <f>V79+U80</f>
        <v>1.5999999999999999</v>
      </c>
      <c r="W80" s="7">
        <f>(1-Parameters!$D$7)*(C80-E80)+(1-Parameters!$D$8)*(D80+E80)</f>
        <v>0.0</v>
      </c>
      <c r="X80" s="7">
        <f>Parameters!$D$7*(C80-E80)+Parameters!$D$8*Parameters!$D$9*(D80+E80)</f>
        <v>0.0</v>
      </c>
      <c r="Y80" s="7">
        <f>Parameters!$D$8*(1-Parameters!$D$9)*(D80+E80)</f>
        <v>0.0</v>
      </c>
      <c r="Z80" s="7">
        <f>POWER(1/(1+Parameters!$D$32),A80-1)*(M80-N80)</f>
        <v>0.0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95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179</v>
      </c>
      <c r="V4" s="4" t="s">
        <v>180</v>
      </c>
      <c r="W4" s="4" t="s">
        <v>181</v>
      </c>
      <c r="X4" s="4" t="s">
        <v>182</v>
      </c>
      <c r="Y4" s="4" t="s">
        <v>183</v>
      </c>
      <c r="Z4" s="4" t="s">
        <v>184</v>
      </c>
    </row>
    <row r="5" spans="1:26">
      <c r="A5" s="7">
        <v>1</v>
      </c>
      <c r="B5" s="7">
        <f>Parameters!$E$20</f>
        <v>1000</v>
      </c>
      <c r="C5" s="7">
        <f>B5</f>
        <v>1000</v>
      </c>
      <c r="D5" s="7">
        <f>0</f>
        <v>0.0</v>
      </c>
      <c r="E5" s="7">
        <f>Parameters!$E$6*C5</f>
        <v>100.0</v>
      </c>
      <c r="F5" s="7">
        <f>IF(Parameters!$E$5=1,E5,0)</f>
        <v>0.0</v>
      </c>
      <c r="G5" s="7">
        <f>F5</f>
        <v>0.0</v>
      </c>
      <c r="H5" s="7">
        <f>IF(AND(Parameters!$E$5=1,Parameters!$E$26=1),SUMPRODUCT(--($A$5:A5&lt;A5),--(MOD(A5-$A$5:A5,Parameters!$E$28)=0),$F$5:F5,POWER(Parameters!$E$27,IF(A5-$A$5:A5=0,1,A5-$A$5:A5))),0)</f>
        <v>0.0</v>
      </c>
      <c r="I5" s="7">
        <f>B5*Parameters!$E$22</f>
        <v>0.0</v>
      </c>
      <c r="J5" s="7">
        <f>E5*Parameters!$E$14*(1-Parameters!$E$15)</f>
        <v>1900.0</v>
      </c>
      <c r="K5" s="7">
        <f>H5*Parameters!$E$29</f>
        <v>0.0</v>
      </c>
      <c r="L5" s="7">
        <f>I5*Parameters!$E$24</f>
        <v>0.0</v>
      </c>
      <c r="M5" s="7">
        <f>J5+K5+L5</f>
        <v>1900.0</v>
      </c>
      <c r="N5" s="7">
        <f>C5*Parameters!$E$17+D5*Parameters!$E$18+E5*Parameters!$E$16+I5*Parameters!$E$25+G5*Parameters!$E$30</f>
        <v>300.0</v>
      </c>
      <c r="O5" s="7">
        <f>B5*Parameters!$E$19</f>
        <v>4000</v>
      </c>
      <c r="P5" s="7">
        <f>M5-N5-O5</f>
        <v>-2400.0</v>
      </c>
      <c r="Q5" s="7">
        <f>Parameters!$E$21</f>
        <v>1000</v>
      </c>
      <c r="R5" s="7">
        <f>P5-Q5</f>
        <v>-3400.0</v>
      </c>
      <c r="S5" s="7">
        <f>IF(A5&lt;1+Parameters!$E$31,0,INDEX($M$5:$M$40,A5-Parameters!$E$31))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(1-Parameters!$E$7)*(C5-E5)+(1-Parameters!$E$8)*(D5+E5)</f>
        <v>920.0</v>
      </c>
      <c r="X5" s="7">
        <f>Parameters!$E$7*(C5-E5)+Parameters!$E$8*Parameters!$E$9*(D5+E5)</f>
        <v>0.0</v>
      </c>
      <c r="Y5" s="7">
        <f>Parameters!$E$8*(1-Parameters!$E$9)*(D5+E5)</f>
        <v>80.0</v>
      </c>
      <c r="Z5" s="7">
        <f>POWER(1/(1+Parameters!$E$32),A5-1)*(M5-N5)</f>
        <v>1600.0</v>
      </c>
    </row>
    <row r="6" spans="1:26">
      <c r="A6" s="7">
        <v>2</v>
      </c>
      <c r="B6" s="7">
        <f>Parameters!$E$20</f>
        <v>1000</v>
      </c>
      <c r="C6" s="7">
        <f>X5+B6</f>
        <v>1000.0</v>
      </c>
      <c r="D6" s="7">
        <f>Y5</f>
        <v>80.00000000000001</v>
      </c>
      <c r="E6" s="7">
        <f>Parameters!$E$6*C6</f>
        <v>100.0</v>
      </c>
      <c r="F6" s="7">
        <f>IF(Parameters!$E$5=1,E6,0)</f>
        <v>0.0</v>
      </c>
      <c r="G6" s="7">
        <f>Parameters!$E$27*G5+F6</f>
        <v>0.0</v>
      </c>
      <c r="H6" s="7">
        <f>IF(AND(Parameters!$E$5=1,Parameters!$E$26=1),SUMPRODUCT(--($A$5:A6&lt;A6),--(MOD(A6-$A$5:A6,Parameters!$E$28)=0),$F$5:F6,POWER(Parameters!$E$27,IF(A6-$A$5:A6=0,1,A6-$A$5:A6))),0)</f>
        <v>0.0</v>
      </c>
      <c r="I6" s="7">
        <f>Parameters!$E$23*I5+B6*Parameters!$E$22</f>
        <v>0.0</v>
      </c>
      <c r="J6" s="7">
        <f>E6*Parameters!$E$14*(1-Parameters!$E$15)</f>
        <v>1900.0</v>
      </c>
      <c r="K6" s="7">
        <f>H6*Parameters!$E$29</f>
        <v>0.0</v>
      </c>
      <c r="L6" s="7">
        <f>I6*Parameters!$E$24</f>
        <v>0.0</v>
      </c>
      <c r="M6" s="7">
        <f>J6+K6+L6</f>
        <v>1900.0</v>
      </c>
      <c r="N6" s="7">
        <f>C6*Parameters!$E$17+D6*Parameters!$E$18+E6*Parameters!$E$16+I6*Parameters!$E$25+G6*Parameters!$E$30</f>
        <v>324.0</v>
      </c>
      <c r="O6" s="7">
        <f>B6*Parameters!$E$19</f>
        <v>4000</v>
      </c>
      <c r="P6" s="7">
        <f>M6-N6-O6</f>
        <v>-2424.0</v>
      </c>
      <c r="Q6" s="7">
        <f>Parameters!$E$21</f>
        <v>1000</v>
      </c>
      <c r="R6" s="7">
        <f>P6-Q6</f>
        <v>-3424.0</v>
      </c>
      <c r="S6" s="7">
        <f>IF(A6&lt;1+Parameters!$E$31,0,INDEX($M$5:$M$40,A6-Parameters!$E$31))</f>
        <v>1900.0</v>
      </c>
      <c r="T6" s="7">
        <f>T5+M6-S6</f>
        <v>1900.0</v>
      </c>
      <c r="U6" s="7">
        <f>S6-N6-O6-Q6</f>
        <v>-3424.0</v>
      </c>
      <c r="V6" s="7">
        <f>V5+U6</f>
        <v>-8724.0</v>
      </c>
      <c r="W6" s="7">
        <f>(1-Parameters!$E$7)*(C6-E6)+(1-Parameters!$E$8)*(D6+E6)</f>
        <v>936.0</v>
      </c>
      <c r="X6" s="7">
        <f>Parameters!$E$7*(C6-E6)+Parameters!$E$8*Parameters!$E$9*(D6+E6)</f>
        <v>0.0</v>
      </c>
      <c r="Y6" s="7">
        <f>Parameters!$E$8*(1-Parameters!$E$9)*(D6+E6)</f>
        <v>144.0</v>
      </c>
      <c r="Z6" s="7">
        <f>POWER(1/(1+Parameters!$E$32),A6-1)*(M6-N6)</f>
        <v>1560.3960396039604</v>
      </c>
    </row>
    <row r="7" spans="1:26">
      <c r="A7" s="7">
        <v>3</v>
      </c>
      <c r="B7" s="7">
        <f>Parameters!$E$20</f>
        <v>1000</v>
      </c>
      <c r="C7" s="7">
        <f>X6+B7</f>
        <v>1000.0</v>
      </c>
      <c r="D7" s="7">
        <f>Y6</f>
        <v>144.00000000000003</v>
      </c>
      <c r="E7" s="7">
        <f>Parameters!$E$6*C7</f>
        <v>100.0</v>
      </c>
      <c r="F7" s="7">
        <f>IF(Parameters!$E$5=1,E7,0)</f>
        <v>0.0</v>
      </c>
      <c r="G7" s="7">
        <f>Parameters!$E$27*G6+F7</f>
        <v>0.0</v>
      </c>
      <c r="H7" s="7">
        <f>IF(AND(Parameters!$E$5=1,Parameters!$E$26=1),SUMPRODUCT(--($A$5:A7&lt;A7),--(MOD(A7-$A$5:A7,Parameters!$E$28)=0),$F$5:F7,POWER(Parameters!$E$27,IF(A7-$A$5:A7=0,1,A7-$A$5:A7))),0)</f>
        <v>0.0</v>
      </c>
      <c r="I7" s="7">
        <f>Parameters!$E$23*I6+B7*Parameters!$E$22</f>
        <v>0.0</v>
      </c>
      <c r="J7" s="7">
        <f>E7*Parameters!$E$14*(1-Parameters!$E$15)</f>
        <v>1900.0</v>
      </c>
      <c r="K7" s="7">
        <f>H7*Parameters!$E$29</f>
        <v>0.0</v>
      </c>
      <c r="L7" s="7">
        <f>I7*Parameters!$E$24</f>
        <v>0.0</v>
      </c>
      <c r="M7" s="7">
        <f>J7+K7+L7</f>
        <v>1900.0</v>
      </c>
      <c r="N7" s="7">
        <f>C7*Parameters!$E$17+D7*Parameters!$E$18+E7*Parameters!$E$16+I7*Parameters!$E$25+G7*Parameters!$E$30</f>
        <v>343.20000000000005</v>
      </c>
      <c r="O7" s="7">
        <f>B7*Parameters!$E$19</f>
        <v>4000</v>
      </c>
      <c r="P7" s="7">
        <f>M7-N7-O7</f>
        <v>-2443.2</v>
      </c>
      <c r="Q7" s="7">
        <f>Parameters!$E$21</f>
        <v>1000</v>
      </c>
      <c r="R7" s="7">
        <f>P7-Q7</f>
        <v>-3443.2</v>
      </c>
      <c r="S7" s="7">
        <f>IF(A7&lt;1+Parameters!$E$31,0,INDEX($M$5:$M$40,A7-Parameters!$E$31))</f>
        <v>1900.0</v>
      </c>
      <c r="T7" s="7">
        <f>T6+M7-S7</f>
        <v>1900.0</v>
      </c>
      <c r="U7" s="7">
        <f>S7-N7-O7-Q7</f>
        <v>-3443.2</v>
      </c>
      <c r="V7" s="7">
        <f>V6+U7</f>
        <v>-12167.2</v>
      </c>
      <c r="W7" s="7">
        <f>(1-Parameters!$E$7)*(C7-E7)+(1-Parameters!$E$8)*(D7+E7)</f>
        <v>948.8</v>
      </c>
      <c r="X7" s="7">
        <f>Parameters!$E$7*(C7-E7)+Parameters!$E$8*Parameters!$E$9*(D7+E7)</f>
        <v>0.0</v>
      </c>
      <c r="Y7" s="7">
        <f>Parameters!$E$8*(1-Parameters!$E$9)*(D7+E7)</f>
        <v>195.20000000000005</v>
      </c>
      <c r="Z7" s="7">
        <f>POWER(1/(1+Parameters!$E$32),A7-1)*(M7-N7)</f>
        <v>1526.1248897166943</v>
      </c>
    </row>
    <row r="8" spans="1:26">
      <c r="A8" s="7">
        <v>4</v>
      </c>
      <c r="B8" s="7">
        <f>Parameters!$E$20</f>
        <v>1000</v>
      </c>
      <c r="C8" s="7">
        <f>X7+B8</f>
        <v>1000.0</v>
      </c>
      <c r="D8" s="7">
        <f>Y7</f>
        <v>195.20000000000005</v>
      </c>
      <c r="E8" s="7">
        <f>Parameters!$E$6*C8</f>
        <v>100.0</v>
      </c>
      <c r="F8" s="7">
        <f>IF(Parameters!$E$5=1,E8,0)</f>
        <v>0.0</v>
      </c>
      <c r="G8" s="7">
        <f>Parameters!$E$27*G7+F8</f>
        <v>0.0</v>
      </c>
      <c r="H8" s="7">
        <f>IF(AND(Parameters!$E$5=1,Parameters!$E$26=1),SUMPRODUCT(--($A$5:A8&lt;A8),--(MOD(A8-$A$5:A8,Parameters!$E$28)=0),$F$5:F8,POWER(Parameters!$E$27,IF(A8-$A$5:A8=0,1,A8-$A$5:A8))),0)</f>
        <v>0.0</v>
      </c>
      <c r="I8" s="7">
        <f>Parameters!$E$23*I7+B8*Parameters!$E$22</f>
        <v>0.0</v>
      </c>
      <c r="J8" s="7">
        <f>E8*Parameters!$E$14*(1-Parameters!$E$15)</f>
        <v>1900.0</v>
      </c>
      <c r="K8" s="7">
        <f>H8*Parameters!$E$29</f>
        <v>0.0</v>
      </c>
      <c r="L8" s="7">
        <f>I8*Parameters!$E$24</f>
        <v>0.0</v>
      </c>
      <c r="M8" s="7">
        <f>J8+K8+L8</f>
        <v>1900.0</v>
      </c>
      <c r="N8" s="7">
        <f>C8*Parameters!$E$17+D8*Parameters!$E$18+E8*Parameters!$E$16+I8*Parameters!$E$25+G8*Parameters!$E$30</f>
        <v>358.56</v>
      </c>
      <c r="O8" s="7">
        <f>B8*Parameters!$E$19</f>
        <v>4000</v>
      </c>
      <c r="P8" s="7">
        <f>M8-N8-O8</f>
        <v>-2458.56</v>
      </c>
      <c r="Q8" s="7">
        <f>Parameters!$E$21</f>
        <v>1000</v>
      </c>
      <c r="R8" s="7">
        <f>P8-Q8</f>
        <v>-3458.56</v>
      </c>
      <c r="S8" s="7">
        <f>IF(A8&lt;1+Parameters!$E$31,0,INDEX($M$5:$M$40,A8-Parameters!$E$31))</f>
        <v>1900.0</v>
      </c>
      <c r="T8" s="7">
        <f>T7+M8-S8</f>
        <v>1900.0</v>
      </c>
      <c r="U8" s="7">
        <f>S8-N8-O8-Q8</f>
        <v>-3458.56</v>
      </c>
      <c r="V8" s="7">
        <f>V7+U8</f>
        <v>-15625.76</v>
      </c>
      <c r="W8" s="7">
        <f>(1-Parameters!$E$7)*(C8-E8)+(1-Parameters!$E$8)*(D8+E8)</f>
        <v>959.04</v>
      </c>
      <c r="X8" s="7">
        <f>Parameters!$E$7*(C8-E8)+Parameters!$E$8*Parameters!$E$9*(D8+E8)</f>
        <v>0.0</v>
      </c>
      <c r="Y8" s="7">
        <f>Parameters!$E$8*(1-Parameters!$E$9)*(D8+E8)</f>
        <v>236.16000000000005</v>
      </c>
      <c r="Z8" s="7">
        <f>POWER(1/(1+Parameters!$E$32),A8-1)*(M8-N8)</f>
        <v>1496.1064776215883</v>
      </c>
    </row>
    <row r="9" spans="1:26">
      <c r="A9" s="7">
        <v>5</v>
      </c>
      <c r="B9" s="7">
        <f>Parameters!$E$20</f>
        <v>1000</v>
      </c>
      <c r="C9" s="7">
        <f>X8+B9</f>
        <v>1000.0</v>
      </c>
      <c r="D9" s="7">
        <f>Y8</f>
        <v>236.16000000000005</v>
      </c>
      <c r="E9" s="7">
        <f>Parameters!$E$6*C9</f>
        <v>100.0</v>
      </c>
      <c r="F9" s="7">
        <f>IF(Parameters!$E$5=1,E9,0)</f>
        <v>0.0</v>
      </c>
      <c r="G9" s="7">
        <f>Parameters!$E$27*G8+F9</f>
        <v>0.0</v>
      </c>
      <c r="H9" s="7">
        <f>IF(AND(Parameters!$E$5=1,Parameters!$E$26=1),SUMPRODUCT(--($A$5:A9&lt;A9),--(MOD(A9-$A$5:A9,Parameters!$E$28)=0),$F$5:F9,POWER(Parameters!$E$27,IF(A9-$A$5:A9=0,1,A9-$A$5:A9))),0)</f>
        <v>0.0</v>
      </c>
      <c r="I9" s="7">
        <f>Parameters!$E$23*I8+B9*Parameters!$E$22</f>
        <v>0.0</v>
      </c>
      <c r="J9" s="7">
        <f>E9*Parameters!$E$14*(1-Parameters!$E$15)</f>
        <v>1900.0</v>
      </c>
      <c r="K9" s="7">
        <f>H9*Parameters!$E$29</f>
        <v>0.0</v>
      </c>
      <c r="L9" s="7">
        <f>I9*Parameters!$E$24</f>
        <v>0.0</v>
      </c>
      <c r="M9" s="7">
        <f>J9+K9+L9</f>
        <v>1900.0</v>
      </c>
      <c r="N9" s="7">
        <f>C9*Parameters!$E$17+D9*Parameters!$E$18+E9*Parameters!$E$16+I9*Parameters!$E$25+G9*Parameters!$E$30</f>
        <v>370.848</v>
      </c>
      <c r="O9" s="7">
        <f>B9*Parameters!$E$19</f>
        <v>4000</v>
      </c>
      <c r="P9" s="7">
        <f>M9-N9-O9</f>
        <v>-2470.848</v>
      </c>
      <c r="Q9" s="7">
        <f>Parameters!$E$21</f>
        <v>1000</v>
      </c>
      <c r="R9" s="7">
        <f>P9-Q9</f>
        <v>-3470.848</v>
      </c>
      <c r="S9" s="7">
        <f>IF(A9&lt;1+Parameters!$E$31,0,INDEX($M$5:$M$40,A9-Parameters!$E$31))</f>
        <v>1900.0</v>
      </c>
      <c r="T9" s="7">
        <f>T8+M9-S9</f>
        <v>1900.0</v>
      </c>
      <c r="U9" s="7">
        <f>S9-N9-O9-Q9</f>
        <v>-3470.848</v>
      </c>
      <c r="V9" s="7">
        <f>V8+U9</f>
        <v>-19096.608</v>
      </c>
      <c r="W9" s="7">
        <f>(1-Parameters!$E$7)*(C9-E9)+(1-Parameters!$E$8)*(D9+E9)</f>
        <v>967.232</v>
      </c>
      <c r="X9" s="7">
        <f>Parameters!$E$7*(C9-E9)+Parameters!$E$8*Parameters!$E$9*(D9+E9)</f>
        <v>0.0</v>
      </c>
      <c r="Y9" s="7">
        <f>Parameters!$E$8*(1-Parameters!$E$9)*(D9+E9)</f>
        <v>268.92800000000005</v>
      </c>
      <c r="Z9" s="7">
        <f>POWER(1/(1+Parameters!$E$32),A9-1)*(M9-N9)</f>
        <v>1469.4850157265873</v>
      </c>
    </row>
    <row r="10" spans="1:26">
      <c r="A10" s="7">
        <v>6</v>
      </c>
      <c r="B10" s="7">
        <f>Parameters!$E$20</f>
        <v>1000</v>
      </c>
      <c r="C10" s="7">
        <f>X9+B10</f>
        <v>1000.0</v>
      </c>
      <c r="D10" s="7">
        <f>Y9</f>
        <v>268.92800000000005</v>
      </c>
      <c r="E10" s="7">
        <f>Parameters!$E$6*C10</f>
        <v>100.0</v>
      </c>
      <c r="F10" s="7">
        <f>IF(Parameters!$E$5=1,E10,0)</f>
        <v>0.0</v>
      </c>
      <c r="G10" s="7">
        <f>Parameters!$E$27*G9+F10</f>
        <v>0.0</v>
      </c>
      <c r="H10" s="7">
        <f>IF(AND(Parameters!$E$5=1,Parameters!$E$26=1),SUMPRODUCT(--($A$5:A10&lt;A10),--(MOD(A10-$A$5:A10,Parameters!$E$28)=0),$F$5:F10,POWER(Parameters!$E$27,IF(A10-$A$5:A10=0,1,A10-$A$5:A10))),0)</f>
        <v>0.0</v>
      </c>
      <c r="I10" s="7">
        <f>Parameters!$E$23*I9+B10*Parameters!$E$22</f>
        <v>0.0</v>
      </c>
      <c r="J10" s="7">
        <f>E10*Parameters!$E$14*(1-Parameters!$E$15)</f>
        <v>1900.0</v>
      </c>
      <c r="K10" s="7">
        <f>H10*Parameters!$E$29</f>
        <v>0.0</v>
      </c>
      <c r="L10" s="7">
        <f>I10*Parameters!$E$24</f>
        <v>0.0</v>
      </c>
      <c r="M10" s="7">
        <f>J10+K10+L10</f>
        <v>1900.0</v>
      </c>
      <c r="N10" s="7">
        <f>C10*Parameters!$E$17+D10*Parameters!$E$18+E10*Parameters!$E$16+I10*Parameters!$E$25+G10*Parameters!$E$30</f>
        <v>380.6784</v>
      </c>
      <c r="O10" s="7">
        <f>B10*Parameters!$E$19</f>
        <v>4000</v>
      </c>
      <c r="P10" s="7">
        <f>M10-N10-O10</f>
        <v>-2480.6784</v>
      </c>
      <c r="Q10" s="7">
        <f>Parameters!$E$21</f>
        <v>1000</v>
      </c>
      <c r="R10" s="7">
        <f>P10-Q10</f>
        <v>-3480.6784</v>
      </c>
      <c r="S10" s="7">
        <f>IF(A10&lt;1+Parameters!$E$31,0,INDEX($M$5:$M$40,A10-Parameters!$E$31))</f>
        <v>1900.0</v>
      </c>
      <c r="T10" s="7">
        <f>T9+M10-S10</f>
        <v>1900.0</v>
      </c>
      <c r="U10" s="7">
        <f>S10-N10-O10-Q10</f>
        <v>-3480.6784</v>
      </c>
      <c r="V10" s="7">
        <f>V9+U10</f>
        <v>-22577.2864</v>
      </c>
      <c r="W10" s="7">
        <f>(1-Parameters!$E$7)*(C10-E10)+(1-Parameters!$E$8)*(D10+E10)</f>
        <v>973.7856</v>
      </c>
      <c r="X10" s="7">
        <f>Parameters!$E$7*(C10-E10)+Parameters!$E$8*Parameters!$E$9*(D10+E10)</f>
        <v>0.0</v>
      </c>
      <c r="Y10" s="7">
        <f>Parameters!$E$8*(1-Parameters!$E$9)*(D10+E10)</f>
        <v>295.14240000000007</v>
      </c>
      <c r="Z10" s="7">
        <f>POWER(1/(1+Parameters!$E$32),A10-1)*(M10-N10)</f>
        <v>1445.5823708397857</v>
      </c>
    </row>
    <row r="11" spans="1:26">
      <c r="A11" s="7">
        <v>7</v>
      </c>
      <c r="B11" s="7">
        <f>Parameters!$E$20</f>
        <v>1000</v>
      </c>
      <c r="C11" s="7">
        <f>X10+B11</f>
        <v>1000.0</v>
      </c>
      <c r="D11" s="7">
        <f>Y10</f>
        <v>295.14240000000007</v>
      </c>
      <c r="E11" s="7">
        <f>Parameters!$E$6*C11</f>
        <v>100.0</v>
      </c>
      <c r="F11" s="7">
        <f>IF(Parameters!$E$5=1,E11,0)</f>
        <v>0.0</v>
      </c>
      <c r="G11" s="7">
        <f>Parameters!$E$27*G10+F11</f>
        <v>0.0</v>
      </c>
      <c r="H11" s="7">
        <f>IF(AND(Parameters!$E$5=1,Parameters!$E$26=1),SUMPRODUCT(--($A$5:A11&lt;A11),--(MOD(A11-$A$5:A11,Parameters!$E$28)=0),$F$5:F11,POWER(Parameters!$E$27,IF(A11-$A$5:A11=0,1,A11-$A$5:A11))),0)</f>
        <v>0.0</v>
      </c>
      <c r="I11" s="7">
        <f>Parameters!$E$23*I10+B11*Parameters!$E$22</f>
        <v>0.0</v>
      </c>
      <c r="J11" s="7">
        <f>E11*Parameters!$E$14*(1-Parameters!$E$15)</f>
        <v>1900.0</v>
      </c>
      <c r="K11" s="7">
        <f>H11*Parameters!$E$29</f>
        <v>0.0</v>
      </c>
      <c r="L11" s="7">
        <f>I11*Parameters!$E$24</f>
        <v>0.0</v>
      </c>
      <c r="M11" s="7">
        <f>J11+K11+L11</f>
        <v>1900.0</v>
      </c>
      <c r="N11" s="7">
        <f>C11*Parameters!$E$17+D11*Parameters!$E$18+E11*Parameters!$E$16+I11*Parameters!$E$25+G11*Parameters!$E$30</f>
        <v>388.54272000000003</v>
      </c>
      <c r="O11" s="7">
        <f>B11*Parameters!$E$19</f>
        <v>4000</v>
      </c>
      <c r="P11" s="7">
        <f>M11-N11-O11</f>
        <v>-2488.54272</v>
      </c>
      <c r="Q11" s="7">
        <f>Parameters!$E$21</f>
        <v>1000</v>
      </c>
      <c r="R11" s="7">
        <f>P11-Q11</f>
        <v>-3488.54272</v>
      </c>
      <c r="S11" s="7">
        <f>IF(A11&lt;1+Parameters!$E$31,0,INDEX($M$5:$M$40,A11-Parameters!$E$31))</f>
        <v>1900.0</v>
      </c>
      <c r="T11" s="7">
        <f>T10+M11-S11</f>
        <v>1900.0</v>
      </c>
      <c r="U11" s="7">
        <f>S11-N11-O11-Q11</f>
        <v>-3488.54272</v>
      </c>
      <c r="V11" s="7">
        <f>V10+U11</f>
        <v>-26065.829120000002</v>
      </c>
      <c r="W11" s="7">
        <f>(1-Parameters!$E$7)*(C11-E11)+(1-Parameters!$E$8)*(D11+E11)</f>
        <v>979.02848</v>
      </c>
      <c r="X11" s="7">
        <f>Parameters!$E$7*(C11-E11)+Parameters!$E$8*Parameters!$E$9*(D11+E11)</f>
        <v>0.0</v>
      </c>
      <c r="Y11" s="7">
        <f>Parameters!$E$8*(1-Parameters!$E$9)*(D11+E11)</f>
        <v>316.11392000000006</v>
      </c>
      <c r="Z11" s="7">
        <f>POWER(1/(1+Parameters!$E$32),A11-1)*(M11-N11)</f>
        <v>1423.8611289142834</v>
      </c>
    </row>
    <row r="12" spans="1:26">
      <c r="A12" s="7">
        <v>8</v>
      </c>
      <c r="B12" s="7">
        <f>Parameters!$E$20</f>
        <v>1000</v>
      </c>
      <c r="C12" s="7">
        <f>X11+B12</f>
        <v>1000.0</v>
      </c>
      <c r="D12" s="7">
        <f>Y11</f>
        <v>316.1139200000001</v>
      </c>
      <c r="E12" s="7">
        <f>Parameters!$E$6*C12</f>
        <v>100.0</v>
      </c>
      <c r="F12" s="7">
        <f>IF(Parameters!$E$5=1,E12,0)</f>
        <v>0.0</v>
      </c>
      <c r="G12" s="7">
        <f>Parameters!$E$27*G11+F12</f>
        <v>0.0</v>
      </c>
      <c r="H12" s="7">
        <f>IF(AND(Parameters!$E$5=1,Parameters!$E$26=1),SUMPRODUCT(--($A$5:A12&lt;A12),--(MOD(A12-$A$5:A12,Parameters!$E$28)=0),$F$5:F12,POWER(Parameters!$E$27,IF(A12-$A$5:A12=0,1,A12-$A$5:A12))),0)</f>
        <v>0.0</v>
      </c>
      <c r="I12" s="7">
        <f>Parameters!$E$23*I11+B12*Parameters!$E$22</f>
        <v>0.0</v>
      </c>
      <c r="J12" s="7">
        <f>E12*Parameters!$E$14*(1-Parameters!$E$15)</f>
        <v>1900.0</v>
      </c>
      <c r="K12" s="7">
        <f>H12*Parameters!$E$29</f>
        <v>0.0</v>
      </c>
      <c r="L12" s="7">
        <f>I12*Parameters!$E$24</f>
        <v>0.0</v>
      </c>
      <c r="M12" s="7">
        <f>J12+K12+L12</f>
        <v>1900.0</v>
      </c>
      <c r="N12" s="7">
        <f>C12*Parameters!$E$17+D12*Parameters!$E$18+E12*Parameters!$E$16+I12*Parameters!$E$25+G12*Parameters!$E$30</f>
        <v>394.834176</v>
      </c>
      <c r="O12" s="7">
        <f>B12*Parameters!$E$19</f>
        <v>4000</v>
      </c>
      <c r="P12" s="7">
        <f>M12-N12-O12</f>
        <v>-2494.8341760000003</v>
      </c>
      <c r="Q12" s="7">
        <f>Parameters!$E$21</f>
        <v>1000</v>
      </c>
      <c r="R12" s="7">
        <f>P12-Q12</f>
        <v>-3494.8341760000003</v>
      </c>
      <c r="S12" s="7">
        <f>IF(A12&lt;1+Parameters!$E$31,0,INDEX($M$5:$M$40,A12-Parameters!$E$31))</f>
        <v>1900.0</v>
      </c>
      <c r="T12" s="7">
        <f>T11+M12-S12</f>
        <v>1900.0</v>
      </c>
      <c r="U12" s="7">
        <f>S12-N12-O12-Q12</f>
        <v>-3494.8341760000003</v>
      </c>
      <c r="V12" s="7">
        <f>V11+U12</f>
        <v>-29560.663296000002</v>
      </c>
      <c r="W12" s="7">
        <f>(1-Parameters!$E$7)*(C12-E12)+(1-Parameters!$E$8)*(D12+E12)</f>
        <v>983.222784</v>
      </c>
      <c r="X12" s="7">
        <f>Parameters!$E$7*(C12-E12)+Parameters!$E$8*Parameters!$E$9*(D12+E12)</f>
        <v>0.0</v>
      </c>
      <c r="Y12" s="7">
        <f>Parameters!$E$8*(1-Parameters!$E$9)*(D12+E12)</f>
        <v>332.89113600000013</v>
      </c>
      <c r="Z12" s="7">
        <f>POWER(1/(1+Parameters!$E$32),A12-1)*(M12-N12)</f>
        <v>1403.8953393729423</v>
      </c>
    </row>
    <row r="13" spans="1:26">
      <c r="A13" s="7">
        <v>9</v>
      </c>
      <c r="B13" s="7">
        <f>Parameters!$E$20</f>
        <v>1000</v>
      </c>
      <c r="C13" s="7">
        <f>X12+B13</f>
        <v>1000.0</v>
      </c>
      <c r="D13" s="7">
        <f>Y12</f>
        <v>332.89113600000013</v>
      </c>
      <c r="E13" s="7">
        <f>Parameters!$E$6*C13</f>
        <v>100.0</v>
      </c>
      <c r="F13" s="7">
        <f>IF(Parameters!$E$5=1,E13,0)</f>
        <v>0.0</v>
      </c>
      <c r="G13" s="7">
        <f>Parameters!$E$27*G12+F13</f>
        <v>0.0</v>
      </c>
      <c r="H13" s="7">
        <f>IF(AND(Parameters!$E$5=1,Parameters!$E$26=1),SUMPRODUCT(--($A$5:A13&lt;A13),--(MOD(A13-$A$5:A13,Parameters!$E$28)=0),$F$5:F13,POWER(Parameters!$E$27,IF(A13-$A$5:A13=0,1,A13-$A$5:A13))),0)</f>
        <v>0.0</v>
      </c>
      <c r="I13" s="7">
        <f>Parameters!$E$23*I12+B13*Parameters!$E$22</f>
        <v>0.0</v>
      </c>
      <c r="J13" s="7">
        <f>E13*Parameters!$E$14*(1-Parameters!$E$15)</f>
        <v>1900.0</v>
      </c>
      <c r="K13" s="7">
        <f>H13*Parameters!$E$29</f>
        <v>0.0</v>
      </c>
      <c r="L13" s="7">
        <f>I13*Parameters!$E$24</f>
        <v>0.0</v>
      </c>
      <c r="M13" s="7">
        <f>J13+K13+L13</f>
        <v>1900.0</v>
      </c>
      <c r="N13" s="7">
        <f>C13*Parameters!$E$17+D13*Parameters!$E$18+E13*Parameters!$E$16+I13*Parameters!$E$25+G13*Parameters!$E$30</f>
        <v>399.8673408</v>
      </c>
      <c r="O13" s="7">
        <f>B13*Parameters!$E$19</f>
        <v>4000</v>
      </c>
      <c r="P13" s="7">
        <f>M13-N13-O13</f>
        <v>-2499.8673408</v>
      </c>
      <c r="Q13" s="7">
        <f>Parameters!$E$21</f>
        <v>1000</v>
      </c>
      <c r="R13" s="7">
        <f>P13-Q13</f>
        <v>-3499.8673408</v>
      </c>
      <c r="S13" s="7">
        <f>IF(A13&lt;1+Parameters!$E$31,0,INDEX($M$5:$M$40,A13-Parameters!$E$31))</f>
        <v>1900.0</v>
      </c>
      <c r="T13" s="7">
        <f>T12+M13-S13</f>
        <v>1900.0</v>
      </c>
      <c r="U13" s="7">
        <f>S13-N13-O13-Q13</f>
        <v>-3499.8673408</v>
      </c>
      <c r="V13" s="7">
        <f>V12+U13</f>
        <v>-33060.5306368</v>
      </c>
      <c r="W13" s="7">
        <f>(1-Parameters!$E$7)*(C13-E13)+(1-Parameters!$E$8)*(D13+E13)</f>
        <v>986.5782272</v>
      </c>
      <c r="X13" s="7">
        <f>Parameters!$E$7*(C13-E13)+Parameters!$E$8*Parameters!$E$9*(D13+E13)</f>
        <v>0.0</v>
      </c>
      <c r="Y13" s="7">
        <f>Parameters!$E$8*(1-Parameters!$E$9)*(D13+E13)</f>
        <v>346.3129088000001</v>
      </c>
      <c r="Z13" s="7">
        <f>POWER(1/(1+Parameters!$E$32),A13-1)*(M13-N13)</f>
        <v>1385.3473422689763</v>
      </c>
    </row>
    <row r="14" spans="1:26">
      <c r="A14" s="7">
        <v>10</v>
      </c>
      <c r="B14" s="7">
        <f>Parameters!$E$20</f>
        <v>1000</v>
      </c>
      <c r="C14" s="7">
        <f>X13+B14</f>
        <v>1000.0</v>
      </c>
      <c r="D14" s="7">
        <f>Y13</f>
        <v>346.3129088000001</v>
      </c>
      <c r="E14" s="7">
        <f>Parameters!$E$6*C14</f>
        <v>100.0</v>
      </c>
      <c r="F14" s="7">
        <f>IF(Parameters!$E$5=1,E14,0)</f>
        <v>0.0</v>
      </c>
      <c r="G14" s="7">
        <f>Parameters!$E$27*G13+F14</f>
        <v>0.0</v>
      </c>
      <c r="H14" s="7">
        <f>IF(AND(Parameters!$E$5=1,Parameters!$E$26=1),SUMPRODUCT(--($A$5:A14&lt;A14),--(MOD(A14-$A$5:A14,Parameters!$E$28)=0),$F$5:F14,POWER(Parameters!$E$27,IF(A14-$A$5:A14=0,1,A14-$A$5:A14))),0)</f>
        <v>0.0</v>
      </c>
      <c r="I14" s="7">
        <f>Parameters!$E$23*I13+B14*Parameters!$E$22</f>
        <v>0.0</v>
      </c>
      <c r="J14" s="7">
        <f>E14*Parameters!$E$14*(1-Parameters!$E$15)</f>
        <v>1900.0</v>
      </c>
      <c r="K14" s="7">
        <f>H14*Parameters!$E$29</f>
        <v>0.0</v>
      </c>
      <c r="L14" s="7">
        <f>I14*Parameters!$E$24</f>
        <v>0.0</v>
      </c>
      <c r="M14" s="7">
        <f>J14+K14+L14</f>
        <v>1900.0</v>
      </c>
      <c r="N14" s="7">
        <f>C14*Parameters!$E$17+D14*Parameters!$E$18+E14*Parameters!$E$16+I14*Parameters!$E$25+G14*Parameters!$E$30</f>
        <v>403.89387264000004</v>
      </c>
      <c r="O14" s="7">
        <f>B14*Parameters!$E$19</f>
        <v>4000</v>
      </c>
      <c r="P14" s="7">
        <f>M14-N14-O14</f>
        <v>-2503.89387264</v>
      </c>
      <c r="Q14" s="7">
        <f>Parameters!$E$21</f>
        <v>1000</v>
      </c>
      <c r="R14" s="7">
        <f>P14-Q14</f>
        <v>-3503.89387264</v>
      </c>
      <c r="S14" s="7">
        <f>IF(A14&lt;1+Parameters!$E$31,0,INDEX($M$5:$M$40,A14-Parameters!$E$31))</f>
        <v>1900.0</v>
      </c>
      <c r="T14" s="7">
        <f>T13+M14-S14</f>
        <v>1900.0</v>
      </c>
      <c r="U14" s="7">
        <f>S14-N14-O14-Q14</f>
        <v>-3503.89387264</v>
      </c>
      <c r="V14" s="7">
        <f>V13+U14</f>
        <v>-36564.42450944</v>
      </c>
      <c r="W14" s="7">
        <f>(1-Parameters!$E$7)*(C14-E14)+(1-Parameters!$E$8)*(D14+E14)</f>
        <v>989.26258176</v>
      </c>
      <c r="X14" s="7">
        <f>Parameters!$E$7*(C14-E14)+Parameters!$E$8*Parameters!$E$9*(D14+E14)</f>
        <v>0.0</v>
      </c>
      <c r="Y14" s="7">
        <f>Parameters!$E$8*(1-Parameters!$E$9)*(D14+E14)</f>
        <v>357.0503270400001</v>
      </c>
      <c r="Z14" s="7">
        <f>POWER(1/(1+Parameters!$E$32),A14-1)*(M14-N14)</f>
        <v>1367.9494135345992</v>
      </c>
    </row>
    <row r="15" spans="1:26">
      <c r="A15" s="7">
        <v>11</v>
      </c>
      <c r="B15" s="7">
        <f>Parameters!$E$20</f>
        <v>1000</v>
      </c>
      <c r="C15" s="7">
        <f>X14+B15</f>
        <v>1000.0</v>
      </c>
      <c r="D15" s="7">
        <f>Y14</f>
        <v>357.0503270400001</v>
      </c>
      <c r="E15" s="7">
        <f>Parameters!$E$6*C15</f>
        <v>100.0</v>
      </c>
      <c r="F15" s="7">
        <f>IF(Parameters!$E$5=1,E15,0)</f>
        <v>0.0</v>
      </c>
      <c r="G15" s="7">
        <f>Parameters!$E$27*G14+F15</f>
        <v>0.0</v>
      </c>
      <c r="H15" s="7">
        <f>IF(AND(Parameters!$E$5=1,Parameters!$E$26=1),SUMPRODUCT(--($A$5:A15&lt;A15),--(MOD(A15-$A$5:A15,Parameters!$E$28)=0),$F$5:F15,POWER(Parameters!$E$27,IF(A15-$A$5:A15=0,1,A15-$A$5:A15))),0)</f>
        <v>0.0</v>
      </c>
      <c r="I15" s="7">
        <f>Parameters!$E$23*I14+B15*Parameters!$E$22</f>
        <v>0.0</v>
      </c>
      <c r="J15" s="7">
        <f>E15*Parameters!$E$14*(1-Parameters!$E$15)</f>
        <v>1900.0</v>
      </c>
      <c r="K15" s="7">
        <f>H15*Parameters!$E$29</f>
        <v>0.0</v>
      </c>
      <c r="L15" s="7">
        <f>I15*Parameters!$E$24</f>
        <v>0.0</v>
      </c>
      <c r="M15" s="7">
        <f>J15+K15+L15</f>
        <v>1900.0</v>
      </c>
      <c r="N15" s="7">
        <f>C15*Parameters!$E$17+D15*Parameters!$E$18+E15*Parameters!$E$16+I15*Parameters!$E$25+G15*Parameters!$E$30</f>
        <v>407.11509811200006</v>
      </c>
      <c r="O15" s="7">
        <f>B15*Parameters!$E$19</f>
        <v>4000</v>
      </c>
      <c r="P15" s="7">
        <f>M15-N15-O15</f>
        <v>-2507.115098112</v>
      </c>
      <c r="Q15" s="7">
        <f>Parameters!$E$21</f>
        <v>1000</v>
      </c>
      <c r="R15" s="7">
        <f>P15-Q15</f>
        <v>-3507.115098112</v>
      </c>
      <c r="S15" s="7">
        <f>IF(A15&lt;1+Parameters!$E$31,0,INDEX($M$5:$M$40,A15-Parameters!$E$31))</f>
        <v>1900.0</v>
      </c>
      <c r="T15" s="7">
        <f>T14+M15-S15</f>
        <v>1900.0</v>
      </c>
      <c r="U15" s="7">
        <f>S15-N15-O15-Q15</f>
        <v>-3507.115098112</v>
      </c>
      <c r="V15" s="7">
        <f>V14+U15</f>
        <v>-40071.539607552004</v>
      </c>
      <c r="W15" s="7">
        <f>(1-Parameters!$E$7)*(C15-E15)+(1-Parameters!$E$8)*(D15+E15)</f>
        <v>991.410065408</v>
      </c>
      <c r="X15" s="7">
        <f>Parameters!$E$7*(C15-E15)+Parameters!$E$8*Parameters!$E$9*(D15+E15)</f>
        <v>0.0</v>
      </c>
      <c r="Y15" s="7">
        <f>Parameters!$E$8*(1-Parameters!$E$9)*(D15+E15)</f>
        <v>365.64026163200015</v>
      </c>
      <c r="Z15" s="7">
        <f>POWER(1/(1+Parameters!$E$32),A15-1)*(M15-N15)</f>
        <v>1351.4892265373207</v>
      </c>
    </row>
    <row r="16" spans="1:26">
      <c r="A16" s="7">
        <v>12</v>
      </c>
      <c r="B16" s="7">
        <f>Parameters!$E$20</f>
        <v>1000</v>
      </c>
      <c r="C16" s="7">
        <f>X15+B16</f>
        <v>1000.0</v>
      </c>
      <c r="D16" s="7">
        <f>Y15</f>
        <v>365.64026163200015</v>
      </c>
      <c r="E16" s="7">
        <f>Parameters!$E$6*C16</f>
        <v>100.0</v>
      </c>
      <c r="F16" s="7">
        <f>IF(Parameters!$E$5=1,E16,0)</f>
        <v>0.0</v>
      </c>
      <c r="G16" s="7">
        <f>Parameters!$E$27*G15+F16</f>
        <v>0.0</v>
      </c>
      <c r="H16" s="7">
        <f>IF(AND(Parameters!$E$5=1,Parameters!$E$26=1),SUMPRODUCT(--($A$5:A16&lt;A16),--(MOD(A16-$A$5:A16,Parameters!$E$28)=0),$F$5:F16,POWER(Parameters!$E$27,IF(A16-$A$5:A16=0,1,A16-$A$5:A16))),0)</f>
        <v>0.0</v>
      </c>
      <c r="I16" s="7">
        <f>Parameters!$E$23*I15+B16*Parameters!$E$22</f>
        <v>0.0</v>
      </c>
      <c r="J16" s="7">
        <f>E16*Parameters!$E$14*(1-Parameters!$E$15)</f>
        <v>1900.0</v>
      </c>
      <c r="K16" s="7">
        <f>H16*Parameters!$E$29</f>
        <v>0.0</v>
      </c>
      <c r="L16" s="7">
        <f>I16*Parameters!$E$24</f>
        <v>0.0</v>
      </c>
      <c r="M16" s="7">
        <f>J16+K16+L16</f>
        <v>1900.0</v>
      </c>
      <c r="N16" s="7">
        <f>C16*Parameters!$E$17+D16*Parameters!$E$18+E16*Parameters!$E$16+I16*Parameters!$E$25+G16*Parameters!$E$30</f>
        <v>409.6920784896</v>
      </c>
      <c r="O16" s="7">
        <f>B16*Parameters!$E$19</f>
        <v>4000</v>
      </c>
      <c r="P16" s="7">
        <f>M16-N16-O16</f>
        <v>-2509.6920784896</v>
      </c>
      <c r="Q16" s="7">
        <f>Parameters!$E$21</f>
        <v>1000</v>
      </c>
      <c r="R16" s="7">
        <f>P16-Q16</f>
        <v>-3509.6920784896</v>
      </c>
      <c r="S16" s="7">
        <f>IF(A16&lt;1+Parameters!$E$31,0,INDEX($M$5:$M$40,A16-Parameters!$E$31))</f>
        <v>1900.0</v>
      </c>
      <c r="T16" s="7">
        <f>T15+M16-S16</f>
        <v>1900.0</v>
      </c>
      <c r="U16" s="7">
        <f>S16-N16-O16-Q16</f>
        <v>-3509.6920784896</v>
      </c>
      <c r="V16" s="7">
        <f>V15+U16</f>
        <v>-43581.2316860416</v>
      </c>
      <c r="W16" s="7">
        <f>(1-Parameters!$E$7)*(C16-E16)+(1-Parameters!$E$8)*(D16+E16)</f>
        <v>993.1280523264</v>
      </c>
      <c r="X16" s="7">
        <f>Parameters!$E$7*(C16-E16)+Parameters!$E$8*Parameters!$E$9*(D16+E16)</f>
        <v>0.0</v>
      </c>
      <c r="Y16" s="7">
        <f>Parameters!$E$8*(1-Parameters!$E$9)*(D16+E16)</f>
        <v>372.51220930560015</v>
      </c>
      <c r="Z16" s="7">
        <f>POWER(1/(1+Parameters!$E$32),A16-1)*(M16-N16)</f>
        <v>1335.798336454435</v>
      </c>
    </row>
    <row r="17" spans="1:26">
      <c r="A17" s="7">
        <v>13</v>
      </c>
      <c r="B17" s="7">
        <f>Parameters!$E$20</f>
        <v>1000</v>
      </c>
      <c r="C17" s="7">
        <f>X16+B17</f>
        <v>1000.0</v>
      </c>
      <c r="D17" s="7">
        <f>Y16</f>
        <v>372.51220930560015</v>
      </c>
      <c r="E17" s="7">
        <f>Parameters!$E$6*C17</f>
        <v>100.0</v>
      </c>
      <c r="F17" s="7">
        <f>IF(Parameters!$E$5=1,E17,0)</f>
        <v>0.0</v>
      </c>
      <c r="G17" s="7">
        <f>Parameters!$E$27*G16+F17</f>
        <v>0.0</v>
      </c>
      <c r="H17" s="7">
        <f>IF(AND(Parameters!$E$5=1,Parameters!$E$26=1),SUMPRODUCT(--($A$5:A17&lt;A17),--(MOD(A17-$A$5:A17,Parameters!$E$28)=0),$F$5:F17,POWER(Parameters!$E$27,IF(A17-$A$5:A17=0,1,A17-$A$5:A17))),0)</f>
        <v>0.0</v>
      </c>
      <c r="I17" s="7">
        <f>Parameters!$E$23*I16+B17*Parameters!$E$22</f>
        <v>0.0</v>
      </c>
      <c r="J17" s="7">
        <f>E17*Parameters!$E$14*(1-Parameters!$E$15)</f>
        <v>1900.0</v>
      </c>
      <c r="K17" s="7">
        <f>H17*Parameters!$E$29</f>
        <v>0.0</v>
      </c>
      <c r="L17" s="7">
        <f>I17*Parameters!$E$24</f>
        <v>0.0</v>
      </c>
      <c r="M17" s="7">
        <f>J17+K17+L17</f>
        <v>1900.0</v>
      </c>
      <c r="N17" s="7">
        <f>C17*Parameters!$E$17+D17*Parameters!$E$18+E17*Parameters!$E$16+I17*Parameters!$E$25+G17*Parameters!$E$30</f>
        <v>411.75366279168003</v>
      </c>
      <c r="O17" s="7">
        <f>B17*Parameters!$E$19</f>
        <v>4000</v>
      </c>
      <c r="P17" s="7">
        <f>M17-N17-O17</f>
        <v>-2511.7536627916797</v>
      </c>
      <c r="Q17" s="7">
        <f>Parameters!$E$21</f>
        <v>1000</v>
      </c>
      <c r="R17" s="7">
        <f>P17-Q17</f>
        <v>-3511.7536627916797</v>
      </c>
      <c r="S17" s="7">
        <f>IF(A17&lt;1+Parameters!$E$31,0,INDEX($M$5:$M$40,A17-Parameters!$E$31))</f>
        <v>1900.0</v>
      </c>
      <c r="T17" s="7">
        <f>T16+M17-S17</f>
        <v>1900.0</v>
      </c>
      <c r="U17" s="7">
        <f>S17-N17-O17-Q17</f>
        <v>-3511.7536627916797</v>
      </c>
      <c r="V17" s="7">
        <f>V16+U17</f>
        <v>-47092.98534883328</v>
      </c>
      <c r="W17" s="7">
        <f>(1-Parameters!$E$7)*(C17-E17)+(1-Parameters!$E$8)*(D17+E17)</f>
        <v>994.50244186112</v>
      </c>
      <c r="X17" s="7">
        <f>Parameters!$E$7*(C17-E17)+Parameters!$E$8*Parameters!$E$9*(D17+E17)</f>
        <v>0.0</v>
      </c>
      <c r="Y17" s="7">
        <f>Parameters!$E$8*(1-Parameters!$E$9)*(D17+E17)</f>
        <v>378.00976744448013</v>
      </c>
      <c r="Z17" s="7">
        <f>POWER(1/(1+Parameters!$E$32),A17-1)*(M17-N17)</f>
        <v>1320.7430589592261</v>
      </c>
    </row>
    <row r="18" spans="1:26">
      <c r="A18" s="7">
        <v>14</v>
      </c>
      <c r="B18" s="7">
        <f>Parameters!$E$20</f>
        <v>1000</v>
      </c>
      <c r="C18" s="7">
        <f>X17+B18</f>
        <v>1000.0</v>
      </c>
      <c r="D18" s="7">
        <f>Y17</f>
        <v>378.00976744448013</v>
      </c>
      <c r="E18" s="7">
        <f>Parameters!$E$6*C18</f>
        <v>100.0</v>
      </c>
      <c r="F18" s="7">
        <f>IF(Parameters!$E$5=1,E18,0)</f>
        <v>0.0</v>
      </c>
      <c r="G18" s="7">
        <f>Parameters!$E$27*G17+F18</f>
        <v>0.0</v>
      </c>
      <c r="H18" s="7">
        <f>IF(AND(Parameters!$E$5=1,Parameters!$E$26=1),SUMPRODUCT(--($A$5:A18&lt;A18),--(MOD(A18-$A$5:A18,Parameters!$E$28)=0),$F$5:F18,POWER(Parameters!$E$27,IF(A18-$A$5:A18=0,1,A18-$A$5:A18))),0)</f>
        <v>0.0</v>
      </c>
      <c r="I18" s="7">
        <f>Parameters!$E$23*I17+B18*Parameters!$E$22</f>
        <v>0.0</v>
      </c>
      <c r="J18" s="7">
        <f>E18*Parameters!$E$14*(1-Parameters!$E$15)</f>
        <v>1900.0</v>
      </c>
      <c r="K18" s="7">
        <f>H18*Parameters!$E$29</f>
        <v>0.0</v>
      </c>
      <c r="L18" s="7">
        <f>I18*Parameters!$E$24</f>
        <v>0.0</v>
      </c>
      <c r="M18" s="7">
        <f>J18+K18+L18</f>
        <v>1900.0</v>
      </c>
      <c r="N18" s="7">
        <f>C18*Parameters!$E$17+D18*Parameters!$E$18+E18*Parameters!$E$16+I18*Parameters!$E$25+G18*Parameters!$E$30</f>
        <v>413.402930233344</v>
      </c>
      <c r="O18" s="7">
        <f>B18*Parameters!$E$19</f>
        <v>4000</v>
      </c>
      <c r="P18" s="7">
        <f>M18-N18-O18</f>
        <v>-2513.402930233344</v>
      </c>
      <c r="Q18" s="7">
        <f>Parameters!$E$21</f>
        <v>1000</v>
      </c>
      <c r="R18" s="7">
        <f>P18-Q18</f>
        <v>-3513.402930233344</v>
      </c>
      <c r="S18" s="7">
        <f>IF(A18&lt;1+Parameters!$E$31,0,INDEX($M$5:$M$40,A18-Parameters!$E$31))</f>
        <v>1900.0</v>
      </c>
      <c r="T18" s="7">
        <f>T17+M18-S18</f>
        <v>1900.0</v>
      </c>
      <c r="U18" s="7">
        <f>S18-N18-O18-Q18</f>
        <v>-3513.402930233344</v>
      </c>
      <c r="V18" s="7">
        <f>V17+U18</f>
        <v>-50606.388279066625</v>
      </c>
      <c r="W18" s="7">
        <f>(1-Parameters!$E$7)*(C18-E18)+(1-Parameters!$E$8)*(D18+E18)</f>
        <v>995.601953488896</v>
      </c>
      <c r="X18" s="7">
        <f>Parameters!$E$7*(C18-E18)+Parameters!$E$8*Parameters!$E$9*(D18+E18)</f>
        <v>0.0</v>
      </c>
      <c r="Y18" s="7">
        <f>Parameters!$E$8*(1-Parameters!$E$9)*(D18+E18)</f>
        <v>382.4078139555841</v>
      </c>
      <c r="Z18" s="7">
        <f>POWER(1/(1+Parameters!$E$32),A18-1)*(M18-N18)</f>
        <v>1306.2172453919468</v>
      </c>
    </row>
    <row r="19" spans="1:26">
      <c r="A19" s="7">
        <v>15</v>
      </c>
      <c r="B19" s="7">
        <f>Parameters!$E$20</f>
        <v>1000</v>
      </c>
      <c r="C19" s="7">
        <f>X18+B19</f>
        <v>1000.0</v>
      </c>
      <c r="D19" s="7">
        <f>Y18</f>
        <v>382.4078139555841</v>
      </c>
      <c r="E19" s="7">
        <f>Parameters!$E$6*C19</f>
        <v>100.0</v>
      </c>
      <c r="F19" s="7">
        <f>IF(Parameters!$E$5=1,E19,0)</f>
        <v>0.0</v>
      </c>
      <c r="G19" s="7">
        <f>Parameters!$E$27*G18+F19</f>
        <v>0.0</v>
      </c>
      <c r="H19" s="7">
        <f>IF(AND(Parameters!$E$5=1,Parameters!$E$26=1),SUMPRODUCT(--($A$5:A19&lt;A19),--(MOD(A19-$A$5:A19,Parameters!$E$28)=0),$F$5:F19,POWER(Parameters!$E$27,IF(A19-$A$5:A19=0,1,A19-$A$5:A19))),0)</f>
        <v>0.0</v>
      </c>
      <c r="I19" s="7">
        <f>Parameters!$E$23*I18+B19*Parameters!$E$22</f>
        <v>0.0</v>
      </c>
      <c r="J19" s="7">
        <f>E19*Parameters!$E$14*(1-Parameters!$E$15)</f>
        <v>1900.0</v>
      </c>
      <c r="K19" s="7">
        <f>H19*Parameters!$E$29</f>
        <v>0.0</v>
      </c>
      <c r="L19" s="7">
        <f>I19*Parameters!$E$24</f>
        <v>0.0</v>
      </c>
      <c r="M19" s="7">
        <f>J19+K19+L19</f>
        <v>1900.0</v>
      </c>
      <c r="N19" s="7">
        <f>C19*Parameters!$E$17+D19*Parameters!$E$18+E19*Parameters!$E$16+I19*Parameters!$E$25+G19*Parameters!$E$30</f>
        <v>414.72234418667523</v>
      </c>
      <c r="O19" s="7">
        <f>B19*Parameters!$E$19</f>
        <v>4000</v>
      </c>
      <c r="P19" s="7">
        <f>M19-N19-O19</f>
        <v>-2514.7223441866754</v>
      </c>
      <c r="Q19" s="7">
        <f>Parameters!$E$21</f>
        <v>1000</v>
      </c>
      <c r="R19" s="7">
        <f>P19-Q19</f>
        <v>-3514.7223441866754</v>
      </c>
      <c r="S19" s="7">
        <f>IF(A19&lt;1+Parameters!$E$31,0,INDEX($M$5:$M$40,A19-Parameters!$E$31))</f>
        <v>1900.0</v>
      </c>
      <c r="T19" s="7">
        <f>T18+M19-S19</f>
        <v>1900.0</v>
      </c>
      <c r="U19" s="7">
        <f>S19-N19-O19-Q19</f>
        <v>-3514.7223441866754</v>
      </c>
      <c r="V19" s="7">
        <f>V18+U19</f>
        <v>-54121.1106232533</v>
      </c>
      <c r="W19" s="7">
        <f>(1-Parameters!$E$7)*(C19-E19)+(1-Parameters!$E$8)*(D19+E19)</f>
        <v>996.4815627911169</v>
      </c>
      <c r="X19" s="7">
        <f>Parameters!$E$7*(C19-E19)+Parameters!$E$8*Parameters!$E$9*(D19+E19)</f>
        <v>0.0</v>
      </c>
      <c r="Y19" s="7">
        <f>Parameters!$E$8*(1-Parameters!$E$9)*(D19+E19)</f>
        <v>385.9262511644673</v>
      </c>
      <c r="Z19" s="7">
        <f>POWER(1/(1+Parameters!$E$32),A19-1)*(M19-N19)</f>
        <v>1292.1365600972242</v>
      </c>
    </row>
    <row r="20" spans="1:26">
      <c r="A20" s="7">
        <v>16</v>
      </c>
      <c r="B20" s="7">
        <f>Parameters!$E$20</f>
        <v>1000</v>
      </c>
      <c r="C20" s="7">
        <f>X19+B20</f>
        <v>1000.0</v>
      </c>
      <c r="D20" s="7">
        <f>Y19</f>
        <v>385.9262511644674</v>
      </c>
      <c r="E20" s="7">
        <f>Parameters!$E$6*C20</f>
        <v>100.0</v>
      </c>
      <c r="F20" s="7">
        <f>IF(Parameters!$E$5=1,E20,0)</f>
        <v>0.0</v>
      </c>
      <c r="G20" s="7">
        <f>Parameters!$E$27*G19+F20</f>
        <v>0.0</v>
      </c>
      <c r="H20" s="7">
        <f>IF(AND(Parameters!$E$5=1,Parameters!$E$26=1),SUMPRODUCT(--($A$5:A20&lt;A20),--(MOD(A20-$A$5:A20,Parameters!$E$28)=0),$F$5:F20,POWER(Parameters!$E$27,IF(A20-$A$5:A20=0,1,A20-$A$5:A20))),0)</f>
        <v>0.0</v>
      </c>
      <c r="I20" s="7">
        <f>Parameters!$E$23*I19+B20*Parameters!$E$22</f>
        <v>0.0</v>
      </c>
      <c r="J20" s="7">
        <f>E20*Parameters!$E$14*(1-Parameters!$E$15)</f>
        <v>1900.0</v>
      </c>
      <c r="K20" s="7">
        <f>H20*Parameters!$E$29</f>
        <v>0.0</v>
      </c>
      <c r="L20" s="7">
        <f>I20*Parameters!$E$24</f>
        <v>0.0</v>
      </c>
      <c r="M20" s="7">
        <f>J20+K20+L20</f>
        <v>1900.0</v>
      </c>
      <c r="N20" s="7">
        <f>C20*Parameters!$E$17+D20*Parameters!$E$18+E20*Parameters!$E$16+I20*Parameters!$E$25+G20*Parameters!$E$30</f>
        <v>415.7778753493402</v>
      </c>
      <c r="O20" s="7">
        <f>B20*Parameters!$E$19</f>
        <v>4000</v>
      </c>
      <c r="P20" s="7">
        <f>M20-N20-O20</f>
        <v>-2515.7778753493403</v>
      </c>
      <c r="Q20" s="7">
        <f>Parameters!$E$21</f>
        <v>1000</v>
      </c>
      <c r="R20" s="7">
        <f>P20-Q20</f>
        <v>-3515.7778753493403</v>
      </c>
      <c r="S20" s="7">
        <f>IF(A20&lt;1+Parameters!$E$31,0,INDEX($M$5:$M$40,A20-Parameters!$E$31))</f>
        <v>1900.0</v>
      </c>
      <c r="T20" s="7">
        <f>T19+M20-S20</f>
        <v>1900.0</v>
      </c>
      <c r="U20" s="7">
        <f>S20-N20-O20-Q20</f>
        <v>-3515.7778753493403</v>
      </c>
      <c r="V20" s="7">
        <f>V19+U20</f>
        <v>-57636.88849860264</v>
      </c>
      <c r="W20" s="7">
        <f>(1-Parameters!$E$7)*(C20-E20)+(1-Parameters!$E$8)*(D20+E20)</f>
        <v>997.1852502328934</v>
      </c>
      <c r="X20" s="7">
        <f>Parameters!$E$7*(C20-E20)+Parameters!$E$8*Parameters!$E$9*(D20+E20)</f>
        <v>0.0</v>
      </c>
      <c r="Y20" s="7">
        <f>Parameters!$E$8*(1-Parameters!$E$9)*(D20+E20)</f>
        <v>388.7410009315739</v>
      </c>
      <c r="Z20" s="7">
        <f>POWER(1/(1+Parameters!$E$32),A20-1)*(M20-N20)</f>
        <v>1278.4339475965064</v>
      </c>
    </row>
    <row r="21" spans="1:26">
      <c r="A21" s="7">
        <v>17</v>
      </c>
      <c r="B21" s="7">
        <f>Parameters!$E$20</f>
        <v>1000</v>
      </c>
      <c r="C21" s="7">
        <f>X20+B21</f>
        <v>1000.0</v>
      </c>
      <c r="D21" s="7">
        <f>Y20</f>
        <v>388.7410009315739</v>
      </c>
      <c r="E21" s="7">
        <f>Parameters!$E$6*C21</f>
        <v>100.0</v>
      </c>
      <c r="F21" s="7">
        <f>IF(Parameters!$E$5=1,E21,0)</f>
        <v>0.0</v>
      </c>
      <c r="G21" s="7">
        <f>Parameters!$E$27*G20+F21</f>
        <v>0.0</v>
      </c>
      <c r="H21" s="7">
        <f>IF(AND(Parameters!$E$5=1,Parameters!$E$26=1),SUMPRODUCT(--($A$5:A21&lt;A21),--(MOD(A21-$A$5:A21,Parameters!$E$28)=0),$F$5:F21,POWER(Parameters!$E$27,IF(A21-$A$5:A21=0,1,A21-$A$5:A21))),0)</f>
        <v>0.0</v>
      </c>
      <c r="I21" s="7">
        <f>Parameters!$E$23*I20+B21*Parameters!$E$22</f>
        <v>0.0</v>
      </c>
      <c r="J21" s="7">
        <f>E21*Parameters!$E$14*(1-Parameters!$E$15)</f>
        <v>1900.0</v>
      </c>
      <c r="K21" s="7">
        <f>H21*Parameters!$E$29</f>
        <v>0.0</v>
      </c>
      <c r="L21" s="7">
        <f>I21*Parameters!$E$24</f>
        <v>0.0</v>
      </c>
      <c r="M21" s="7">
        <f>J21+K21+L21</f>
        <v>1900.0</v>
      </c>
      <c r="N21" s="7">
        <f>C21*Parameters!$E$17+D21*Parameters!$E$18+E21*Parameters!$E$16+I21*Parameters!$E$25+G21*Parameters!$E$30</f>
        <v>416.62230027947214</v>
      </c>
      <c r="O21" s="7">
        <f>B21*Parameters!$E$19</f>
        <v>4000</v>
      </c>
      <c r="P21" s="7">
        <f>M21-N21-O21</f>
        <v>-2516.6223002794723</v>
      </c>
      <c r="Q21" s="7">
        <f>Parameters!$E$21</f>
        <v>1000</v>
      </c>
      <c r="R21" s="7">
        <f>P21-Q21</f>
        <v>-3516.6223002794723</v>
      </c>
      <c r="S21" s="7">
        <f>IF(A21&lt;1+Parameters!$E$31,0,INDEX($M$5:$M$40,A21-Parameters!$E$31))</f>
        <v>1900.0</v>
      </c>
      <c r="T21" s="7">
        <f>T20+M21-S21</f>
        <v>1900.0</v>
      </c>
      <c r="U21" s="7">
        <f>S21-N21-O21-Q21</f>
        <v>-3516.6223002794723</v>
      </c>
      <c r="V21" s="7">
        <f>V20+U21</f>
        <v>-61153.51079888211</v>
      </c>
      <c r="W21" s="7">
        <f>(1-Parameters!$E$7)*(C21-E21)+(1-Parameters!$E$8)*(D21+E21)</f>
        <v>997.7482001863148</v>
      </c>
      <c r="X21" s="7">
        <f>Parameters!$E$7*(C21-E21)+Parameters!$E$8*Parameters!$E$9*(D21+E21)</f>
        <v>0.0</v>
      </c>
      <c r="Y21" s="7">
        <f>Parameters!$E$8*(1-Parameters!$E$9)*(D21+E21)</f>
        <v>390.99280074525916</v>
      </c>
      <c r="Z21" s="7">
        <f>POWER(1/(1+Parameters!$E$32),A21-1)*(M21-N21)</f>
        <v>1265.0560422043616</v>
      </c>
    </row>
    <row r="22" spans="1:26">
      <c r="A22" s="7">
        <v>18</v>
      </c>
      <c r="B22" s="7">
        <f>Parameters!$E$20</f>
        <v>1000</v>
      </c>
      <c r="C22" s="7">
        <f>X21+B22</f>
        <v>1000.0</v>
      </c>
      <c r="D22" s="7">
        <f>Y21</f>
        <v>390.99280074525916</v>
      </c>
      <c r="E22" s="7">
        <f>Parameters!$E$6*C22</f>
        <v>100.0</v>
      </c>
      <c r="F22" s="7">
        <f>IF(Parameters!$E$5=1,E22,0)</f>
        <v>0.0</v>
      </c>
      <c r="G22" s="7">
        <f>Parameters!$E$27*G21+F22</f>
        <v>0.0</v>
      </c>
      <c r="H22" s="7">
        <f>IF(AND(Parameters!$E$5=1,Parameters!$E$26=1),SUMPRODUCT(--($A$5:A22&lt;A22),--(MOD(A22-$A$5:A22,Parameters!$E$28)=0),$F$5:F22,POWER(Parameters!$E$27,IF(A22-$A$5:A22=0,1,A22-$A$5:A22))),0)</f>
        <v>0.0</v>
      </c>
      <c r="I22" s="7">
        <f>Parameters!$E$23*I21+B22*Parameters!$E$22</f>
        <v>0.0</v>
      </c>
      <c r="J22" s="7">
        <f>E22*Parameters!$E$14*(1-Parameters!$E$15)</f>
        <v>1900.0</v>
      </c>
      <c r="K22" s="7">
        <f>H22*Parameters!$E$29</f>
        <v>0.0</v>
      </c>
      <c r="L22" s="7">
        <f>I22*Parameters!$E$24</f>
        <v>0.0</v>
      </c>
      <c r="M22" s="7">
        <f>J22+K22+L22</f>
        <v>1900.0</v>
      </c>
      <c r="N22" s="7">
        <f>C22*Parameters!$E$17+D22*Parameters!$E$18+E22*Parameters!$E$16+I22*Parameters!$E$25+G22*Parameters!$E$30</f>
        <v>417.29784022357774</v>
      </c>
      <c r="O22" s="7">
        <f>B22*Parameters!$E$19</f>
        <v>4000</v>
      </c>
      <c r="P22" s="7">
        <f>M22-N22-O22</f>
        <v>-2517.2978402235776</v>
      </c>
      <c r="Q22" s="7">
        <f>Parameters!$E$21</f>
        <v>1000</v>
      </c>
      <c r="R22" s="7">
        <f>P22-Q22</f>
        <v>-3517.2978402235776</v>
      </c>
      <c r="S22" s="7">
        <f>IF(A22&lt;1+Parameters!$E$31,0,INDEX($M$5:$M$40,A22-Parameters!$E$31))</f>
        <v>1900.0</v>
      </c>
      <c r="T22" s="7">
        <f>T21+M22-S22</f>
        <v>1900.0</v>
      </c>
      <c r="U22" s="7">
        <f>S22-N22-O22-Q22</f>
        <v>-3517.2978402235776</v>
      </c>
      <c r="V22" s="7">
        <f>V21+U22</f>
        <v>-64670.808639105686</v>
      </c>
      <c r="W22" s="7">
        <f>(1-Parameters!$E$7)*(C22-E22)+(1-Parameters!$E$8)*(D22+E22)</f>
        <v>998.1985601490518</v>
      </c>
      <c r="X22" s="7">
        <f>Parameters!$E$7*(C22-E22)+Parameters!$E$8*Parameters!$E$9*(D22+E22)</f>
        <v>0.0</v>
      </c>
      <c r="Y22" s="7">
        <f>Parameters!$E$8*(1-Parameters!$E$9)*(D22+E22)</f>
        <v>392.7942405962074</v>
      </c>
      <c r="Z22" s="7">
        <f>POWER(1/(1+Parameters!$E$32),A22-1)*(M22-N22)</f>
        <v>1251.9603241352067</v>
      </c>
    </row>
    <row r="23" spans="1:26">
      <c r="A23" s="7">
        <v>19</v>
      </c>
      <c r="B23" s="7">
        <f>Parameters!$E$20</f>
        <v>1000</v>
      </c>
      <c r="C23" s="7">
        <f>X22+B23</f>
        <v>1000.0</v>
      </c>
      <c r="D23" s="7">
        <f>Y22</f>
        <v>392.7942405962074</v>
      </c>
      <c r="E23" s="7">
        <f>Parameters!$E$6*C23</f>
        <v>100.0</v>
      </c>
      <c r="F23" s="7">
        <f>IF(Parameters!$E$5=1,E23,0)</f>
        <v>0.0</v>
      </c>
      <c r="G23" s="7">
        <f>Parameters!$E$27*G22+F23</f>
        <v>0.0</v>
      </c>
      <c r="H23" s="7">
        <f>IF(AND(Parameters!$E$5=1,Parameters!$E$26=1),SUMPRODUCT(--($A$5:A23&lt;A23),--(MOD(A23-$A$5:A23,Parameters!$E$28)=0),$F$5:F23,POWER(Parameters!$E$27,IF(A23-$A$5:A23=0,1,A23-$A$5:A23))),0)</f>
        <v>0.0</v>
      </c>
      <c r="I23" s="7">
        <f>Parameters!$E$23*I22+B23*Parameters!$E$22</f>
        <v>0.0</v>
      </c>
      <c r="J23" s="7">
        <f>E23*Parameters!$E$14*(1-Parameters!$E$15)</f>
        <v>1900.0</v>
      </c>
      <c r="K23" s="7">
        <f>H23*Parameters!$E$29</f>
        <v>0.0</v>
      </c>
      <c r="L23" s="7">
        <f>I23*Parameters!$E$24</f>
        <v>0.0</v>
      </c>
      <c r="M23" s="7">
        <f>J23+K23+L23</f>
        <v>1900.0</v>
      </c>
      <c r="N23" s="7">
        <f>C23*Parameters!$E$17+D23*Parameters!$E$18+E23*Parameters!$E$16+I23*Parameters!$E$25+G23*Parameters!$E$30</f>
        <v>417.8382721788622</v>
      </c>
      <c r="O23" s="7">
        <f>B23*Parameters!$E$19</f>
        <v>4000</v>
      </c>
      <c r="P23" s="7">
        <f>M23-N23-O23</f>
        <v>-2517.838272178862</v>
      </c>
      <c r="Q23" s="7">
        <f>Parameters!$E$21</f>
        <v>1000</v>
      </c>
      <c r="R23" s="7">
        <f>P23-Q23</f>
        <v>-3517.838272178862</v>
      </c>
      <c r="S23" s="7">
        <f>IF(A23&lt;1+Parameters!$E$31,0,INDEX($M$5:$M$40,A23-Parameters!$E$31))</f>
        <v>1900.0</v>
      </c>
      <c r="T23" s="7">
        <f>T22+M23-S23</f>
        <v>1900.0</v>
      </c>
      <c r="U23" s="7">
        <f>S23-N23-O23-Q23</f>
        <v>-3517.838272178862</v>
      </c>
      <c r="V23" s="7">
        <f>V22+U23</f>
        <v>-68188.64691128455</v>
      </c>
      <c r="W23" s="7">
        <f>(1-Parameters!$E$7)*(C23-E23)+(1-Parameters!$E$8)*(D23+E23)</f>
        <v>998.5588481192415</v>
      </c>
      <c r="X23" s="7">
        <f>Parameters!$E$7*(C23-E23)+Parameters!$E$8*Parameters!$E$9*(D23+E23)</f>
        <v>0.0</v>
      </c>
      <c r="Y23" s="7">
        <f>Parameters!$E$8*(1-Parameters!$E$9)*(D23+E23)</f>
        <v>394.2353924769659</v>
      </c>
      <c r="Z23" s="7">
        <f>POWER(1/(1+Parameters!$E$32),A23-1)*(M23-N23)</f>
        <v>1239.112866889831</v>
      </c>
    </row>
    <row r="24" spans="1:26">
      <c r="A24" s="7">
        <v>20</v>
      </c>
      <c r="B24" s="7">
        <f>Parameters!$E$20</f>
        <v>1000</v>
      </c>
      <c r="C24" s="7">
        <f>X23+B24</f>
        <v>1000.0</v>
      </c>
      <c r="D24" s="7">
        <f>Y23</f>
        <v>394.2353924769659</v>
      </c>
      <c r="E24" s="7">
        <f>Parameters!$E$6*C24</f>
        <v>100.0</v>
      </c>
      <c r="F24" s="7">
        <f>IF(Parameters!$E$5=1,E24,0)</f>
        <v>0.0</v>
      </c>
      <c r="G24" s="7">
        <f>Parameters!$E$27*G23+F24</f>
        <v>0.0</v>
      </c>
      <c r="H24" s="7">
        <f>IF(AND(Parameters!$E$5=1,Parameters!$E$26=1),SUMPRODUCT(--($A$5:A24&lt;A24),--(MOD(A24-$A$5:A24,Parameters!$E$28)=0),$F$5:F24,POWER(Parameters!$E$27,IF(A24-$A$5:A24=0,1,A24-$A$5:A24))),0)</f>
        <v>0.0</v>
      </c>
      <c r="I24" s="7">
        <f>Parameters!$E$23*I23+B24*Parameters!$E$22</f>
        <v>0.0</v>
      </c>
      <c r="J24" s="7">
        <f>E24*Parameters!$E$14*(1-Parameters!$E$15)</f>
        <v>1900.0</v>
      </c>
      <c r="K24" s="7">
        <f>H24*Parameters!$E$29</f>
        <v>0.0</v>
      </c>
      <c r="L24" s="7">
        <f>I24*Parameters!$E$24</f>
        <v>0.0</v>
      </c>
      <c r="M24" s="7">
        <f>J24+K24+L24</f>
        <v>1900.0</v>
      </c>
      <c r="N24" s="7">
        <f>C24*Parameters!$E$17+D24*Parameters!$E$18+E24*Parameters!$E$16+I24*Parameters!$E$25+G24*Parameters!$E$30</f>
        <v>418.27061774308976</v>
      </c>
      <c r="O24" s="7">
        <f>B24*Parameters!$E$19</f>
        <v>4000</v>
      </c>
      <c r="P24" s="7">
        <f>M24-N24-O24</f>
        <v>-2518.27061774309</v>
      </c>
      <c r="Q24" s="7">
        <f>Parameters!$E$21</f>
        <v>1000</v>
      </c>
      <c r="R24" s="7">
        <f>P24-Q24</f>
        <v>-3518.27061774309</v>
      </c>
      <c r="S24" s="7">
        <f>IF(A24&lt;1+Parameters!$E$31,0,INDEX($M$5:$M$40,A24-Parameters!$E$31))</f>
        <v>1900.0</v>
      </c>
      <c r="T24" s="7">
        <f>T23+M24-S24</f>
        <v>1900.0</v>
      </c>
      <c r="U24" s="7">
        <f>S24-N24-O24-Q24</f>
        <v>-3518.27061774309</v>
      </c>
      <c r="V24" s="7">
        <f>V23+U24</f>
        <v>-71706.91752902765</v>
      </c>
      <c r="W24" s="7">
        <f>(1-Parameters!$E$7)*(C24-E24)+(1-Parameters!$E$8)*(D24+E24)</f>
        <v>998.8470784953931</v>
      </c>
      <c r="X24" s="7">
        <f>Parameters!$E$7*(C24-E24)+Parameters!$E$8*Parameters!$E$9*(D24+E24)</f>
        <v>0.0</v>
      </c>
      <c r="Y24" s="7">
        <f>Parameters!$E$8*(1-Parameters!$E$9)*(D24+E24)</f>
        <v>395.38831398157276</v>
      </c>
      <c r="Z24" s="7">
        <f>POWER(1/(1+Parameters!$E$32),A24-1)*(M24-N24)</f>
        <v>1226.4865529825968</v>
      </c>
    </row>
    <row r="25" spans="1:26">
      <c r="A25" s="7">
        <v>21</v>
      </c>
      <c r="B25" s="7">
        <f>Parameters!$E$20</f>
        <v>1000</v>
      </c>
      <c r="C25" s="7">
        <f>X24+B25</f>
        <v>1000.0</v>
      </c>
      <c r="D25" s="7">
        <f>Y24</f>
        <v>395.38831398157276</v>
      </c>
      <c r="E25" s="7">
        <f>Parameters!$E$6*C25</f>
        <v>100.0</v>
      </c>
      <c r="F25" s="7">
        <f>IF(Parameters!$E$5=1,E25,0)</f>
        <v>0.0</v>
      </c>
      <c r="G25" s="7">
        <f>Parameters!$E$27*G24+F25</f>
        <v>0.0</v>
      </c>
      <c r="H25" s="7">
        <f>IF(AND(Parameters!$E$5=1,Parameters!$E$26=1),SUMPRODUCT(--($A$5:A25&lt;A25),--(MOD(A25-$A$5:A25,Parameters!$E$28)=0),$F$5:F25,POWER(Parameters!$E$27,IF(A25-$A$5:A25=0,1,A25-$A$5:A25))),0)</f>
        <v>0.0</v>
      </c>
      <c r="I25" s="7">
        <f>Parameters!$E$23*I24+B25*Parameters!$E$22</f>
        <v>0.0</v>
      </c>
      <c r="J25" s="7">
        <f>E25*Parameters!$E$14*(1-Parameters!$E$15)</f>
        <v>1900.0</v>
      </c>
      <c r="K25" s="7">
        <f>H25*Parameters!$E$29</f>
        <v>0.0</v>
      </c>
      <c r="L25" s="7">
        <f>I25*Parameters!$E$24</f>
        <v>0.0</v>
      </c>
      <c r="M25" s="7">
        <f>J25+K25+L25</f>
        <v>1900.0</v>
      </c>
      <c r="N25" s="7">
        <f>C25*Parameters!$E$17+D25*Parameters!$E$18+E25*Parameters!$E$16+I25*Parameters!$E$25+G25*Parameters!$E$30</f>
        <v>418.61649419447184</v>
      </c>
      <c r="O25" s="7">
        <f>B25*Parameters!$E$19</f>
        <v>4000</v>
      </c>
      <c r="P25" s="7">
        <f>M25-N25-O25</f>
        <v>-2518.6164941944717</v>
      </c>
      <c r="Q25" s="7">
        <f>Parameters!$E$21</f>
        <v>1000</v>
      </c>
      <c r="R25" s="7">
        <f>P25-Q25</f>
        <v>-3518.6164941944717</v>
      </c>
      <c r="S25" s="7">
        <f>IF(A25&lt;1+Parameters!$E$31,0,INDEX($M$5:$M$40,A25-Parameters!$E$31))</f>
        <v>1900.0</v>
      </c>
      <c r="T25" s="7">
        <f>T24+M25-S25</f>
        <v>1900.0</v>
      </c>
      <c r="U25" s="7">
        <f>S25-N25-O25-Q25</f>
        <v>-3518.6164941944717</v>
      </c>
      <c r="V25" s="7">
        <f>V24+U25</f>
        <v>-75225.53402322212</v>
      </c>
      <c r="W25" s="7">
        <f>(1-Parameters!$E$7)*(C25-E25)+(1-Parameters!$E$8)*(D25+E25)</f>
        <v>999.0776627963146</v>
      </c>
      <c r="X25" s="7">
        <f>Parameters!$E$7*(C25-E25)+Parameters!$E$8*Parameters!$E$9*(D25+E25)</f>
        <v>0.0</v>
      </c>
      <c r="Y25" s="7">
        <f>Parameters!$E$8*(1-Parameters!$E$9)*(D25+E25)</f>
        <v>396.3106511852582</v>
      </c>
      <c r="Z25" s="7">
        <f>POWER(1/(1+Parameters!$E$32),A25-1)*(M25-N25)</f>
        <v>1214.0596606317972</v>
      </c>
    </row>
    <row r="26" spans="1:26">
      <c r="A26" s="7">
        <v>22</v>
      </c>
      <c r="B26" s="7">
        <f>Parameters!$E$20</f>
        <v>1000</v>
      </c>
      <c r="C26" s="7">
        <f>X25+B26</f>
        <v>1000.0</v>
      </c>
      <c r="D26" s="7">
        <f>Y25</f>
        <v>396.3106511852582</v>
      </c>
      <c r="E26" s="7">
        <f>Parameters!$E$6*C26</f>
        <v>100.0</v>
      </c>
      <c r="F26" s="7">
        <f>IF(Parameters!$E$5=1,E26,0)</f>
        <v>0.0</v>
      </c>
      <c r="G26" s="7">
        <f>Parameters!$E$27*G25+F26</f>
        <v>0.0</v>
      </c>
      <c r="H26" s="7">
        <f>IF(AND(Parameters!$E$5=1,Parameters!$E$26=1),SUMPRODUCT(--($A$5:A26&lt;A26),--(MOD(A26-$A$5:A26,Parameters!$E$28)=0),$F$5:F26,POWER(Parameters!$E$27,IF(A26-$A$5:A26=0,1,A26-$A$5:A26))),0)</f>
        <v>0.0</v>
      </c>
      <c r="I26" s="7">
        <f>Parameters!$E$23*I25+B26*Parameters!$E$22</f>
        <v>0.0</v>
      </c>
      <c r="J26" s="7">
        <f>E26*Parameters!$E$14*(1-Parameters!$E$15)</f>
        <v>1900.0</v>
      </c>
      <c r="K26" s="7">
        <f>H26*Parameters!$E$29</f>
        <v>0.0</v>
      </c>
      <c r="L26" s="7">
        <f>I26*Parameters!$E$24</f>
        <v>0.0</v>
      </c>
      <c r="M26" s="7">
        <f>J26+K26+L26</f>
        <v>1900.0</v>
      </c>
      <c r="N26" s="7">
        <f>C26*Parameters!$E$17+D26*Parameters!$E$18+E26*Parameters!$E$16+I26*Parameters!$E$25+G26*Parameters!$E$30</f>
        <v>418.89319535557746</v>
      </c>
      <c r="O26" s="7">
        <f>B26*Parameters!$E$19</f>
        <v>4000</v>
      </c>
      <c r="P26" s="7">
        <f>M26-N26-O26</f>
        <v>-2518.8931953555775</v>
      </c>
      <c r="Q26" s="7">
        <f>Parameters!$E$21</f>
        <v>1000</v>
      </c>
      <c r="R26" s="7">
        <f>P26-Q26</f>
        <v>-3518.8931953555775</v>
      </c>
      <c r="S26" s="7">
        <f>IF(A26&lt;1+Parameters!$E$31,0,INDEX($M$5:$M$40,A26-Parameters!$E$31))</f>
        <v>1900.0</v>
      </c>
      <c r="T26" s="7">
        <f>T25+M26-S26</f>
        <v>1900.0</v>
      </c>
      <c r="U26" s="7">
        <f>S26-N26-O26-Q26</f>
        <v>-3518.8931953555775</v>
      </c>
      <c r="V26" s="7">
        <f>V25+U26</f>
        <v>-78744.4272185777</v>
      </c>
      <c r="W26" s="7">
        <f>(1-Parameters!$E$7)*(C26-E26)+(1-Parameters!$E$8)*(D26+E26)</f>
        <v>999.2621302370517</v>
      </c>
      <c r="X26" s="7">
        <f>Parameters!$E$7*(C26-E26)+Parameters!$E$8*Parameters!$E$9*(D26+E26)</f>
        <v>0.0</v>
      </c>
      <c r="Y26" s="7">
        <f>Parameters!$E$8*(1-Parameters!$E$9)*(D26+E26)</f>
        <v>397.0485209482066</v>
      </c>
      <c r="Z26" s="7">
        <f>POWER(1/(1+Parameters!$E$32),A26-1)*(M26-N26)</f>
        <v>1201.8147442824527</v>
      </c>
    </row>
    <row r="27" spans="1:26">
      <c r="A27" s="7">
        <v>23</v>
      </c>
      <c r="B27" s="7">
        <f>Parameters!$E$20</f>
        <v>1000</v>
      </c>
      <c r="C27" s="7">
        <f>X26+B27</f>
        <v>1000.0</v>
      </c>
      <c r="D27" s="7">
        <f>Y26</f>
        <v>397.0485209482066</v>
      </c>
      <c r="E27" s="7">
        <f>Parameters!$E$6*C27</f>
        <v>100.0</v>
      </c>
      <c r="F27" s="7">
        <f>IF(Parameters!$E$5=1,E27,0)</f>
        <v>0.0</v>
      </c>
      <c r="G27" s="7">
        <f>Parameters!$E$27*G26+F27</f>
        <v>0.0</v>
      </c>
      <c r="H27" s="7">
        <f>IF(AND(Parameters!$E$5=1,Parameters!$E$26=1),SUMPRODUCT(--($A$5:A27&lt;A27),--(MOD(A27-$A$5:A27,Parameters!$E$28)=0),$F$5:F27,POWER(Parameters!$E$27,IF(A27-$A$5:A27=0,1,A27-$A$5:A27))),0)</f>
        <v>0.0</v>
      </c>
      <c r="I27" s="7">
        <f>Parameters!$E$23*I26+B27*Parameters!$E$22</f>
        <v>0.0</v>
      </c>
      <c r="J27" s="7">
        <f>E27*Parameters!$E$14*(1-Parameters!$E$15)</f>
        <v>1900.0</v>
      </c>
      <c r="K27" s="7">
        <f>H27*Parameters!$E$29</f>
        <v>0.0</v>
      </c>
      <c r="L27" s="7">
        <f>I27*Parameters!$E$24</f>
        <v>0.0</v>
      </c>
      <c r="M27" s="7">
        <f>J27+K27+L27</f>
        <v>1900.0</v>
      </c>
      <c r="N27" s="7">
        <f>C27*Parameters!$E$17+D27*Parameters!$E$18+E27*Parameters!$E$16+I27*Parameters!$E$25+G27*Parameters!$E$30</f>
        <v>419.11455628446197</v>
      </c>
      <c r="O27" s="7">
        <f>B27*Parameters!$E$19</f>
        <v>4000</v>
      </c>
      <c r="P27" s="7">
        <f>M27-N27-O27</f>
        <v>-2519.114556284462</v>
      </c>
      <c r="Q27" s="7">
        <f>Parameters!$E$21</f>
        <v>1000</v>
      </c>
      <c r="R27" s="7">
        <f>P27-Q27</f>
        <v>-3519.114556284462</v>
      </c>
      <c r="S27" s="7">
        <f>IF(A27&lt;1+Parameters!$E$31,0,INDEX($M$5:$M$40,A27-Parameters!$E$31))</f>
        <v>1900.0</v>
      </c>
      <c r="T27" s="7">
        <f>T26+M27-S27</f>
        <v>1900.0</v>
      </c>
      <c r="U27" s="7">
        <f>S27-N27-O27-Q27</f>
        <v>-3519.114556284462</v>
      </c>
      <c r="V27" s="7">
        <f>V26+U27</f>
        <v>-82263.54177486215</v>
      </c>
      <c r="W27" s="7">
        <f>(1-Parameters!$E$7)*(C27-E27)+(1-Parameters!$E$8)*(D27+E27)</f>
        <v>999.4097041896413</v>
      </c>
      <c r="X27" s="7">
        <f>Parameters!$E$7*(C27-E27)+Parameters!$E$8*Parameters!$E$9*(D27+E27)</f>
        <v>0.0</v>
      </c>
      <c r="Y27" s="7">
        <f>Parameters!$E$8*(1-Parameters!$E$9)*(D27+E27)</f>
        <v>397.6388167585653</v>
      </c>
      <c r="Z27" s="7">
        <f>POWER(1/(1+Parameters!$E$32),A27-1)*(M27-N27)</f>
        <v>1189.7377478679161</v>
      </c>
    </row>
    <row r="28" spans="1:26">
      <c r="A28" s="7">
        <v>24</v>
      </c>
      <c r="B28" s="7">
        <f>Parameters!$E$20</f>
        <v>1000</v>
      </c>
      <c r="C28" s="7">
        <f>X27+B28</f>
        <v>1000.0</v>
      </c>
      <c r="D28" s="7">
        <f>Y27</f>
        <v>397.6388167585653</v>
      </c>
      <c r="E28" s="7">
        <f>Parameters!$E$6*C28</f>
        <v>100.0</v>
      </c>
      <c r="F28" s="7">
        <f>IF(Parameters!$E$5=1,E28,0)</f>
        <v>0.0</v>
      </c>
      <c r="G28" s="7">
        <f>Parameters!$E$27*G27+F28</f>
        <v>0.0</v>
      </c>
      <c r="H28" s="7">
        <f>IF(AND(Parameters!$E$5=1,Parameters!$E$26=1),SUMPRODUCT(--($A$5:A28&lt;A28),--(MOD(A28-$A$5:A28,Parameters!$E$28)=0),$F$5:F28,POWER(Parameters!$E$27,IF(A28-$A$5:A28=0,1,A28-$A$5:A28))),0)</f>
        <v>0.0</v>
      </c>
      <c r="I28" s="7">
        <f>Parameters!$E$23*I27+B28*Parameters!$E$22</f>
        <v>0.0</v>
      </c>
      <c r="J28" s="7">
        <f>E28*Parameters!$E$14*(1-Parameters!$E$15)</f>
        <v>1900.0</v>
      </c>
      <c r="K28" s="7">
        <f>H28*Parameters!$E$29</f>
        <v>0.0</v>
      </c>
      <c r="L28" s="7">
        <f>I28*Parameters!$E$24</f>
        <v>0.0</v>
      </c>
      <c r="M28" s="7">
        <f>J28+K28+L28</f>
        <v>1900.0</v>
      </c>
      <c r="N28" s="7">
        <f>C28*Parameters!$E$17+D28*Parameters!$E$18+E28*Parameters!$E$16+I28*Parameters!$E$25+G28*Parameters!$E$30</f>
        <v>419.2916450275696</v>
      </c>
      <c r="O28" s="7">
        <f>B28*Parameters!$E$19</f>
        <v>4000</v>
      </c>
      <c r="P28" s="7">
        <f>M28-N28-O28</f>
        <v>-2519.2916450275698</v>
      </c>
      <c r="Q28" s="7">
        <f>Parameters!$E$21</f>
        <v>1000</v>
      </c>
      <c r="R28" s="7">
        <f>P28-Q28</f>
        <v>-3519.2916450275698</v>
      </c>
      <c r="S28" s="7">
        <f>IF(A28&lt;1+Parameters!$E$31,0,INDEX($M$5:$M$40,A28-Parameters!$E$31))</f>
        <v>1900.0</v>
      </c>
      <c r="T28" s="7">
        <f>T27+M28-S28</f>
        <v>1900.0</v>
      </c>
      <c r="U28" s="7">
        <f>S28-N28-O28-Q28</f>
        <v>-3519.2916450275698</v>
      </c>
      <c r="V28" s="7">
        <f>V27+U28</f>
        <v>-85782.83341988972</v>
      </c>
      <c r="W28" s="7">
        <f>(1-Parameters!$E$7)*(C28-E28)+(1-Parameters!$E$8)*(D28+E28)</f>
        <v>999.527763351713</v>
      </c>
      <c r="X28" s="7">
        <f>Parameters!$E$7*(C28-E28)+Parameters!$E$8*Parameters!$E$9*(D28+E28)</f>
        <v>0.0</v>
      </c>
      <c r="Y28" s="7">
        <f>Parameters!$E$8*(1-Parameters!$E$9)*(D28+E28)</f>
        <v>398.1110534068523</v>
      </c>
      <c r="Z28" s="7">
        <f>POWER(1/(1+Parameters!$E$32),A28-1)*(M28-N28)</f>
        <v>1177.8173024192818</v>
      </c>
    </row>
    <row r="29" spans="1:26">
      <c r="A29" s="7">
        <v>25</v>
      </c>
      <c r="B29" s="7">
        <f>Parameters!$E$20</f>
        <v>1000</v>
      </c>
      <c r="C29" s="7">
        <f>X28+B29</f>
        <v>1000.0</v>
      </c>
      <c r="D29" s="7">
        <f>Y28</f>
        <v>398.1110534068523</v>
      </c>
      <c r="E29" s="7">
        <f>Parameters!$E$6*C29</f>
        <v>100.0</v>
      </c>
      <c r="F29" s="7">
        <f>IF(Parameters!$E$5=1,E29,0)</f>
        <v>0.0</v>
      </c>
      <c r="G29" s="7">
        <f>Parameters!$E$27*G28+F29</f>
        <v>0.0</v>
      </c>
      <c r="H29" s="7">
        <f>IF(AND(Parameters!$E$5=1,Parameters!$E$26=1),SUMPRODUCT(--($A$5:A29&lt;A29),--(MOD(A29-$A$5:A29,Parameters!$E$28)=0),$F$5:F29,POWER(Parameters!$E$27,IF(A29-$A$5:A29=0,1,A29-$A$5:A29))),0)</f>
        <v>0.0</v>
      </c>
      <c r="I29" s="7">
        <f>Parameters!$E$23*I28+B29*Parameters!$E$22</f>
        <v>0.0</v>
      </c>
      <c r="J29" s="7">
        <f>E29*Parameters!$E$14*(1-Parameters!$E$15)</f>
        <v>1900.0</v>
      </c>
      <c r="K29" s="7">
        <f>H29*Parameters!$E$29</f>
        <v>0.0</v>
      </c>
      <c r="L29" s="7">
        <f>I29*Parameters!$E$24</f>
        <v>0.0</v>
      </c>
      <c r="M29" s="7">
        <f>J29+K29+L29</f>
        <v>1900.0</v>
      </c>
      <c r="N29" s="7">
        <f>C29*Parameters!$E$17+D29*Parameters!$E$18+E29*Parameters!$E$16+I29*Parameters!$E$25+G29*Parameters!$E$30</f>
        <v>419.4333160220557</v>
      </c>
      <c r="O29" s="7">
        <f>B29*Parameters!$E$19</f>
        <v>4000</v>
      </c>
      <c r="P29" s="7">
        <f>M29-N29-O29</f>
        <v>-2519.433316022056</v>
      </c>
      <c r="Q29" s="7">
        <f>Parameters!$E$21</f>
        <v>1000</v>
      </c>
      <c r="R29" s="7">
        <f>P29-Q29</f>
        <v>-3519.433316022056</v>
      </c>
      <c r="S29" s="7">
        <f>IF(A29&lt;1+Parameters!$E$31,0,INDEX($M$5:$M$40,A29-Parameters!$E$31))</f>
        <v>1900.0</v>
      </c>
      <c r="T29" s="7">
        <f>T28+M29-S29</f>
        <v>1900.0</v>
      </c>
      <c r="U29" s="7">
        <f>S29-N29-O29-Q29</f>
        <v>-3519.433316022056</v>
      </c>
      <c r="V29" s="7">
        <f>V28+U29</f>
        <v>-89302.26673591178</v>
      </c>
      <c r="W29" s="7">
        <f>(1-Parameters!$E$7)*(C29-E29)+(1-Parameters!$E$8)*(D29+E29)</f>
        <v>999.6222106813705</v>
      </c>
      <c r="X29" s="7">
        <f>Parameters!$E$7*(C29-E29)+Parameters!$E$8*Parameters!$E$9*(D29+E29)</f>
        <v>0.0</v>
      </c>
      <c r="Y29" s="7">
        <f>Parameters!$E$8*(1-Parameters!$E$9)*(D29+E29)</f>
        <v>398.48884272548185</v>
      </c>
      <c r="Z29" s="7">
        <f>POWER(1/(1+Parameters!$E$32),A29-1)*(M29-N29)</f>
        <v>1166.0441696930902</v>
      </c>
    </row>
    <row r="30" spans="1:26">
      <c r="A30" s="7">
        <v>26</v>
      </c>
      <c r="B30" s="7">
        <f>Parameters!$E$20</f>
        <v>1000</v>
      </c>
      <c r="C30" s="7">
        <f>X29+B30</f>
        <v>1000.0</v>
      </c>
      <c r="D30" s="7">
        <f>Y29</f>
        <v>398.48884272548185</v>
      </c>
      <c r="E30" s="7">
        <f>Parameters!$E$6*C30</f>
        <v>100.0</v>
      </c>
      <c r="F30" s="7">
        <f>IF(Parameters!$E$5=1,E30,0)</f>
        <v>0.0</v>
      </c>
      <c r="G30" s="7">
        <f>Parameters!$E$27*G29+F30</f>
        <v>0.0</v>
      </c>
      <c r="H30" s="7">
        <f>IF(AND(Parameters!$E$5=1,Parameters!$E$26=1),SUMPRODUCT(--($A$5:A30&lt;A30),--(MOD(A30-$A$5:A30,Parameters!$E$28)=0),$F$5:F30,POWER(Parameters!$E$27,IF(A30-$A$5:A30=0,1,A30-$A$5:A30))),0)</f>
        <v>0.0</v>
      </c>
      <c r="I30" s="7">
        <f>Parameters!$E$23*I29+B30*Parameters!$E$22</f>
        <v>0.0</v>
      </c>
      <c r="J30" s="7">
        <f>E30*Parameters!$E$14*(1-Parameters!$E$15)</f>
        <v>1900.0</v>
      </c>
      <c r="K30" s="7">
        <f>H30*Parameters!$E$29</f>
        <v>0.0</v>
      </c>
      <c r="L30" s="7">
        <f>I30*Parameters!$E$24</f>
        <v>0.0</v>
      </c>
      <c r="M30" s="7">
        <f>J30+K30+L30</f>
        <v>1900.0</v>
      </c>
      <c r="N30" s="7">
        <f>C30*Parameters!$E$17+D30*Parameters!$E$18+E30*Parameters!$E$16+I30*Parameters!$E$25+G30*Parameters!$E$30</f>
        <v>419.54665281764454</v>
      </c>
      <c r="O30" s="7">
        <f>B30*Parameters!$E$19</f>
        <v>4000</v>
      </c>
      <c r="P30" s="7">
        <f>M30-N30-O30</f>
        <v>-2519.546652817645</v>
      </c>
      <c r="Q30" s="7">
        <f>Parameters!$E$21</f>
        <v>1000</v>
      </c>
      <c r="R30" s="7">
        <f>P30-Q30</f>
        <v>-3519.546652817645</v>
      </c>
      <c r="S30" s="7">
        <f>IF(A30&lt;1+Parameters!$E$31,0,INDEX($M$5:$M$40,A30-Parameters!$E$31))</f>
        <v>1900.0</v>
      </c>
      <c r="T30" s="7">
        <f>T29+M30-S30</f>
        <v>1900.0</v>
      </c>
      <c r="U30" s="7">
        <f>S30-N30-O30-Q30</f>
        <v>-3519.546652817645</v>
      </c>
      <c r="V30" s="7">
        <f>V29+U30</f>
        <v>-92821.81338872942</v>
      </c>
      <c r="W30" s="7">
        <f>(1-Parameters!$E$7)*(C30-E30)+(1-Parameters!$E$8)*(D30+E30)</f>
        <v>999.6977685450963</v>
      </c>
      <c r="X30" s="7">
        <f>Parameters!$E$7*(C30-E30)+Parameters!$E$8*Parameters!$E$9*(D30+E30)</f>
        <v>0.0</v>
      </c>
      <c r="Y30" s="7">
        <f>Parameters!$E$8*(1-Parameters!$E$9)*(D30+E30)</f>
        <v>398.7910741803855</v>
      </c>
      <c r="Z30" s="7">
        <f>POWER(1/(1+Parameters!$E$32),A30-1)*(M30-N30)</f>
        <v>1154.4108014573203</v>
      </c>
    </row>
    <row r="31" spans="1:26">
      <c r="A31" s="7">
        <v>27</v>
      </c>
      <c r="B31" s="7">
        <f>Parameters!$E$20</f>
        <v>1000</v>
      </c>
      <c r="C31" s="7">
        <f>X30+B31</f>
        <v>1000.0</v>
      </c>
      <c r="D31" s="7">
        <f>Y30</f>
        <v>398.7910741803855</v>
      </c>
      <c r="E31" s="7">
        <f>Parameters!$E$6*C31</f>
        <v>100.0</v>
      </c>
      <c r="F31" s="7">
        <f>IF(Parameters!$E$5=1,E31,0)</f>
        <v>0.0</v>
      </c>
      <c r="G31" s="7">
        <f>Parameters!$E$27*G30+F31</f>
        <v>0.0</v>
      </c>
      <c r="H31" s="7">
        <f>IF(AND(Parameters!$E$5=1,Parameters!$E$26=1),SUMPRODUCT(--($A$5:A31&lt;A31),--(MOD(A31-$A$5:A31,Parameters!$E$28)=0),$F$5:F31,POWER(Parameters!$E$27,IF(A31-$A$5:A31=0,1,A31-$A$5:A31))),0)</f>
        <v>0.0</v>
      </c>
      <c r="I31" s="7">
        <f>Parameters!$E$23*I30+B31*Parameters!$E$22</f>
        <v>0.0</v>
      </c>
      <c r="J31" s="7">
        <f>E31*Parameters!$E$14*(1-Parameters!$E$15)</f>
        <v>1900.0</v>
      </c>
      <c r="K31" s="7">
        <f>H31*Parameters!$E$29</f>
        <v>0.0</v>
      </c>
      <c r="L31" s="7">
        <f>I31*Parameters!$E$24</f>
        <v>0.0</v>
      </c>
      <c r="M31" s="7">
        <f>J31+K31+L31</f>
        <v>1900.0</v>
      </c>
      <c r="N31" s="7">
        <f>C31*Parameters!$E$17+D31*Parameters!$E$18+E31*Parameters!$E$16+I31*Parameters!$E$25+G31*Parameters!$E$30</f>
        <v>419.63732225411565</v>
      </c>
      <c r="O31" s="7">
        <f>B31*Parameters!$E$19</f>
        <v>4000</v>
      </c>
      <c r="P31" s="7">
        <f>M31-N31-O31</f>
        <v>-2519.6373222541156</v>
      </c>
      <c r="Q31" s="7">
        <f>Parameters!$E$21</f>
        <v>1000</v>
      </c>
      <c r="R31" s="7">
        <f>P31-Q31</f>
        <v>-3519.6373222541156</v>
      </c>
      <c r="S31" s="7">
        <f>IF(A31&lt;1+Parameters!$E$31,0,INDEX($M$5:$M$40,A31-Parameters!$E$31))</f>
        <v>1900.0</v>
      </c>
      <c r="T31" s="7">
        <f>T30+M31-S31</f>
        <v>1900.0</v>
      </c>
      <c r="U31" s="7">
        <f>S31-N31-O31-Q31</f>
        <v>-3519.6373222541156</v>
      </c>
      <c r="V31" s="7">
        <f>V30+U31</f>
        <v>-96341.45071098354</v>
      </c>
      <c r="W31" s="7">
        <f>(1-Parameters!$E$7)*(C31-E31)+(1-Parameters!$E$8)*(D31+E31)</f>
        <v>999.7582148360771</v>
      </c>
      <c r="X31" s="7">
        <f>Parameters!$E$7*(C31-E31)+Parameters!$E$8*Parameters!$E$9*(D31+E31)</f>
        <v>0.0</v>
      </c>
      <c r="Y31" s="7">
        <f>Parameters!$E$8*(1-Parameters!$E$9)*(D31+E31)</f>
        <v>399.03285934430846</v>
      </c>
      <c r="Z31" s="7">
        <f>POWER(1/(1+Parameters!$E$32),A31-1)*(M31-N31)</f>
        <v>1142.910990388135</v>
      </c>
    </row>
    <row r="32" spans="1:26">
      <c r="A32" s="7">
        <v>28</v>
      </c>
      <c r="B32" s="7">
        <f>Parameters!$E$20</f>
        <v>1000</v>
      </c>
      <c r="C32" s="7">
        <f>X31+B32</f>
        <v>1000.0</v>
      </c>
      <c r="D32" s="7">
        <f>Y31</f>
        <v>399.03285934430846</v>
      </c>
      <c r="E32" s="7">
        <f>Parameters!$E$6*C32</f>
        <v>100.0</v>
      </c>
      <c r="F32" s="7">
        <f>IF(Parameters!$E$5=1,E32,0)</f>
        <v>0.0</v>
      </c>
      <c r="G32" s="7">
        <f>Parameters!$E$27*G31+F32</f>
        <v>0.0</v>
      </c>
      <c r="H32" s="7">
        <f>IF(AND(Parameters!$E$5=1,Parameters!$E$26=1),SUMPRODUCT(--($A$5:A32&lt;A32),--(MOD(A32-$A$5:A32,Parameters!$E$28)=0),$F$5:F32,POWER(Parameters!$E$27,IF(A32-$A$5:A32=0,1,A32-$A$5:A32))),0)</f>
        <v>0.0</v>
      </c>
      <c r="I32" s="7">
        <f>Parameters!$E$23*I31+B32*Parameters!$E$22</f>
        <v>0.0</v>
      </c>
      <c r="J32" s="7">
        <f>E32*Parameters!$E$14*(1-Parameters!$E$15)</f>
        <v>1900.0</v>
      </c>
      <c r="K32" s="7">
        <f>H32*Parameters!$E$29</f>
        <v>0.0</v>
      </c>
      <c r="L32" s="7">
        <f>I32*Parameters!$E$24</f>
        <v>0.0</v>
      </c>
      <c r="M32" s="7">
        <f>J32+K32+L32</f>
        <v>1900.0</v>
      </c>
      <c r="N32" s="7">
        <f>C32*Parameters!$E$17+D32*Parameters!$E$18+E32*Parameters!$E$16+I32*Parameters!$E$25+G32*Parameters!$E$30</f>
        <v>419.70985780329255</v>
      </c>
      <c r="O32" s="7">
        <f>B32*Parameters!$E$19</f>
        <v>4000</v>
      </c>
      <c r="P32" s="7">
        <f>M32-N32-O32</f>
        <v>-2519.709857803293</v>
      </c>
      <c r="Q32" s="7">
        <f>Parameters!$E$21</f>
        <v>1000</v>
      </c>
      <c r="R32" s="7">
        <f>P32-Q32</f>
        <v>-3519.709857803293</v>
      </c>
      <c r="S32" s="7">
        <f>IF(A32&lt;1+Parameters!$E$31,0,INDEX($M$5:$M$40,A32-Parameters!$E$31))</f>
        <v>1900.0</v>
      </c>
      <c r="T32" s="7">
        <f>T31+M32-S32</f>
        <v>1900.0</v>
      </c>
      <c r="U32" s="7">
        <f>S32-N32-O32-Q32</f>
        <v>-3519.709857803293</v>
      </c>
      <c r="V32" s="7">
        <f>V31+U32</f>
        <v>-99861.16056878683</v>
      </c>
      <c r="W32" s="7">
        <f>(1-Parameters!$E$7)*(C32-E32)+(1-Parameters!$E$8)*(D32+E32)</f>
        <v>999.8065718688617</v>
      </c>
      <c r="X32" s="7">
        <f>Parameters!$E$7*(C32-E32)+Parameters!$E$8*Parameters!$E$9*(D32+E32)</f>
        <v>0.0</v>
      </c>
      <c r="Y32" s="7">
        <f>Parameters!$E$8*(1-Parameters!$E$9)*(D32+E32)</f>
        <v>399.2262874754468</v>
      </c>
      <c r="Z32" s="7">
        <f>POWER(1/(1+Parameters!$E$32),A32-1)*(M32-N32)</f>
        <v>1131.5395935298234</v>
      </c>
    </row>
    <row r="33" spans="1:26">
      <c r="A33" s="7">
        <v>29</v>
      </c>
      <c r="B33" s="7">
        <f>Parameters!$E$20</f>
        <v>1000</v>
      </c>
      <c r="C33" s="7">
        <f>X32+B33</f>
        <v>1000.0</v>
      </c>
      <c r="D33" s="7">
        <f>Y32</f>
        <v>399.2262874754468</v>
      </c>
      <c r="E33" s="7">
        <f>Parameters!$E$6*C33</f>
        <v>100.0</v>
      </c>
      <c r="F33" s="7">
        <f>IF(Parameters!$E$5=1,E33,0)</f>
        <v>0.0</v>
      </c>
      <c r="G33" s="7">
        <f>Parameters!$E$27*G32+F33</f>
        <v>0.0</v>
      </c>
      <c r="H33" s="7">
        <f>IF(AND(Parameters!$E$5=1,Parameters!$E$26=1),SUMPRODUCT(--($A$5:A33&lt;A33),--(MOD(A33-$A$5:A33,Parameters!$E$28)=0),$F$5:F33,POWER(Parameters!$E$27,IF(A33-$A$5:A33=0,1,A33-$A$5:A33))),0)</f>
        <v>0.0</v>
      </c>
      <c r="I33" s="7">
        <f>Parameters!$E$23*I32+B33*Parameters!$E$22</f>
        <v>0.0</v>
      </c>
      <c r="J33" s="7">
        <f>E33*Parameters!$E$14*(1-Parameters!$E$15)</f>
        <v>1900.0</v>
      </c>
      <c r="K33" s="7">
        <f>H33*Parameters!$E$29</f>
        <v>0.0</v>
      </c>
      <c r="L33" s="7">
        <f>I33*Parameters!$E$24</f>
        <v>0.0</v>
      </c>
      <c r="M33" s="7">
        <f>J33+K33+L33</f>
        <v>1900.0</v>
      </c>
      <c r="N33" s="7">
        <f>C33*Parameters!$E$17+D33*Parameters!$E$18+E33*Parameters!$E$16+I33*Parameters!$E$25+G33*Parameters!$E$30</f>
        <v>419.76788624263406</v>
      </c>
      <c r="O33" s="7">
        <f>B33*Parameters!$E$19</f>
        <v>4000</v>
      </c>
      <c r="P33" s="7">
        <f>M33-N33-O33</f>
        <v>-2519.767886242634</v>
      </c>
      <c r="Q33" s="7">
        <f>Parameters!$E$21</f>
        <v>1000</v>
      </c>
      <c r="R33" s="7">
        <f>P33-Q33</f>
        <v>-3519.767886242634</v>
      </c>
      <c r="S33" s="7">
        <f>IF(A33&lt;1+Parameters!$E$31,0,INDEX($M$5:$M$40,A33-Parameters!$E$31))</f>
        <v>1900.0</v>
      </c>
      <c r="T33" s="7">
        <f>T32+M33-S33</f>
        <v>1900.0</v>
      </c>
      <c r="U33" s="7">
        <f>S33-N33-O33-Q33</f>
        <v>-3519.767886242634</v>
      </c>
      <c r="V33" s="7">
        <f>V32+U33</f>
        <v>-103380.92845502947</v>
      </c>
      <c r="W33" s="7">
        <f>(1-Parameters!$E$7)*(C33-E33)+(1-Parameters!$E$8)*(D33+E33)</f>
        <v>999.8452574950893</v>
      </c>
      <c r="X33" s="7">
        <f>Parameters!$E$7*(C33-E33)+Parameters!$E$8*Parameters!$E$9*(D33+E33)</f>
        <v>0.0</v>
      </c>
      <c r="Y33" s="7">
        <f>Parameters!$E$8*(1-Parameters!$E$9)*(D33+E33)</f>
        <v>399.3810299803574</v>
      </c>
      <c r="Z33" s="7">
        <f>POWER(1/(1+Parameters!$E$32),A33-1)*(M33-N33)</f>
        <v>1120.2923132307724</v>
      </c>
    </row>
    <row r="34" spans="1:26">
      <c r="A34" s="7">
        <v>30</v>
      </c>
      <c r="B34" s="7">
        <f>Parameters!$E$20</f>
        <v>1000</v>
      </c>
      <c r="C34" s="7">
        <f>X33+B34</f>
        <v>1000.0</v>
      </c>
      <c r="D34" s="7">
        <f>Y33</f>
        <v>399.3810299803575</v>
      </c>
      <c r="E34" s="7">
        <f>Parameters!$E$6*C34</f>
        <v>100.0</v>
      </c>
      <c r="F34" s="7">
        <f>IF(Parameters!$E$5=1,E34,0)</f>
        <v>0.0</v>
      </c>
      <c r="G34" s="7">
        <f>Parameters!$E$27*G33+F34</f>
        <v>0.0</v>
      </c>
      <c r="H34" s="7">
        <f>IF(AND(Parameters!$E$5=1,Parameters!$E$26=1),SUMPRODUCT(--($A$5:A34&lt;A34),--(MOD(A34-$A$5:A34,Parameters!$E$28)=0),$F$5:F34,POWER(Parameters!$E$27,IF(A34-$A$5:A34=0,1,A34-$A$5:A34))),0)</f>
        <v>0.0</v>
      </c>
      <c r="I34" s="7">
        <f>Parameters!$E$23*I33+B34*Parameters!$E$22</f>
        <v>0.0</v>
      </c>
      <c r="J34" s="7">
        <f>E34*Parameters!$E$14*(1-Parameters!$E$15)</f>
        <v>1900.0</v>
      </c>
      <c r="K34" s="7">
        <f>H34*Parameters!$E$29</f>
        <v>0.0</v>
      </c>
      <c r="L34" s="7">
        <f>I34*Parameters!$E$24</f>
        <v>0.0</v>
      </c>
      <c r="M34" s="7">
        <f>J34+K34+L34</f>
        <v>1900.0</v>
      </c>
      <c r="N34" s="7">
        <f>C34*Parameters!$E$17+D34*Parameters!$E$18+E34*Parameters!$E$16+I34*Parameters!$E$25+G34*Parameters!$E$30</f>
        <v>419.81430899410725</v>
      </c>
      <c r="O34" s="7">
        <f>B34*Parameters!$E$19</f>
        <v>4000</v>
      </c>
      <c r="P34" s="7">
        <f>M34-N34-O34</f>
        <v>-2519.8143089941073</v>
      </c>
      <c r="Q34" s="7">
        <f>Parameters!$E$21</f>
        <v>1000</v>
      </c>
      <c r="R34" s="7">
        <f>P34-Q34</f>
        <v>-3519.8143089941073</v>
      </c>
      <c r="S34" s="7">
        <f>IF(A34&lt;1+Parameters!$E$31,0,INDEX($M$5:$M$40,A34-Parameters!$E$31))</f>
        <v>1900.0</v>
      </c>
      <c r="T34" s="7">
        <f>T33+M34-S34</f>
        <v>1900.0</v>
      </c>
      <c r="U34" s="7">
        <f>S34-N34-O34-Q34</f>
        <v>-3519.8143089941073</v>
      </c>
      <c r="V34" s="7">
        <f>V33+U34</f>
        <v>-106900.74276402357</v>
      </c>
      <c r="W34" s="7">
        <f>(1-Parameters!$E$7)*(C34-E34)+(1-Parameters!$E$8)*(D34+E34)</f>
        <v>999.8762059960715</v>
      </c>
      <c r="X34" s="7">
        <f>Parameters!$E$7*(C34-E34)+Parameters!$E$8*Parameters!$E$9*(D34+E34)</f>
        <v>0.0</v>
      </c>
      <c r="Y34" s="7">
        <f>Parameters!$E$8*(1-Parameters!$E$9)*(D34+E34)</f>
        <v>399.504823984286</v>
      </c>
      <c r="Z34" s="7">
        <f>POWER(1/(1+Parameters!$E$32),A34-1)*(M34-N34)</f>
        <v>1109.1655236052209</v>
      </c>
    </row>
    <row r="35" spans="1:26">
      <c r="A35" s="7">
        <v>31</v>
      </c>
      <c r="B35" s="7">
        <f>Parameters!$E$20</f>
        <v>1000</v>
      </c>
      <c r="C35" s="7">
        <f>X34+B35</f>
        <v>1000.0</v>
      </c>
      <c r="D35" s="7">
        <f>Y34</f>
        <v>399.504823984286</v>
      </c>
      <c r="E35" s="7">
        <f>Parameters!$E$6*C35</f>
        <v>100.0</v>
      </c>
      <c r="F35" s="7">
        <f>IF(Parameters!$E$5=1,E35,0)</f>
        <v>0.0</v>
      </c>
      <c r="G35" s="7">
        <f>Parameters!$E$27*G34+F35</f>
        <v>0.0</v>
      </c>
      <c r="H35" s="7">
        <f>IF(AND(Parameters!$E$5=1,Parameters!$E$26=1),SUMPRODUCT(--($A$5:A35&lt;A35),--(MOD(A35-$A$5:A35,Parameters!$E$28)=0),$F$5:F35,POWER(Parameters!$E$27,IF(A35-$A$5:A35=0,1,A35-$A$5:A35))),0)</f>
        <v>0.0</v>
      </c>
      <c r="I35" s="7">
        <f>Parameters!$E$23*I34+B35*Parameters!$E$22</f>
        <v>0.0</v>
      </c>
      <c r="J35" s="7">
        <f>E35*Parameters!$E$14*(1-Parameters!$E$15)</f>
        <v>1900.0</v>
      </c>
      <c r="K35" s="7">
        <f>H35*Parameters!$E$29</f>
        <v>0.0</v>
      </c>
      <c r="L35" s="7">
        <f>I35*Parameters!$E$24</f>
        <v>0.0</v>
      </c>
      <c r="M35" s="7">
        <f>J35+K35+L35</f>
        <v>1900.0</v>
      </c>
      <c r="N35" s="7">
        <f>C35*Parameters!$E$17+D35*Parameters!$E$18+E35*Parameters!$E$16+I35*Parameters!$E$25+G35*Parameters!$E$30</f>
        <v>419.8514471952858</v>
      </c>
      <c r="O35" s="7">
        <f>B35*Parameters!$E$19</f>
        <v>4000</v>
      </c>
      <c r="P35" s="7">
        <f>M35-N35-O35</f>
        <v>-2519.851447195286</v>
      </c>
      <c r="Q35" s="7">
        <f>Parameters!$E$21</f>
        <v>1000</v>
      </c>
      <c r="R35" s="7">
        <f>P35-Q35</f>
        <v>-3519.851447195286</v>
      </c>
      <c r="S35" s="7">
        <f>IF(A35&lt;1+Parameters!$E$31,0,INDEX($M$5:$M$40,A35-Parameters!$E$31))</f>
        <v>1900.0</v>
      </c>
      <c r="T35" s="7">
        <f>T34+M35-S35</f>
        <v>1900.0</v>
      </c>
      <c r="U35" s="7">
        <f>S35-N35-O35-Q35</f>
        <v>-3519.851447195286</v>
      </c>
      <c r="V35" s="7">
        <f>V34+U35</f>
        <v>-110420.59421121885</v>
      </c>
      <c r="W35" s="7">
        <f>(1-Parameters!$E$7)*(C35-E35)+(1-Parameters!$E$8)*(D35+E35)</f>
        <v>999.9009647968571</v>
      </c>
      <c r="X35" s="7">
        <f>Parameters!$E$7*(C35-E35)+Parameters!$E$8*Parameters!$E$9*(D35+E35)</f>
        <v>0.0</v>
      </c>
      <c r="Y35" s="7">
        <f>Parameters!$E$8*(1-Parameters!$E$9)*(D35+E35)</f>
        <v>399.60385918742884</v>
      </c>
      <c r="Z35" s="7">
        <f>POWER(1/(1+Parameters!$E$32),A35-1)*(M35-N35)</f>
        <v>1098.1561330552627</v>
      </c>
    </row>
    <row r="36" spans="1:26">
      <c r="A36" s="7">
        <v>32</v>
      </c>
      <c r="B36" s="7">
        <f>Parameters!$E$20</f>
        <v>1000</v>
      </c>
      <c r="C36" s="7">
        <f>X35+B36</f>
        <v>1000.0</v>
      </c>
      <c r="D36" s="7">
        <f>Y35</f>
        <v>399.60385918742884</v>
      </c>
      <c r="E36" s="7">
        <f>Parameters!$E$6*C36</f>
        <v>100.0</v>
      </c>
      <c r="F36" s="7">
        <f>IF(Parameters!$E$5=1,E36,0)</f>
        <v>0.0</v>
      </c>
      <c r="G36" s="7">
        <f>Parameters!$E$27*G35+F36</f>
        <v>0.0</v>
      </c>
      <c r="H36" s="7">
        <f>IF(AND(Parameters!$E$5=1,Parameters!$E$26=1),SUMPRODUCT(--($A$5:A36&lt;A36),--(MOD(A36-$A$5:A36,Parameters!$E$28)=0),$F$5:F36,POWER(Parameters!$E$27,IF(A36-$A$5:A36=0,1,A36-$A$5:A36))),0)</f>
        <v>0.0</v>
      </c>
      <c r="I36" s="7">
        <f>Parameters!$E$23*I35+B36*Parameters!$E$22</f>
        <v>0.0</v>
      </c>
      <c r="J36" s="7">
        <f>E36*Parameters!$E$14*(1-Parameters!$E$15)</f>
        <v>1900.0</v>
      </c>
      <c r="K36" s="7">
        <f>H36*Parameters!$E$29</f>
        <v>0.0</v>
      </c>
      <c r="L36" s="7">
        <f>I36*Parameters!$E$24</f>
        <v>0.0</v>
      </c>
      <c r="M36" s="7">
        <f>J36+K36+L36</f>
        <v>1900.0</v>
      </c>
      <c r="N36" s="7">
        <f>C36*Parameters!$E$17+D36*Parameters!$E$18+E36*Parameters!$E$16+I36*Parameters!$E$25+G36*Parameters!$E$30</f>
        <v>419.8811577562286</v>
      </c>
      <c r="O36" s="7">
        <f>B36*Parameters!$E$19</f>
        <v>4000</v>
      </c>
      <c r="P36" s="7">
        <f>M36-N36-O36</f>
        <v>-2519.8811577562287</v>
      </c>
      <c r="Q36" s="7">
        <f>Parameters!$E$21</f>
        <v>1000</v>
      </c>
      <c r="R36" s="7">
        <f>P36-Q36</f>
        <v>-3519.8811577562287</v>
      </c>
      <c r="S36" s="7">
        <f>IF(A36&lt;1+Parameters!$E$31,0,INDEX($M$5:$M$40,A36-Parameters!$E$31))</f>
        <v>1900.0</v>
      </c>
      <c r="T36" s="7">
        <f>T35+M36-S36</f>
        <v>1900.0</v>
      </c>
      <c r="U36" s="7">
        <f>S36-N36-O36-Q36</f>
        <v>-3519.8811577562287</v>
      </c>
      <c r="V36" s="7">
        <f>V35+U36</f>
        <v>-113940.47536897508</v>
      </c>
      <c r="W36" s="7">
        <f>(1-Parameters!$E$7)*(C36-E36)+(1-Parameters!$E$8)*(D36+E36)</f>
        <v>999.9207718374857</v>
      </c>
      <c r="X36" s="7">
        <f>Parameters!$E$7*(C36-E36)+Parameters!$E$8*Parameters!$E$9*(D36+E36)</f>
        <v>0.0</v>
      </c>
      <c r="Y36" s="7">
        <f>Parameters!$E$8*(1-Parameters!$E$9)*(D36+E36)</f>
        <v>399.6830873499431</v>
      </c>
      <c r="Z36" s="7">
        <f>POWER(1/(1+Parameters!$E$32),A36-1)*(M36-N36)</f>
        <v>1087.2614753556425</v>
      </c>
    </row>
    <row r="37" spans="1:26">
      <c r="A37" s="7">
        <v>33</v>
      </c>
      <c r="B37" s="7">
        <f>Parameters!$E$20</f>
        <v>1000</v>
      </c>
      <c r="C37" s="7">
        <f>X36+B37</f>
        <v>1000.0</v>
      </c>
      <c r="D37" s="7">
        <f>Y36</f>
        <v>399.6830873499431</v>
      </c>
      <c r="E37" s="7">
        <f>Parameters!$E$6*C37</f>
        <v>100.0</v>
      </c>
      <c r="F37" s="7">
        <f>IF(Parameters!$E$5=1,E37,0)</f>
        <v>0.0</v>
      </c>
      <c r="G37" s="7">
        <f>Parameters!$E$27*G36+F37</f>
        <v>0.0</v>
      </c>
      <c r="H37" s="7">
        <f>IF(AND(Parameters!$E$5=1,Parameters!$E$26=1),SUMPRODUCT(--($A$5:A37&lt;A37),--(MOD(A37-$A$5:A37,Parameters!$E$28)=0),$F$5:F37,POWER(Parameters!$E$27,IF(A37-$A$5:A37=0,1,A37-$A$5:A37))),0)</f>
        <v>0.0</v>
      </c>
      <c r="I37" s="7">
        <f>Parameters!$E$23*I36+B37*Parameters!$E$22</f>
        <v>0.0</v>
      </c>
      <c r="J37" s="7">
        <f>E37*Parameters!$E$14*(1-Parameters!$E$15)</f>
        <v>1900.0</v>
      </c>
      <c r="K37" s="7">
        <f>H37*Parameters!$E$29</f>
        <v>0.0</v>
      </c>
      <c r="L37" s="7">
        <f>I37*Parameters!$E$24</f>
        <v>0.0</v>
      </c>
      <c r="M37" s="7">
        <f>J37+K37+L37</f>
        <v>1900.0</v>
      </c>
      <c r="N37" s="7">
        <f>C37*Parameters!$E$17+D37*Parameters!$E$18+E37*Parameters!$E$16+I37*Parameters!$E$25+G37*Parameters!$E$30</f>
        <v>419.9049262049829</v>
      </c>
      <c r="O37" s="7">
        <f>B37*Parameters!$E$19</f>
        <v>4000</v>
      </c>
      <c r="P37" s="7">
        <f>M37-N37-O37</f>
        <v>-2519.904926204983</v>
      </c>
      <c r="Q37" s="7">
        <f>Parameters!$E$21</f>
        <v>1000</v>
      </c>
      <c r="R37" s="7">
        <f>P37-Q37</f>
        <v>-3519.904926204983</v>
      </c>
      <c r="S37" s="7">
        <f>IF(A37&lt;1+Parameters!$E$31,0,INDEX($M$5:$M$40,A37-Parameters!$E$31))</f>
        <v>1900.0</v>
      </c>
      <c r="T37" s="7">
        <f>T36+M37-S37</f>
        <v>1900.0</v>
      </c>
      <c r="U37" s="7">
        <f>S37-N37-O37-Q37</f>
        <v>-3519.904926204983</v>
      </c>
      <c r="V37" s="7">
        <f>V36+U37</f>
        <v>-117460.38029518006</v>
      </c>
      <c r="W37" s="7">
        <f>(1-Parameters!$E$7)*(C37-E37)+(1-Parameters!$E$8)*(D37+E37)</f>
        <v>999.9366174699886</v>
      </c>
      <c r="X37" s="7">
        <f>Parameters!$E$7*(C37-E37)+Parameters!$E$8*Parameters!$E$9*(D37+E37)</f>
        <v>0.0</v>
      </c>
      <c r="Y37" s="7">
        <f>Parameters!$E$8*(1-Parameters!$E$9)*(D37+E37)</f>
        <v>399.7464698799545</v>
      </c>
      <c r="Z37" s="7">
        <f>POWER(1/(1+Parameters!$E$32),A37-1)*(M37-N37)</f>
        <v>1076.4792233627563</v>
      </c>
    </row>
    <row r="38" spans="1:26">
      <c r="A38" s="7">
        <v>34</v>
      </c>
      <c r="B38" s="7">
        <f>Parameters!$E$20</f>
        <v>1000</v>
      </c>
      <c r="C38" s="7">
        <f>X37+B38</f>
        <v>1000.0</v>
      </c>
      <c r="D38" s="7">
        <f>Y37</f>
        <v>399.74646987995453</v>
      </c>
      <c r="E38" s="7">
        <f>Parameters!$E$6*C38</f>
        <v>100.0</v>
      </c>
      <c r="F38" s="7">
        <f>IF(Parameters!$E$5=1,E38,0)</f>
        <v>0.0</v>
      </c>
      <c r="G38" s="7">
        <f>Parameters!$E$27*G37+F38</f>
        <v>0.0</v>
      </c>
      <c r="H38" s="7">
        <f>IF(AND(Parameters!$E$5=1,Parameters!$E$26=1),SUMPRODUCT(--($A$5:A38&lt;A38),--(MOD(A38-$A$5:A38,Parameters!$E$28)=0),$F$5:F38,POWER(Parameters!$E$27,IF(A38-$A$5:A38=0,1,A38-$A$5:A38))),0)</f>
        <v>0.0</v>
      </c>
      <c r="I38" s="7">
        <f>Parameters!$E$23*I37+B38*Parameters!$E$22</f>
        <v>0.0</v>
      </c>
      <c r="J38" s="7">
        <f>E38*Parameters!$E$14*(1-Parameters!$E$15)</f>
        <v>1900.0</v>
      </c>
      <c r="K38" s="7">
        <f>H38*Parameters!$E$29</f>
        <v>0.0</v>
      </c>
      <c r="L38" s="7">
        <f>I38*Parameters!$E$24</f>
        <v>0.0</v>
      </c>
      <c r="M38" s="7">
        <f>J38+K38+L38</f>
        <v>1900.0</v>
      </c>
      <c r="N38" s="7">
        <f>C38*Parameters!$E$17+D38*Parameters!$E$18+E38*Parameters!$E$16+I38*Parameters!$E$25+G38*Parameters!$E$30</f>
        <v>419.92394096398635</v>
      </c>
      <c r="O38" s="7">
        <f>B38*Parameters!$E$19</f>
        <v>4000</v>
      </c>
      <c r="P38" s="7">
        <f>M38-N38-O38</f>
        <v>-2519.9239409639863</v>
      </c>
      <c r="Q38" s="7">
        <f>Parameters!$E$21</f>
        <v>1000</v>
      </c>
      <c r="R38" s="7">
        <f>P38-Q38</f>
        <v>-3519.9239409639863</v>
      </c>
      <c r="S38" s="7">
        <f>IF(A38&lt;1+Parameters!$E$31,0,INDEX($M$5:$M$40,A38-Parameters!$E$31))</f>
        <v>1900.0</v>
      </c>
      <c r="T38" s="7">
        <f>T37+M38-S38</f>
        <v>1900.0</v>
      </c>
      <c r="U38" s="7">
        <f>S38-N38-O38-Q38</f>
        <v>-3519.9239409639863</v>
      </c>
      <c r="V38" s="7">
        <f>V37+U38</f>
        <v>-120980.30423614405</v>
      </c>
      <c r="W38" s="7">
        <f>(1-Parameters!$E$7)*(C38-E38)+(1-Parameters!$E$8)*(D38+E38)</f>
        <v>999.9492939759909</v>
      </c>
      <c r="X38" s="7">
        <f>Parameters!$E$7*(C38-E38)+Parameters!$E$8*Parameters!$E$9*(D38+E38)</f>
        <v>0.0</v>
      </c>
      <c r="Y38" s="7">
        <f>Parameters!$E$8*(1-Parameters!$E$9)*(D38+E38)</f>
        <v>399.79717590396365</v>
      </c>
      <c r="Z38" s="7">
        <f>POWER(1/(1+Parameters!$E$32),A38-1)*(M38-N38)</f>
        <v>1065.8073206440322</v>
      </c>
    </row>
    <row r="39" spans="1:26">
      <c r="A39" s="7">
        <v>35</v>
      </c>
      <c r="B39" s="7">
        <f>Parameters!$E$20</f>
        <v>1000</v>
      </c>
      <c r="C39" s="7">
        <f>X38+B39</f>
        <v>1000.0</v>
      </c>
      <c r="D39" s="7">
        <f>Y38</f>
        <v>399.79717590396365</v>
      </c>
      <c r="E39" s="7">
        <f>Parameters!$E$6*C39</f>
        <v>100.0</v>
      </c>
      <c r="F39" s="7">
        <f>IF(Parameters!$E$5=1,E39,0)</f>
        <v>0.0</v>
      </c>
      <c r="G39" s="7">
        <f>Parameters!$E$27*G38+F39</f>
        <v>0.0</v>
      </c>
      <c r="H39" s="7">
        <f>IF(AND(Parameters!$E$5=1,Parameters!$E$26=1),SUMPRODUCT(--($A$5:A39&lt;A39),--(MOD(A39-$A$5:A39,Parameters!$E$28)=0),$F$5:F39,POWER(Parameters!$E$27,IF(A39-$A$5:A39=0,1,A39-$A$5:A39))),0)</f>
        <v>0.0</v>
      </c>
      <c r="I39" s="7">
        <f>Parameters!$E$23*I38+B39*Parameters!$E$22</f>
        <v>0.0</v>
      </c>
      <c r="J39" s="7">
        <f>E39*Parameters!$E$14*(1-Parameters!$E$15)</f>
        <v>1900.0</v>
      </c>
      <c r="K39" s="7">
        <f>H39*Parameters!$E$29</f>
        <v>0.0</v>
      </c>
      <c r="L39" s="7">
        <f>I39*Parameters!$E$24</f>
        <v>0.0</v>
      </c>
      <c r="M39" s="7">
        <f>J39+K39+L39</f>
        <v>1900.0</v>
      </c>
      <c r="N39" s="7">
        <f>C39*Parameters!$E$17+D39*Parameters!$E$18+E39*Parameters!$E$16+I39*Parameters!$E$25+G39*Parameters!$E$30</f>
        <v>419.9391527711891</v>
      </c>
      <c r="O39" s="7">
        <f>B39*Parameters!$E$19</f>
        <v>4000</v>
      </c>
      <c r="P39" s="7">
        <f>M39-N39-O39</f>
        <v>-2519.939152771189</v>
      </c>
      <c r="Q39" s="7">
        <f>Parameters!$E$21</f>
        <v>1000</v>
      </c>
      <c r="R39" s="7">
        <f>P39-Q39</f>
        <v>-3519.939152771189</v>
      </c>
      <c r="S39" s="7">
        <f>IF(A39&lt;1+Parameters!$E$31,0,INDEX($M$5:$M$40,A39-Parameters!$E$31))</f>
        <v>1900.0</v>
      </c>
      <c r="T39" s="7">
        <f>T38+M39-S39</f>
        <v>1900.0</v>
      </c>
      <c r="U39" s="7">
        <f>S39-N39-O39-Q39</f>
        <v>-3519.939152771189</v>
      </c>
      <c r="V39" s="7">
        <f>V38+U39</f>
        <v>-124500.24338891523</v>
      </c>
      <c r="W39" s="7">
        <f>(1-Parameters!$E$7)*(C39-E39)+(1-Parameters!$E$8)*(D39+E39)</f>
        <v>999.9594351807928</v>
      </c>
      <c r="X39" s="7">
        <f>Parameters!$E$7*(C39-E39)+Parameters!$E$8*Parameters!$E$9*(D39+E39)</f>
        <v>0.0</v>
      </c>
      <c r="Y39" s="7">
        <f>Parameters!$E$8*(1-Parameters!$E$9)*(D39+E39)</f>
        <v>399.83774072317095</v>
      </c>
      <c r="Z39" s="7">
        <f>POWER(1/(1+Parameters!$E$32),A39-1)*(M39-N39)</f>
        <v>1055.2439273018774</v>
      </c>
    </row>
    <row r="40" spans="1:26">
      <c r="A40" s="7">
        <v>36</v>
      </c>
      <c r="B40" s="7">
        <f>Parameters!$E$20</f>
        <v>1000</v>
      </c>
      <c r="C40" s="7">
        <f>X39+B40</f>
        <v>1000.0</v>
      </c>
      <c r="D40" s="7">
        <f>Y39</f>
        <v>399.83774072317095</v>
      </c>
      <c r="E40" s="7">
        <f>Parameters!$E$6*C40</f>
        <v>100.0</v>
      </c>
      <c r="F40" s="7">
        <f>IF(Parameters!$E$5=1,E40,0)</f>
        <v>0.0</v>
      </c>
      <c r="G40" s="7">
        <f>Parameters!$E$27*G39+F40</f>
        <v>0.0</v>
      </c>
      <c r="H40" s="7">
        <f>IF(AND(Parameters!$E$5=1,Parameters!$E$26=1),SUMPRODUCT(--($A$5:A40&lt;A40),--(MOD(A40-$A$5:A40,Parameters!$E$28)=0),$F$5:F40,POWER(Parameters!$E$27,IF(A40-$A$5:A40=0,1,A40-$A$5:A40))),0)</f>
        <v>0.0</v>
      </c>
      <c r="I40" s="7">
        <f>Parameters!$E$23*I39+B40*Parameters!$E$22</f>
        <v>0.0</v>
      </c>
      <c r="J40" s="7">
        <f>E40*Parameters!$E$14*(1-Parameters!$E$15)</f>
        <v>1900.0</v>
      </c>
      <c r="K40" s="7">
        <f>H40*Parameters!$E$29</f>
        <v>0.0</v>
      </c>
      <c r="L40" s="7">
        <f>I40*Parameters!$E$24</f>
        <v>0.0</v>
      </c>
      <c r="M40" s="7">
        <f>J40+K40+L40</f>
        <v>1900.0</v>
      </c>
      <c r="N40" s="7">
        <f>C40*Parameters!$E$17+D40*Parameters!$E$18+E40*Parameters!$E$16+I40*Parameters!$E$25+G40*Parameters!$E$30</f>
        <v>419.95132221695127</v>
      </c>
      <c r="O40" s="7">
        <f>B40*Parameters!$E$19</f>
        <v>4000</v>
      </c>
      <c r="P40" s="7">
        <f>M40-N40-O40</f>
        <v>-2519.951322216951</v>
      </c>
      <c r="Q40" s="7">
        <f>Parameters!$E$21</f>
        <v>1000</v>
      </c>
      <c r="R40" s="7">
        <f>P40-Q40</f>
        <v>-3519.951322216951</v>
      </c>
      <c r="S40" s="7">
        <f>IF(A40&lt;1+Parameters!$E$31,0,INDEX($M$5:$M$40,A40-Parameters!$E$31))</f>
        <v>1900.0</v>
      </c>
      <c r="T40" s="7">
        <f>T39+M40-S40</f>
        <v>1900.0</v>
      </c>
      <c r="U40" s="7">
        <f>S40-N40-O40-Q40</f>
        <v>-3519.951322216951</v>
      </c>
      <c r="V40" s="7">
        <f>V39+U40</f>
        <v>-128020.19471113218</v>
      </c>
      <c r="W40" s="7">
        <f>(1-Parameters!$E$7)*(C40-E40)+(1-Parameters!$E$8)*(D40+E40)</f>
        <v>999.9675481446342</v>
      </c>
      <c r="X40" s="7">
        <f>Parameters!$E$7*(C40-E40)+Parameters!$E$8*Parameters!$E$9*(D40+E40)</f>
        <v>0.0</v>
      </c>
      <c r="Y40" s="7">
        <f>Parameters!$E$8*(1-Parameters!$E$9)*(D40+E40)</f>
        <v>399.8701925785368</v>
      </c>
      <c r="Z40" s="7">
        <f>POWER(1/(1+Parameters!$E$32),A40-1)*(M40-N40)</f>
        <v>1044.7873770410624</v>
      </c>
    </row>
    <row r="43" spans="1:26">
      <c r="A43" s="1" t="s">
        <v>185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160</v>
      </c>
      <c r="B44" s="4" t="s">
        <v>161</v>
      </c>
      <c r="C44" s="4" t="s">
        <v>162</v>
      </c>
      <c r="D44" s="4" t="s">
        <v>163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4" t="s">
        <v>169</v>
      </c>
      <c r="K44" s="4" t="s">
        <v>170</v>
      </c>
      <c r="L44" s="4" t="s">
        <v>171</v>
      </c>
      <c r="M44" s="4" t="s">
        <v>172</v>
      </c>
      <c r="N44" s="4" t="s">
        <v>173</v>
      </c>
      <c r="O44" s="4" t="s">
        <v>95</v>
      </c>
      <c r="P44" s="4" t="s">
        <v>174</v>
      </c>
      <c r="Q44" s="4" t="s">
        <v>175</v>
      </c>
      <c r="R44" s="4" t="s">
        <v>176</v>
      </c>
      <c r="S44" s="4" t="s">
        <v>177</v>
      </c>
      <c r="T44" s="4" t="s">
        <v>178</v>
      </c>
      <c r="U44" s="4" t="s">
        <v>179</v>
      </c>
      <c r="V44" s="4" t="s">
        <v>180</v>
      </c>
      <c r="W44" s="4" t="s">
        <v>181</v>
      </c>
      <c r="X44" s="4" t="s">
        <v>182</v>
      </c>
      <c r="Y44" s="4" t="s">
        <v>183</v>
      </c>
      <c r="Z44" s="4" t="s">
        <v>184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Parameters!$E$6*C45</f>
        <v>0.1</v>
      </c>
      <c r="F45" s="7">
        <f>IF(Parameters!$E$5=1,E45,0)</f>
        <v>0.0</v>
      </c>
      <c r="G45" s="7">
        <f>F45</f>
        <v>0.0</v>
      </c>
      <c r="H45" s="7">
        <f>IF(AND(Parameters!$E$5=1,Parameters!$E$26=1),SUMPRODUCT(--($A$45:A45&lt;A45),--(MOD(A45-$A$45:A45,Parameters!$E$28)=0),$F$45:F45,POWER(Parameters!$E$27,IF(A45-$A$45:A45=0,1,A45-$A$45:A45))),0)</f>
        <v>0.0</v>
      </c>
      <c r="I45" s="7">
        <f>B45*Parameters!$E$22</f>
        <v>0.0</v>
      </c>
      <c r="J45" s="7">
        <f>E45*Parameters!$E$14*(1-Parameters!$E$15)</f>
        <v>1.9</v>
      </c>
      <c r="K45" s="7">
        <f>H45*Parameters!$E$29</f>
        <v>0.0</v>
      </c>
      <c r="L45" s="7">
        <f>I45*Parameters!$E$24</f>
        <v>0.0</v>
      </c>
      <c r="M45" s="7">
        <f>J45+K45+L45</f>
        <v>1.9</v>
      </c>
      <c r="N45" s="7">
        <f>C45*Parameters!$E$17+D45*Parameters!$E$18+E45*Parameters!$E$16+I45*Parameters!$E$25+G45*Parameters!$E$30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IF(A45&lt;1+Parameters!$E$31,0,INDEX($M$45:$M$80,A45-Parameters!$E$31))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(1-Parameters!$E$7)*(C45-E45)+(1-Parameters!$E$8)*(D45+E45)</f>
        <v>0.92</v>
      </c>
      <c r="X45" s="7">
        <f>Parameters!$E$7*(C45-E45)+Parameters!$E$8*Parameters!$E$9*(D45+E45)</f>
        <v>0.0</v>
      </c>
      <c r="Y45" s="7">
        <f>Parameters!$E$8*(1-Parameters!$E$9)*(D45+E45)</f>
        <v>0.08000000000000002</v>
      </c>
      <c r="Z45" s="7">
        <f>POWER(1/(1+Parameters!$E$32),A45-1)*(M45-N45)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0.08000000000000002</v>
      </c>
      <c r="E46" s="7">
        <f>Parameters!$E$6*C46</f>
        <v>0.0</v>
      </c>
      <c r="F46" s="7">
        <f>IF(Parameters!$E$5=1,E46,0)</f>
        <v>0.0</v>
      </c>
      <c r="G46" s="7">
        <f>Parameters!$E$27*G45+F46</f>
        <v>0.0</v>
      </c>
      <c r="H46" s="7">
        <f>IF(AND(Parameters!$E$5=1,Parameters!$E$26=1),SUMPRODUCT(--($A$45:A46&lt;A46),--(MOD(A46-$A$45:A46,Parameters!$E$28)=0),$F$45:F46,POWER(Parameters!$E$27,IF(A46-$A$45:A46=0,1,A46-$A$45:A46))),0)</f>
        <v>0.0</v>
      </c>
      <c r="I46" s="7">
        <f>Parameters!$E$23*I45+B46*Parameters!$E$22</f>
        <v>0.0</v>
      </c>
      <c r="J46" s="7">
        <f>E46*Parameters!$E$14*(1-Parameters!$E$15)</f>
        <v>0.0</v>
      </c>
      <c r="K46" s="7">
        <f>H46*Parameters!$E$29</f>
        <v>0.0</v>
      </c>
      <c r="L46" s="7">
        <f>I46*Parameters!$E$24</f>
        <v>0.0</v>
      </c>
      <c r="M46" s="7">
        <f>J46+K46+L46</f>
        <v>0.0</v>
      </c>
      <c r="N46" s="7">
        <f>C46*Parameters!$E$17+D46*Parameters!$E$18+E46*Parameters!$E$16+I46*Parameters!$E$25+G46*Parameters!$E$30</f>
        <v>0.024000000000000004</v>
      </c>
      <c r="O46" s="7">
        <f>0</f>
        <v>0</v>
      </c>
      <c r="P46" s="7">
        <f>M46-N46-O46</f>
        <v>-0.024000000000000004</v>
      </c>
      <c r="Q46" s="7">
        <f>0</f>
        <v>0</v>
      </c>
      <c r="R46" s="7">
        <f>P46-Q46</f>
        <v>-0.024000000000000004</v>
      </c>
      <c r="S46" s="7">
        <f>IF(A46&lt;1+Parameters!$E$31,0,INDEX($M$45:$M$80,A46-Parameters!$E$31))</f>
        <v>1.9</v>
      </c>
      <c r="T46" s="7">
        <f>T45+M46-S46</f>
        <v>0.0</v>
      </c>
      <c r="U46" s="7">
        <f>S46-N46-O46-Q46</f>
        <v>1.876</v>
      </c>
      <c r="V46" s="7">
        <f>V45+U46</f>
        <v>1.5759999999999998</v>
      </c>
      <c r="W46" s="7">
        <f>(1-Parameters!$E$7)*(C46-E46)+(1-Parameters!$E$8)*(D46+E46)</f>
        <v>0.016</v>
      </c>
      <c r="X46" s="7">
        <f>Parameters!$E$7*(C46-E46)+Parameters!$E$8*Parameters!$E$9*(D46+E46)</f>
        <v>0.0</v>
      </c>
      <c r="Y46" s="7">
        <f>Parameters!$E$8*(1-Parameters!$E$9)*(D46+E46)</f>
        <v>0.06400000000000002</v>
      </c>
      <c r="Z46" s="7">
        <f>POWER(1/(1+Parameters!$E$32),A46-1)*(M46-N46)</f>
        <v>-0.023762376237623766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0.06400000000000002</v>
      </c>
      <c r="E47" s="7">
        <f>Parameters!$E$6*C47</f>
        <v>0.0</v>
      </c>
      <c r="F47" s="7">
        <f>IF(Parameters!$E$5=1,E47,0)</f>
        <v>0.0</v>
      </c>
      <c r="G47" s="7">
        <f>Parameters!$E$27*G46+F47</f>
        <v>0.0</v>
      </c>
      <c r="H47" s="7">
        <f>IF(AND(Parameters!$E$5=1,Parameters!$E$26=1),SUMPRODUCT(--($A$45:A47&lt;A47),--(MOD(A47-$A$45:A47,Parameters!$E$28)=0),$F$45:F47,POWER(Parameters!$E$27,IF(A47-$A$45:A47=0,1,A47-$A$45:A47))),0)</f>
        <v>0.0</v>
      </c>
      <c r="I47" s="7">
        <f>Parameters!$E$23*I46+B47*Parameters!$E$22</f>
        <v>0.0</v>
      </c>
      <c r="J47" s="7">
        <f>E47*Parameters!$E$14*(1-Parameters!$E$15)</f>
        <v>0.0</v>
      </c>
      <c r="K47" s="7">
        <f>H47*Parameters!$E$29</f>
        <v>0.0</v>
      </c>
      <c r="L47" s="7">
        <f>I47*Parameters!$E$24</f>
        <v>0.0</v>
      </c>
      <c r="M47" s="7">
        <f>J47+K47+L47</f>
        <v>0.0</v>
      </c>
      <c r="N47" s="7">
        <f>C47*Parameters!$E$17+D47*Parameters!$E$18+E47*Parameters!$E$16+I47*Parameters!$E$25+G47*Parameters!$E$30</f>
        <v>0.019200000000000005</v>
      </c>
      <c r="O47" s="7">
        <f>0</f>
        <v>0</v>
      </c>
      <c r="P47" s="7">
        <f>M47-N47-O47</f>
        <v>-0.019200000000000005</v>
      </c>
      <c r="Q47" s="7">
        <f>0</f>
        <v>0</v>
      </c>
      <c r="R47" s="7">
        <f>P47-Q47</f>
        <v>-0.019200000000000005</v>
      </c>
      <c r="S47" s="7">
        <f>IF(A47&lt;1+Parameters!$E$31,0,INDEX($M$45:$M$80,A47-Parameters!$E$31))</f>
        <v>0.0</v>
      </c>
      <c r="T47" s="7">
        <f>T46+M47-S47</f>
        <v>0.0</v>
      </c>
      <c r="U47" s="7">
        <f>S47-N47-O47-Q47</f>
        <v>-0.019200000000000005</v>
      </c>
      <c r="V47" s="7">
        <f>V46+U47</f>
        <v>1.5567999999999997</v>
      </c>
      <c r="W47" s="7">
        <f>(1-Parameters!$E$7)*(C47-E47)+(1-Parameters!$E$8)*(D47+E47)</f>
        <v>0.0128</v>
      </c>
      <c r="X47" s="7">
        <f>Parameters!$E$7*(C47-E47)+Parameters!$E$8*Parameters!$E$9*(D47+E47)</f>
        <v>0.0</v>
      </c>
      <c r="Y47" s="7">
        <f>Parameters!$E$8*(1-Parameters!$E$9)*(D47+E47)</f>
        <v>0.051200000000000016</v>
      </c>
      <c r="Z47" s="7">
        <f>POWER(1/(1+Parameters!$E$32),A47-1)*(M47-N47)</f>
        <v>-0.018821684148612884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0.051200000000000016</v>
      </c>
      <c r="E48" s="7">
        <f>Parameters!$E$6*C48</f>
        <v>0.0</v>
      </c>
      <c r="F48" s="7">
        <f>IF(Parameters!$E$5=1,E48,0)</f>
        <v>0.0</v>
      </c>
      <c r="G48" s="7">
        <f>Parameters!$E$27*G47+F48</f>
        <v>0.0</v>
      </c>
      <c r="H48" s="7">
        <f>IF(AND(Parameters!$E$5=1,Parameters!$E$26=1),SUMPRODUCT(--($A$45:A48&lt;A48),--(MOD(A48-$A$45:A48,Parameters!$E$28)=0),$F$45:F48,POWER(Parameters!$E$27,IF(A48-$A$45:A48=0,1,A48-$A$45:A48))),0)</f>
        <v>0.0</v>
      </c>
      <c r="I48" s="7">
        <f>Parameters!$E$23*I47+B48*Parameters!$E$22</f>
        <v>0.0</v>
      </c>
      <c r="J48" s="7">
        <f>E48*Parameters!$E$14*(1-Parameters!$E$15)</f>
        <v>0.0</v>
      </c>
      <c r="K48" s="7">
        <f>H48*Parameters!$E$29</f>
        <v>0.0</v>
      </c>
      <c r="L48" s="7">
        <f>I48*Parameters!$E$24</f>
        <v>0.0</v>
      </c>
      <c r="M48" s="7">
        <f>J48+K48+L48</f>
        <v>0.0</v>
      </c>
      <c r="N48" s="7">
        <f>C48*Parameters!$E$17+D48*Parameters!$E$18+E48*Parameters!$E$16+I48*Parameters!$E$25+G48*Parameters!$E$30</f>
        <v>0.015360000000000004</v>
      </c>
      <c r="O48" s="7">
        <f>0</f>
        <v>0</v>
      </c>
      <c r="P48" s="7">
        <f>M48-N48-O48</f>
        <v>-0.015360000000000004</v>
      </c>
      <c r="Q48" s="7">
        <f>0</f>
        <v>0</v>
      </c>
      <c r="R48" s="7">
        <f>P48-Q48</f>
        <v>-0.015360000000000004</v>
      </c>
      <c r="S48" s="7">
        <f>IF(A48&lt;1+Parameters!$E$31,0,INDEX($M$45:$M$80,A48-Parameters!$E$31))</f>
        <v>0.0</v>
      </c>
      <c r="T48" s="7">
        <f>T47+M48-S48</f>
        <v>0.0</v>
      </c>
      <c r="U48" s="7">
        <f>S48-N48-O48-Q48</f>
        <v>-0.015360000000000004</v>
      </c>
      <c r="V48" s="7">
        <f>V47+U48</f>
        <v>1.5414399999999997</v>
      </c>
      <c r="W48" s="7">
        <f>(1-Parameters!$E$7)*(C48-E48)+(1-Parameters!$E$8)*(D48+E48)</f>
        <v>0.01024</v>
      </c>
      <c r="X48" s="7">
        <f>Parameters!$E$7*(C48-E48)+Parameters!$E$8*Parameters!$E$9*(D48+E48)</f>
        <v>0.0</v>
      </c>
      <c r="Y48" s="7">
        <f>Parameters!$E$8*(1-Parameters!$E$9)*(D48+E48)</f>
        <v>0.04096000000000002</v>
      </c>
      <c r="Z48" s="7">
        <f>POWER(1/(1+Parameters!$E$32),A48-1)*(M48-N48)</f>
        <v>-0.014908264672168622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0.04096000000000002</v>
      </c>
      <c r="E49" s="7">
        <f>Parameters!$E$6*C49</f>
        <v>0.0</v>
      </c>
      <c r="F49" s="7">
        <f>IF(Parameters!$E$5=1,E49,0)</f>
        <v>0.0</v>
      </c>
      <c r="G49" s="7">
        <f>Parameters!$E$27*G48+F49</f>
        <v>0.0</v>
      </c>
      <c r="H49" s="7">
        <f>IF(AND(Parameters!$E$5=1,Parameters!$E$26=1),SUMPRODUCT(--($A$45:A49&lt;A49),--(MOD(A49-$A$45:A49,Parameters!$E$28)=0),$F$45:F49,POWER(Parameters!$E$27,IF(A49-$A$45:A49=0,1,A49-$A$45:A49))),0)</f>
        <v>0.0</v>
      </c>
      <c r="I49" s="7">
        <f>Parameters!$E$23*I48+B49*Parameters!$E$22</f>
        <v>0.0</v>
      </c>
      <c r="J49" s="7">
        <f>E49*Parameters!$E$14*(1-Parameters!$E$15)</f>
        <v>0.0</v>
      </c>
      <c r="K49" s="7">
        <f>H49*Parameters!$E$29</f>
        <v>0.0</v>
      </c>
      <c r="L49" s="7">
        <f>I49*Parameters!$E$24</f>
        <v>0.0</v>
      </c>
      <c r="M49" s="7">
        <f>J49+K49+L49</f>
        <v>0.0</v>
      </c>
      <c r="N49" s="7">
        <f>C49*Parameters!$E$17+D49*Parameters!$E$18+E49*Parameters!$E$16+I49*Parameters!$E$25+G49*Parameters!$E$30</f>
        <v>0.012288000000000006</v>
      </c>
      <c r="O49" s="7">
        <f>0</f>
        <v>0</v>
      </c>
      <c r="P49" s="7">
        <f>M49-N49-O49</f>
        <v>-0.012288000000000006</v>
      </c>
      <c r="Q49" s="7">
        <f>0</f>
        <v>0</v>
      </c>
      <c r="R49" s="7">
        <f>P49-Q49</f>
        <v>-0.012288000000000006</v>
      </c>
      <c r="S49" s="7">
        <f>IF(A49&lt;1+Parameters!$E$31,0,INDEX($M$45:$M$80,A49-Parameters!$E$31))</f>
        <v>0.0</v>
      </c>
      <c r="T49" s="7">
        <f>T48+M49-S49</f>
        <v>0.0</v>
      </c>
      <c r="U49" s="7">
        <f>S49-N49-O49-Q49</f>
        <v>-0.012288000000000006</v>
      </c>
      <c r="V49" s="7">
        <f>V48+U49</f>
        <v>1.5291519999999996</v>
      </c>
      <c r="W49" s="7">
        <f>(1-Parameters!$E$7)*(C49-E49)+(1-Parameters!$E$8)*(D49+E49)</f>
        <v>0.008192000000000001</v>
      </c>
      <c r="X49" s="7">
        <f>Parameters!$E$7*(C49-E49)+Parameters!$E$8*Parameters!$E$9*(D49+E49)</f>
        <v>0.0</v>
      </c>
      <c r="Y49" s="7">
        <f>Parameters!$E$8*(1-Parameters!$E$9)*(D49+E49)</f>
        <v>0.03276800000000001</v>
      </c>
      <c r="Z49" s="7">
        <f>POWER(1/(1+Parameters!$E$32),A49-1)*(M49-N49)</f>
        <v>-0.01180852647300485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0.03276800000000001</v>
      </c>
      <c r="E50" s="7">
        <f>Parameters!$E$6*C50</f>
        <v>0.0</v>
      </c>
      <c r="F50" s="7">
        <f>IF(Parameters!$E$5=1,E50,0)</f>
        <v>0.0</v>
      </c>
      <c r="G50" s="7">
        <f>Parameters!$E$27*G49+F50</f>
        <v>0.0</v>
      </c>
      <c r="H50" s="7">
        <f>IF(AND(Parameters!$E$5=1,Parameters!$E$26=1),SUMPRODUCT(--($A$45:A50&lt;A50),--(MOD(A50-$A$45:A50,Parameters!$E$28)=0),$F$45:F50,POWER(Parameters!$E$27,IF(A50-$A$45:A50=0,1,A50-$A$45:A50))),0)</f>
        <v>0.0</v>
      </c>
      <c r="I50" s="7">
        <f>Parameters!$E$23*I49+B50*Parameters!$E$22</f>
        <v>0.0</v>
      </c>
      <c r="J50" s="7">
        <f>E50*Parameters!$E$14*(1-Parameters!$E$15)</f>
        <v>0.0</v>
      </c>
      <c r="K50" s="7">
        <f>H50*Parameters!$E$29</f>
        <v>0.0</v>
      </c>
      <c r="L50" s="7">
        <f>I50*Parameters!$E$24</f>
        <v>0.0</v>
      </c>
      <c r="M50" s="7">
        <f>J50+K50+L50</f>
        <v>0.0</v>
      </c>
      <c r="N50" s="7">
        <f>C50*Parameters!$E$17+D50*Parameters!$E$18+E50*Parameters!$E$16+I50*Parameters!$E$25+G50*Parameters!$E$30</f>
        <v>0.009830400000000003</v>
      </c>
      <c r="O50" s="7">
        <f>0</f>
        <v>0</v>
      </c>
      <c r="P50" s="7">
        <f>M50-N50-O50</f>
        <v>-0.009830400000000003</v>
      </c>
      <c r="Q50" s="7">
        <f>0</f>
        <v>0</v>
      </c>
      <c r="R50" s="7">
        <f>P50-Q50</f>
        <v>-0.009830400000000003</v>
      </c>
      <c r="S50" s="7">
        <f>IF(A50&lt;1+Parameters!$E$31,0,INDEX($M$45:$M$80,A50-Parameters!$E$31))</f>
        <v>0.0</v>
      </c>
      <c r="T50" s="7">
        <f>T49+M50-S50</f>
        <v>0.0</v>
      </c>
      <c r="U50" s="7">
        <f>S50-N50-O50-Q50</f>
        <v>-0.009830400000000003</v>
      </c>
      <c r="V50" s="7">
        <f>V49+U50</f>
        <v>1.5193215999999996</v>
      </c>
      <c r="W50" s="7">
        <f>(1-Parameters!$E$7)*(C50-E50)+(1-Parameters!$E$8)*(D50+E50)</f>
        <v>0.0065536000000000014</v>
      </c>
      <c r="X50" s="7">
        <f>Parameters!$E$7*(C50-E50)+Parameters!$E$8*Parameters!$E$9*(D50+E50)</f>
        <v>0.0</v>
      </c>
      <c r="Y50" s="7">
        <f>Parameters!$E$8*(1-Parameters!$E$9)*(D50+E50)</f>
        <v>0.026214400000000013</v>
      </c>
      <c r="Z50" s="7">
        <f>POWER(1/(1+Parameters!$E$32),A50-1)*(M50-N50)</f>
        <v>-0.009353288295449387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0.026214400000000013</v>
      </c>
      <c r="E51" s="7">
        <f>Parameters!$E$6*C51</f>
        <v>0.0</v>
      </c>
      <c r="F51" s="7">
        <f>IF(Parameters!$E$5=1,E51,0)</f>
        <v>0.0</v>
      </c>
      <c r="G51" s="7">
        <f>Parameters!$E$27*G50+F51</f>
        <v>0.0</v>
      </c>
      <c r="H51" s="7">
        <f>IF(AND(Parameters!$E$5=1,Parameters!$E$26=1),SUMPRODUCT(--($A$45:A51&lt;A51),--(MOD(A51-$A$45:A51,Parameters!$E$28)=0),$F$45:F51,POWER(Parameters!$E$27,IF(A51-$A$45:A51=0,1,A51-$A$45:A51))),0)</f>
        <v>0.0</v>
      </c>
      <c r="I51" s="7">
        <f>Parameters!$E$23*I50+B51*Parameters!$E$22</f>
        <v>0.0</v>
      </c>
      <c r="J51" s="7">
        <f>E51*Parameters!$E$14*(1-Parameters!$E$15)</f>
        <v>0.0</v>
      </c>
      <c r="K51" s="7">
        <f>H51*Parameters!$E$29</f>
        <v>0.0</v>
      </c>
      <c r="L51" s="7">
        <f>I51*Parameters!$E$24</f>
        <v>0.0</v>
      </c>
      <c r="M51" s="7">
        <f>J51+K51+L51</f>
        <v>0.0</v>
      </c>
      <c r="N51" s="7">
        <f>C51*Parameters!$E$17+D51*Parameters!$E$18+E51*Parameters!$E$16+I51*Parameters!$E$25+G51*Parameters!$E$30</f>
        <v>0.007864320000000003</v>
      </c>
      <c r="O51" s="7">
        <f>0</f>
        <v>0</v>
      </c>
      <c r="P51" s="7">
        <f>M51-N51-O51</f>
        <v>-0.007864320000000003</v>
      </c>
      <c r="Q51" s="7">
        <f>0</f>
        <v>0</v>
      </c>
      <c r="R51" s="7">
        <f>P51-Q51</f>
        <v>-0.007864320000000003</v>
      </c>
      <c r="S51" s="7">
        <f>IF(A51&lt;1+Parameters!$E$31,0,INDEX($M$45:$M$80,A51-Parameters!$E$31))</f>
        <v>0.0</v>
      </c>
      <c r="T51" s="7">
        <f>T50+M51-S51</f>
        <v>0.0</v>
      </c>
      <c r="U51" s="7">
        <f>S51-N51-O51-Q51</f>
        <v>-0.007864320000000003</v>
      </c>
      <c r="V51" s="7">
        <f>V50+U51</f>
        <v>1.5114572799999997</v>
      </c>
      <c r="W51" s="7">
        <f>(1-Parameters!$E$7)*(C51-E51)+(1-Parameters!$E$8)*(D51+E51)</f>
        <v>0.005242880000000001</v>
      </c>
      <c r="X51" s="7">
        <f>Parameters!$E$7*(C51-E51)+Parameters!$E$8*Parameters!$E$9*(D51+E51)</f>
        <v>0.0</v>
      </c>
      <c r="Y51" s="7">
        <f>Parameters!$E$8*(1-Parameters!$E$9)*(D51+E51)</f>
        <v>0.02097152000000001</v>
      </c>
      <c r="Z51" s="7">
        <f>POWER(1/(1+Parameters!$E$32),A51-1)*(M51-N51)</f>
        <v>-0.0074085451845143655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0.02097152000000001</v>
      </c>
      <c r="E52" s="7">
        <f>Parameters!$E$6*C52</f>
        <v>0.0</v>
      </c>
      <c r="F52" s="7">
        <f>IF(Parameters!$E$5=1,E52,0)</f>
        <v>0.0</v>
      </c>
      <c r="G52" s="7">
        <f>Parameters!$E$27*G51+F52</f>
        <v>0.0</v>
      </c>
      <c r="H52" s="7">
        <f>IF(AND(Parameters!$E$5=1,Parameters!$E$26=1),SUMPRODUCT(--($A$45:A52&lt;A52),--(MOD(A52-$A$45:A52,Parameters!$E$28)=0),$F$45:F52,POWER(Parameters!$E$27,IF(A52-$A$45:A52=0,1,A52-$A$45:A52))),0)</f>
        <v>0.0</v>
      </c>
      <c r="I52" s="7">
        <f>Parameters!$E$23*I51+B52*Parameters!$E$22</f>
        <v>0.0</v>
      </c>
      <c r="J52" s="7">
        <f>E52*Parameters!$E$14*(1-Parameters!$E$15)</f>
        <v>0.0</v>
      </c>
      <c r="K52" s="7">
        <f>H52*Parameters!$E$29</f>
        <v>0.0</v>
      </c>
      <c r="L52" s="7">
        <f>I52*Parameters!$E$24</f>
        <v>0.0</v>
      </c>
      <c r="M52" s="7">
        <f>J52+K52+L52</f>
        <v>0.0</v>
      </c>
      <c r="N52" s="7">
        <f>C52*Parameters!$E$17+D52*Parameters!$E$18+E52*Parameters!$E$16+I52*Parameters!$E$25+G52*Parameters!$E$30</f>
        <v>0.006291456000000003</v>
      </c>
      <c r="O52" s="7">
        <f>0</f>
        <v>0</v>
      </c>
      <c r="P52" s="7">
        <f>M52-N52-O52</f>
        <v>-0.006291456000000003</v>
      </c>
      <c r="Q52" s="7">
        <f>0</f>
        <v>0</v>
      </c>
      <c r="R52" s="7">
        <f>P52-Q52</f>
        <v>-0.006291456000000003</v>
      </c>
      <c r="S52" s="7">
        <f>IF(A52&lt;1+Parameters!$E$31,0,INDEX($M$45:$M$80,A52-Parameters!$E$31))</f>
        <v>0.0</v>
      </c>
      <c r="T52" s="7">
        <f>T51+M52-S52</f>
        <v>0.0</v>
      </c>
      <c r="U52" s="7">
        <f>S52-N52-O52-Q52</f>
        <v>-0.006291456000000003</v>
      </c>
      <c r="V52" s="7">
        <f>V51+U52</f>
        <v>1.5051658239999997</v>
      </c>
      <c r="W52" s="7">
        <f>(1-Parameters!$E$7)*(C52-E52)+(1-Parameters!$E$8)*(D52+E52)</f>
        <v>0.004194304000000001</v>
      </c>
      <c r="X52" s="7">
        <f>Parameters!$E$7*(C52-E52)+Parameters!$E$8*Parameters!$E$9*(D52+E52)</f>
        <v>0.0</v>
      </c>
      <c r="Y52" s="7">
        <f>Parameters!$E$8*(1-Parameters!$E$9)*(D52+E52)</f>
        <v>0.016777216000000008</v>
      </c>
      <c r="Z52" s="7">
        <f>POWER(1/(1+Parameters!$E$32),A52-1)*(M52-N52)</f>
        <v>-0.005868154601595538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0.016777216000000008</v>
      </c>
      <c r="E53" s="7">
        <f>Parameters!$E$6*C53</f>
        <v>0.0</v>
      </c>
      <c r="F53" s="7">
        <f>IF(Parameters!$E$5=1,E53,0)</f>
        <v>0.0</v>
      </c>
      <c r="G53" s="7">
        <f>Parameters!$E$27*G52+F53</f>
        <v>0.0</v>
      </c>
      <c r="H53" s="7">
        <f>IF(AND(Parameters!$E$5=1,Parameters!$E$26=1),SUMPRODUCT(--($A$45:A53&lt;A53),--(MOD(A53-$A$45:A53,Parameters!$E$28)=0),$F$45:F53,POWER(Parameters!$E$27,IF(A53-$A$45:A53=0,1,A53-$A$45:A53))),0)</f>
        <v>0.0</v>
      </c>
      <c r="I53" s="7">
        <f>Parameters!$E$23*I52+B53*Parameters!$E$22</f>
        <v>0.0</v>
      </c>
      <c r="J53" s="7">
        <f>E53*Parameters!$E$14*(1-Parameters!$E$15)</f>
        <v>0.0</v>
      </c>
      <c r="K53" s="7">
        <f>H53*Parameters!$E$29</f>
        <v>0.0</v>
      </c>
      <c r="L53" s="7">
        <f>I53*Parameters!$E$24</f>
        <v>0.0</v>
      </c>
      <c r="M53" s="7">
        <f>J53+K53+L53</f>
        <v>0.0</v>
      </c>
      <c r="N53" s="7">
        <f>C53*Parameters!$E$17+D53*Parameters!$E$18+E53*Parameters!$E$16+I53*Parameters!$E$25+G53*Parameters!$E$30</f>
        <v>0.005033164800000003</v>
      </c>
      <c r="O53" s="7">
        <f>0</f>
        <v>0</v>
      </c>
      <c r="P53" s="7">
        <f>M53-N53-O53</f>
        <v>-0.005033164800000003</v>
      </c>
      <c r="Q53" s="7">
        <f>0</f>
        <v>0</v>
      </c>
      <c r="R53" s="7">
        <f>P53-Q53</f>
        <v>-0.005033164800000003</v>
      </c>
      <c r="S53" s="7">
        <f>IF(A53&lt;1+Parameters!$E$31,0,INDEX($M$45:$M$80,A53-Parameters!$E$31))</f>
        <v>0.0</v>
      </c>
      <c r="T53" s="7">
        <f>T52+M53-S53</f>
        <v>0.0</v>
      </c>
      <c r="U53" s="7">
        <f>S53-N53-O53-Q53</f>
        <v>-0.005033164800000003</v>
      </c>
      <c r="V53" s="7">
        <f>V52+U53</f>
        <v>1.5001326591999997</v>
      </c>
      <c r="W53" s="7">
        <f>(1-Parameters!$E$7)*(C53-E53)+(1-Parameters!$E$8)*(D53+E53)</f>
        <v>0.003355443200000001</v>
      </c>
      <c r="X53" s="7">
        <f>Parameters!$E$7*(C53-E53)+Parameters!$E$8*Parameters!$E$9*(D53+E53)</f>
        <v>0.0</v>
      </c>
      <c r="Y53" s="7">
        <f>Parameters!$E$8*(1-Parameters!$E$9)*(D53+E53)</f>
        <v>0.013421772800000007</v>
      </c>
      <c r="Z53" s="7">
        <f>POWER(1/(1+Parameters!$E$32),A53-1)*(M53-N53)</f>
        <v>-0.004648043248788545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0.013421772800000007</v>
      </c>
      <c r="E54" s="7">
        <f>Parameters!$E$6*C54</f>
        <v>0.0</v>
      </c>
      <c r="F54" s="7">
        <f>IF(Parameters!$E$5=1,E54,0)</f>
        <v>0.0</v>
      </c>
      <c r="G54" s="7">
        <f>Parameters!$E$27*G53+F54</f>
        <v>0.0</v>
      </c>
      <c r="H54" s="7">
        <f>IF(AND(Parameters!$E$5=1,Parameters!$E$26=1),SUMPRODUCT(--($A$45:A54&lt;A54),--(MOD(A54-$A$45:A54,Parameters!$E$28)=0),$F$45:F54,POWER(Parameters!$E$27,IF(A54-$A$45:A54=0,1,A54-$A$45:A54))),0)</f>
        <v>0.0</v>
      </c>
      <c r="I54" s="7">
        <f>Parameters!$E$23*I53+B54*Parameters!$E$22</f>
        <v>0.0</v>
      </c>
      <c r="J54" s="7">
        <f>E54*Parameters!$E$14*(1-Parameters!$E$15)</f>
        <v>0.0</v>
      </c>
      <c r="K54" s="7">
        <f>H54*Parameters!$E$29</f>
        <v>0.0</v>
      </c>
      <c r="L54" s="7">
        <f>I54*Parameters!$E$24</f>
        <v>0.0</v>
      </c>
      <c r="M54" s="7">
        <f>J54+K54+L54</f>
        <v>0.0</v>
      </c>
      <c r="N54" s="7">
        <f>C54*Parameters!$E$17+D54*Parameters!$E$18+E54*Parameters!$E$16+I54*Parameters!$E$25+G54*Parameters!$E$30</f>
        <v>0.004026531840000002</v>
      </c>
      <c r="O54" s="7">
        <f>0</f>
        <v>0</v>
      </c>
      <c r="P54" s="7">
        <f>M54-N54-O54</f>
        <v>-0.004026531840000002</v>
      </c>
      <c r="Q54" s="7">
        <f>0</f>
        <v>0</v>
      </c>
      <c r="R54" s="7">
        <f>P54-Q54</f>
        <v>-0.004026531840000002</v>
      </c>
      <c r="S54" s="7">
        <f>IF(A54&lt;1+Parameters!$E$31,0,INDEX($M$45:$M$80,A54-Parameters!$E$31))</f>
        <v>0.0</v>
      </c>
      <c r="T54" s="7">
        <f>T53+M54-S54</f>
        <v>0.0</v>
      </c>
      <c r="U54" s="7">
        <f>S54-N54-O54-Q54</f>
        <v>-0.004026531840000002</v>
      </c>
      <c r="V54" s="7">
        <f>V53+U54</f>
        <v>1.4961061273599998</v>
      </c>
      <c r="W54" s="7">
        <f>(1-Parameters!$E$7)*(C54-E54)+(1-Parameters!$E$8)*(D54+E54)</f>
        <v>0.0026843545600000007</v>
      </c>
      <c r="X54" s="7">
        <f>Parameters!$E$7*(C54-E54)+Parameters!$E$8*Parameters!$E$9*(D54+E54)</f>
        <v>0.0</v>
      </c>
      <c r="Y54" s="7">
        <f>Parameters!$E$8*(1-Parameters!$E$9)*(D54+E54)</f>
        <v>0.010737418240000006</v>
      </c>
      <c r="Z54" s="7">
        <f>POWER(1/(1+Parameters!$E$32),A54-1)*(M54-N54)</f>
        <v>-0.0036816184148820152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0.010737418240000006</v>
      </c>
      <c r="E55" s="7">
        <f>Parameters!$E$6*C55</f>
        <v>0.0</v>
      </c>
      <c r="F55" s="7">
        <f>IF(Parameters!$E$5=1,E55,0)</f>
        <v>0.0</v>
      </c>
      <c r="G55" s="7">
        <f>Parameters!$E$27*G54+F55</f>
        <v>0.0</v>
      </c>
      <c r="H55" s="7">
        <f>IF(AND(Parameters!$E$5=1,Parameters!$E$26=1),SUMPRODUCT(--($A$45:A55&lt;A55),--(MOD(A55-$A$45:A55,Parameters!$E$28)=0),$F$45:F55,POWER(Parameters!$E$27,IF(A55-$A$45:A55=0,1,A55-$A$45:A55))),0)</f>
        <v>0.0</v>
      </c>
      <c r="I55" s="7">
        <f>Parameters!$E$23*I54+B55*Parameters!$E$22</f>
        <v>0.0</v>
      </c>
      <c r="J55" s="7">
        <f>E55*Parameters!$E$14*(1-Parameters!$E$15)</f>
        <v>0.0</v>
      </c>
      <c r="K55" s="7">
        <f>H55*Parameters!$E$29</f>
        <v>0.0</v>
      </c>
      <c r="L55" s="7">
        <f>I55*Parameters!$E$24</f>
        <v>0.0</v>
      </c>
      <c r="M55" s="7">
        <f>J55+K55+L55</f>
        <v>0.0</v>
      </c>
      <c r="N55" s="7">
        <f>C55*Parameters!$E$17+D55*Parameters!$E$18+E55*Parameters!$E$16+I55*Parameters!$E$25+G55*Parameters!$E$30</f>
        <v>0.003221225472000002</v>
      </c>
      <c r="O55" s="7">
        <f>0</f>
        <v>0</v>
      </c>
      <c r="P55" s="7">
        <f>M55-N55-O55</f>
        <v>-0.003221225472000002</v>
      </c>
      <c r="Q55" s="7">
        <f>0</f>
        <v>0</v>
      </c>
      <c r="R55" s="7">
        <f>P55-Q55</f>
        <v>-0.003221225472000002</v>
      </c>
      <c r="S55" s="7">
        <f>IF(A55&lt;1+Parameters!$E$31,0,INDEX($M$45:$M$80,A55-Parameters!$E$31))</f>
        <v>0.0</v>
      </c>
      <c r="T55" s="7">
        <f>T54+M55-S55</f>
        <v>0.0</v>
      </c>
      <c r="U55" s="7">
        <f>S55-N55-O55-Q55</f>
        <v>-0.003221225472000002</v>
      </c>
      <c r="V55" s="7">
        <f>V54+U55</f>
        <v>1.4928849018879997</v>
      </c>
      <c r="W55" s="7">
        <f>(1-Parameters!$E$7)*(C55-E55)+(1-Parameters!$E$8)*(D55+E55)</f>
        <v>0.002147483648000001</v>
      </c>
      <c r="X55" s="7">
        <f>Parameters!$E$7*(C55-E55)+Parameters!$E$8*Parameters!$E$9*(D55+E55)</f>
        <v>0.0</v>
      </c>
      <c r="Y55" s="7">
        <f>Parameters!$E$8*(1-Parameters!$E$9)*(D55+E55)</f>
        <v>0.008589934592000005</v>
      </c>
      <c r="Z55" s="7">
        <f>POWER(1/(1+Parameters!$E$32),A55-1)*(M55-N55)</f>
        <v>-0.0029161333979263494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0.008589934592000005</v>
      </c>
      <c r="E56" s="7">
        <f>Parameters!$E$6*C56</f>
        <v>0.0</v>
      </c>
      <c r="F56" s="7">
        <f>IF(Parameters!$E$5=1,E56,0)</f>
        <v>0.0</v>
      </c>
      <c r="G56" s="7">
        <f>Parameters!$E$27*G55+F56</f>
        <v>0.0</v>
      </c>
      <c r="H56" s="7">
        <f>IF(AND(Parameters!$E$5=1,Parameters!$E$26=1),SUMPRODUCT(--($A$45:A56&lt;A56),--(MOD(A56-$A$45:A56,Parameters!$E$28)=0),$F$45:F56,POWER(Parameters!$E$27,IF(A56-$A$45:A56=0,1,A56-$A$45:A56))),0)</f>
        <v>0.0</v>
      </c>
      <c r="I56" s="7">
        <f>Parameters!$E$23*I55+B56*Parameters!$E$22</f>
        <v>0.0</v>
      </c>
      <c r="J56" s="7">
        <f>E56*Parameters!$E$14*(1-Parameters!$E$15)</f>
        <v>0.0</v>
      </c>
      <c r="K56" s="7">
        <f>H56*Parameters!$E$29</f>
        <v>0.0</v>
      </c>
      <c r="L56" s="7">
        <f>I56*Parameters!$E$24</f>
        <v>0.0</v>
      </c>
      <c r="M56" s="7">
        <f>J56+K56+L56</f>
        <v>0.0</v>
      </c>
      <c r="N56" s="7">
        <f>C56*Parameters!$E$17+D56*Parameters!$E$18+E56*Parameters!$E$16+I56*Parameters!$E$25+G56*Parameters!$E$30</f>
        <v>0.0025769803776000016</v>
      </c>
      <c r="O56" s="7">
        <f>0</f>
        <v>0</v>
      </c>
      <c r="P56" s="7">
        <f>M56-N56-O56</f>
        <v>-0.0025769803776000016</v>
      </c>
      <c r="Q56" s="7">
        <f>0</f>
        <v>0</v>
      </c>
      <c r="R56" s="7">
        <f>P56-Q56</f>
        <v>-0.0025769803776000016</v>
      </c>
      <c r="S56" s="7">
        <f>IF(A56&lt;1+Parameters!$E$31,0,INDEX($M$45:$M$80,A56-Parameters!$E$31))</f>
        <v>0.0</v>
      </c>
      <c r="T56" s="7">
        <f>T55+M56-S56</f>
        <v>0.0</v>
      </c>
      <c r="U56" s="7">
        <f>S56-N56-O56-Q56</f>
        <v>-0.0025769803776000016</v>
      </c>
      <c r="V56" s="7">
        <f>V55+U56</f>
        <v>1.4903079215103998</v>
      </c>
      <c r="W56" s="7">
        <f>(1-Parameters!$E$7)*(C56-E56)+(1-Parameters!$E$8)*(D56+E56)</f>
        <v>0.0017179869184000007</v>
      </c>
      <c r="X56" s="7">
        <f>Parameters!$E$7*(C56-E56)+Parameters!$E$8*Parameters!$E$9*(D56+E56)</f>
        <v>0.0</v>
      </c>
      <c r="Y56" s="7">
        <f>Parameters!$E$8*(1-Parameters!$E$9)*(D56+E56)</f>
        <v>0.0068719476736000045</v>
      </c>
      <c r="Z56" s="7">
        <f>POWER(1/(1+Parameters!$E$32),A56-1)*(M56-N56)</f>
        <v>-0.0023098086320208705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0.0068719476736000045</v>
      </c>
      <c r="E57" s="7">
        <f>Parameters!$E$6*C57</f>
        <v>0.0</v>
      </c>
      <c r="F57" s="7">
        <f>IF(Parameters!$E$5=1,E57,0)</f>
        <v>0.0</v>
      </c>
      <c r="G57" s="7">
        <f>Parameters!$E$27*G56+F57</f>
        <v>0.0</v>
      </c>
      <c r="H57" s="7">
        <f>IF(AND(Parameters!$E$5=1,Parameters!$E$26=1),SUMPRODUCT(--($A$45:A57&lt;A57),--(MOD(A57-$A$45:A57,Parameters!$E$28)=0),$F$45:F57,POWER(Parameters!$E$27,IF(A57-$A$45:A57=0,1,A57-$A$45:A57))),0)</f>
        <v>0.0</v>
      </c>
      <c r="I57" s="7">
        <f>Parameters!$E$23*I56+B57*Parameters!$E$22</f>
        <v>0.0</v>
      </c>
      <c r="J57" s="7">
        <f>E57*Parameters!$E$14*(1-Parameters!$E$15)</f>
        <v>0.0</v>
      </c>
      <c r="K57" s="7">
        <f>H57*Parameters!$E$29</f>
        <v>0.0</v>
      </c>
      <c r="L57" s="7">
        <f>I57*Parameters!$E$24</f>
        <v>0.0</v>
      </c>
      <c r="M57" s="7">
        <f>J57+K57+L57</f>
        <v>0.0</v>
      </c>
      <c r="N57" s="7">
        <f>C57*Parameters!$E$17+D57*Parameters!$E$18+E57*Parameters!$E$16+I57*Parameters!$E$25+G57*Parameters!$E$30</f>
        <v>0.002061584302080001</v>
      </c>
      <c r="O57" s="7">
        <f>0</f>
        <v>0</v>
      </c>
      <c r="P57" s="7">
        <f>M57-N57-O57</f>
        <v>-0.002061584302080001</v>
      </c>
      <c r="Q57" s="7">
        <f>0</f>
        <v>0</v>
      </c>
      <c r="R57" s="7">
        <f>P57-Q57</f>
        <v>-0.002061584302080001</v>
      </c>
      <c r="S57" s="7">
        <f>IF(A57&lt;1+Parameters!$E$31,0,INDEX($M$45:$M$80,A57-Parameters!$E$31))</f>
        <v>0.0</v>
      </c>
      <c r="T57" s="7">
        <f>T56+M57-S57</f>
        <v>0.0</v>
      </c>
      <c r="U57" s="7">
        <f>S57-N57-O57-Q57</f>
        <v>-0.002061584302080001</v>
      </c>
      <c r="V57" s="7">
        <f>V56+U57</f>
        <v>1.48824633720832</v>
      </c>
      <c r="W57" s="7">
        <f>(1-Parameters!$E$7)*(C57-E57)+(1-Parameters!$E$8)*(D57+E57)</f>
        <v>0.0013743895347200006</v>
      </c>
      <c r="X57" s="7">
        <f>Parameters!$E$7*(C57-E57)+Parameters!$E$8*Parameters!$E$9*(D57+E57)</f>
        <v>0.0</v>
      </c>
      <c r="Y57" s="7">
        <f>Parameters!$E$8*(1-Parameters!$E$9)*(D57+E57)</f>
        <v>0.005497558138880004</v>
      </c>
      <c r="Z57" s="7">
        <f>POWER(1/(1+Parameters!$E$32),A57-1)*(M57-N57)</f>
        <v>-0.0018295513916996994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0.005497558138880004</v>
      </c>
      <c r="E58" s="7">
        <f>Parameters!$E$6*C58</f>
        <v>0.0</v>
      </c>
      <c r="F58" s="7">
        <f>IF(Parameters!$E$5=1,E58,0)</f>
        <v>0.0</v>
      </c>
      <c r="G58" s="7">
        <f>Parameters!$E$27*G57+F58</f>
        <v>0.0</v>
      </c>
      <c r="H58" s="7">
        <f>IF(AND(Parameters!$E$5=1,Parameters!$E$26=1),SUMPRODUCT(--($A$45:A58&lt;A58),--(MOD(A58-$A$45:A58,Parameters!$E$28)=0),$F$45:F58,POWER(Parameters!$E$27,IF(A58-$A$45:A58=0,1,A58-$A$45:A58))),0)</f>
        <v>0.0</v>
      </c>
      <c r="I58" s="7">
        <f>Parameters!$E$23*I57+B58*Parameters!$E$22</f>
        <v>0.0</v>
      </c>
      <c r="J58" s="7">
        <f>E58*Parameters!$E$14*(1-Parameters!$E$15)</f>
        <v>0.0</v>
      </c>
      <c r="K58" s="7">
        <f>H58*Parameters!$E$29</f>
        <v>0.0</v>
      </c>
      <c r="L58" s="7">
        <f>I58*Parameters!$E$24</f>
        <v>0.0</v>
      </c>
      <c r="M58" s="7">
        <f>J58+K58+L58</f>
        <v>0.0</v>
      </c>
      <c r="N58" s="7">
        <f>C58*Parameters!$E$17+D58*Parameters!$E$18+E58*Parameters!$E$16+I58*Parameters!$E$25+G58*Parameters!$E$30</f>
        <v>0.0016492674416640012</v>
      </c>
      <c r="O58" s="7">
        <f>0</f>
        <v>0</v>
      </c>
      <c r="P58" s="7">
        <f>M58-N58-O58</f>
        <v>-0.0016492674416640012</v>
      </c>
      <c r="Q58" s="7">
        <f>0</f>
        <v>0</v>
      </c>
      <c r="R58" s="7">
        <f>P58-Q58</f>
        <v>-0.0016492674416640012</v>
      </c>
      <c r="S58" s="7">
        <f>IF(A58&lt;1+Parameters!$E$31,0,INDEX($M$45:$M$80,A58-Parameters!$E$31))</f>
        <v>0.0</v>
      </c>
      <c r="T58" s="7">
        <f>T57+M58-S58</f>
        <v>0.0</v>
      </c>
      <c r="U58" s="7">
        <f>S58-N58-O58-Q58</f>
        <v>-0.0016492674416640012</v>
      </c>
      <c r="V58" s="7">
        <f>V57+U58</f>
        <v>1.486597069766656</v>
      </c>
      <c r="W58" s="7">
        <f>(1-Parameters!$E$7)*(C58-E58)+(1-Parameters!$E$8)*(D58+E58)</f>
        <v>0.0010995116277760005</v>
      </c>
      <c r="X58" s="7">
        <f>Parameters!$E$7*(C58-E58)+Parameters!$E$8*Parameters!$E$9*(D58+E58)</f>
        <v>0.0</v>
      </c>
      <c r="Y58" s="7">
        <f>Parameters!$E$8*(1-Parameters!$E$9)*(D58+E58)</f>
        <v>0.004398046511104004</v>
      </c>
      <c r="Z58" s="7">
        <f>POWER(1/(1+Parameters!$E$32),A58-1)*(M58-N58)</f>
        <v>-0.001449149617187881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0.004398046511104004</v>
      </c>
      <c r="E59" s="7">
        <f>Parameters!$E$6*C59</f>
        <v>0.0</v>
      </c>
      <c r="F59" s="7">
        <f>IF(Parameters!$E$5=1,E59,0)</f>
        <v>0.0</v>
      </c>
      <c r="G59" s="7">
        <f>Parameters!$E$27*G58+F59</f>
        <v>0.0</v>
      </c>
      <c r="H59" s="7">
        <f>IF(AND(Parameters!$E$5=1,Parameters!$E$26=1),SUMPRODUCT(--($A$45:A59&lt;A59),--(MOD(A59-$A$45:A59,Parameters!$E$28)=0),$F$45:F59,POWER(Parameters!$E$27,IF(A59-$A$45:A59=0,1,A59-$A$45:A59))),0)</f>
        <v>0.0</v>
      </c>
      <c r="I59" s="7">
        <f>Parameters!$E$23*I58+B59*Parameters!$E$22</f>
        <v>0.0</v>
      </c>
      <c r="J59" s="7">
        <f>E59*Parameters!$E$14*(1-Parameters!$E$15)</f>
        <v>0.0</v>
      </c>
      <c r="K59" s="7">
        <f>H59*Parameters!$E$29</f>
        <v>0.0</v>
      </c>
      <c r="L59" s="7">
        <f>I59*Parameters!$E$24</f>
        <v>0.0</v>
      </c>
      <c r="M59" s="7">
        <f>J59+K59+L59</f>
        <v>0.0</v>
      </c>
      <c r="N59" s="7">
        <f>C59*Parameters!$E$17+D59*Parameters!$E$18+E59*Parameters!$E$16+I59*Parameters!$E$25+G59*Parameters!$E$30</f>
        <v>0.001319413953331201</v>
      </c>
      <c r="O59" s="7">
        <f>0</f>
        <v>0</v>
      </c>
      <c r="P59" s="7">
        <f>M59-N59-O59</f>
        <v>-0.001319413953331201</v>
      </c>
      <c r="Q59" s="7">
        <f>0</f>
        <v>0</v>
      </c>
      <c r="R59" s="7">
        <f>P59-Q59</f>
        <v>-0.001319413953331201</v>
      </c>
      <c r="S59" s="7">
        <f>IF(A59&lt;1+Parameters!$E$31,0,INDEX($M$45:$M$80,A59-Parameters!$E$31))</f>
        <v>0.0</v>
      </c>
      <c r="T59" s="7">
        <f>T58+M59-S59</f>
        <v>0.0</v>
      </c>
      <c r="U59" s="7">
        <f>S59-N59-O59-Q59</f>
        <v>-0.001319413953331201</v>
      </c>
      <c r="V59" s="7">
        <f>V58+U59</f>
        <v>1.4852776558133247</v>
      </c>
      <c r="W59" s="7">
        <f>(1-Parameters!$E$7)*(C59-E59)+(1-Parameters!$E$8)*(D59+E59)</f>
        <v>0.0008796093022208005</v>
      </c>
      <c r="X59" s="7">
        <f>Parameters!$E$7*(C59-E59)+Parameters!$E$8*Parameters!$E$9*(D59+E59)</f>
        <v>0.0</v>
      </c>
      <c r="Y59" s="7">
        <f>Parameters!$E$8*(1-Parameters!$E$9)*(D59+E59)</f>
        <v>0.0035184372088832034</v>
      </c>
      <c r="Z59" s="7">
        <f>POWER(1/(1+Parameters!$E$32),A59-1)*(M59-N59)</f>
        <v>-0.001147841280940896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0.0035184372088832034</v>
      </c>
      <c r="E60" s="7">
        <f>Parameters!$E$6*C60</f>
        <v>0.0</v>
      </c>
      <c r="F60" s="7">
        <f>IF(Parameters!$E$5=1,E60,0)</f>
        <v>0.0</v>
      </c>
      <c r="G60" s="7">
        <f>Parameters!$E$27*G59+F60</f>
        <v>0.0</v>
      </c>
      <c r="H60" s="7">
        <f>IF(AND(Parameters!$E$5=1,Parameters!$E$26=1),SUMPRODUCT(--($A$45:A60&lt;A60),--(MOD(A60-$A$45:A60,Parameters!$E$28)=0),$F$45:F60,POWER(Parameters!$E$27,IF(A60-$A$45:A60=0,1,A60-$A$45:A60))),0)</f>
        <v>0.0</v>
      </c>
      <c r="I60" s="7">
        <f>Parameters!$E$23*I59+B60*Parameters!$E$22</f>
        <v>0.0</v>
      </c>
      <c r="J60" s="7">
        <f>E60*Parameters!$E$14*(1-Parameters!$E$15)</f>
        <v>0.0</v>
      </c>
      <c r="K60" s="7">
        <f>H60*Parameters!$E$29</f>
        <v>0.0</v>
      </c>
      <c r="L60" s="7">
        <f>I60*Parameters!$E$24</f>
        <v>0.0</v>
      </c>
      <c r="M60" s="7">
        <f>J60+K60+L60</f>
        <v>0.0</v>
      </c>
      <c r="N60" s="7">
        <f>C60*Parameters!$E$17+D60*Parameters!$E$18+E60*Parameters!$E$16+I60*Parameters!$E$25+G60*Parameters!$E$30</f>
        <v>0.0010555311626649609</v>
      </c>
      <c r="O60" s="7">
        <f>0</f>
        <v>0</v>
      </c>
      <c r="P60" s="7">
        <f>M60-N60-O60</f>
        <v>-0.0010555311626649609</v>
      </c>
      <c r="Q60" s="7">
        <f>0</f>
        <v>0</v>
      </c>
      <c r="R60" s="7">
        <f>P60-Q60</f>
        <v>-0.0010555311626649609</v>
      </c>
      <c r="S60" s="7">
        <f>IF(A60&lt;1+Parameters!$E$31,0,INDEX($M$45:$M$80,A60-Parameters!$E$31))</f>
        <v>0.0</v>
      </c>
      <c r="T60" s="7">
        <f>T59+M60-S60</f>
        <v>0.0</v>
      </c>
      <c r="U60" s="7">
        <f>S60-N60-O60-Q60</f>
        <v>-0.0010555311626649609</v>
      </c>
      <c r="V60" s="7">
        <f>V59+U60</f>
        <v>1.4842221246506597</v>
      </c>
      <c r="W60" s="7">
        <f>(1-Parameters!$E$7)*(C60-E60)+(1-Parameters!$E$8)*(D60+E60)</f>
        <v>0.0007036874417766405</v>
      </c>
      <c r="X60" s="7">
        <f>Parameters!$E$7*(C60-E60)+Parameters!$E$8*Parameters!$E$9*(D60+E60)</f>
        <v>0.0</v>
      </c>
      <c r="Y60" s="7">
        <f>Parameters!$E$8*(1-Parameters!$E$9)*(D60+E60)</f>
        <v>0.002814749767106563</v>
      </c>
      <c r="Z60" s="7">
        <f>POWER(1/(1+Parameters!$E$32),A60-1)*(M60-N60)</f>
        <v>-0.0009091812126264523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0.002814749767106563</v>
      </c>
      <c r="E61" s="7">
        <f>Parameters!$E$6*C61</f>
        <v>0.0</v>
      </c>
      <c r="F61" s="7">
        <f>IF(Parameters!$E$5=1,E61,0)</f>
        <v>0.0</v>
      </c>
      <c r="G61" s="7">
        <f>Parameters!$E$27*G60+F61</f>
        <v>0.0</v>
      </c>
      <c r="H61" s="7">
        <f>IF(AND(Parameters!$E$5=1,Parameters!$E$26=1),SUMPRODUCT(--($A$45:A61&lt;A61),--(MOD(A61-$A$45:A61,Parameters!$E$28)=0),$F$45:F61,POWER(Parameters!$E$27,IF(A61-$A$45:A61=0,1,A61-$A$45:A61))),0)</f>
        <v>0.0</v>
      </c>
      <c r="I61" s="7">
        <f>Parameters!$E$23*I60+B61*Parameters!$E$22</f>
        <v>0.0</v>
      </c>
      <c r="J61" s="7">
        <f>E61*Parameters!$E$14*(1-Parameters!$E$15)</f>
        <v>0.0</v>
      </c>
      <c r="K61" s="7">
        <f>H61*Parameters!$E$29</f>
        <v>0.0</v>
      </c>
      <c r="L61" s="7">
        <f>I61*Parameters!$E$24</f>
        <v>0.0</v>
      </c>
      <c r="M61" s="7">
        <f>J61+K61+L61</f>
        <v>0.0</v>
      </c>
      <c r="N61" s="7">
        <f>C61*Parameters!$E$17+D61*Parameters!$E$18+E61*Parameters!$E$16+I61*Parameters!$E$25+G61*Parameters!$E$30</f>
        <v>0.0008444249301319688</v>
      </c>
      <c r="O61" s="7">
        <f>0</f>
        <v>0</v>
      </c>
      <c r="P61" s="7">
        <f>M61-N61-O61</f>
        <v>-0.0008444249301319688</v>
      </c>
      <c r="Q61" s="7">
        <f>0</f>
        <v>0</v>
      </c>
      <c r="R61" s="7">
        <f>P61-Q61</f>
        <v>-0.0008444249301319688</v>
      </c>
      <c r="S61" s="7">
        <f>IF(A61&lt;1+Parameters!$E$31,0,INDEX($M$45:$M$80,A61-Parameters!$E$31))</f>
        <v>0.0</v>
      </c>
      <c r="T61" s="7">
        <f>T60+M61-S61</f>
        <v>0.0</v>
      </c>
      <c r="U61" s="7">
        <f>S61-N61-O61-Q61</f>
        <v>-0.0008444249301319688</v>
      </c>
      <c r="V61" s="7">
        <f>V60+U61</f>
        <v>1.4833776997205277</v>
      </c>
      <c r="W61" s="7">
        <f>(1-Parameters!$E$7)*(C61-E61)+(1-Parameters!$E$8)*(D61+E61)</f>
        <v>0.0005629499534213125</v>
      </c>
      <c r="X61" s="7">
        <f>Parameters!$E$7*(C61-E61)+Parameters!$E$8*Parameters!$E$9*(D61+E61)</f>
        <v>0.0</v>
      </c>
      <c r="Y61" s="7">
        <f>Parameters!$E$8*(1-Parameters!$E$9)*(D61+E61)</f>
        <v>0.0022517998136852503</v>
      </c>
      <c r="Z61" s="7">
        <f>POWER(1/(1+Parameters!$E$32),A61-1)*(M61-N61)</f>
        <v>-0.0007201435347536256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0.0022517998136852503</v>
      </c>
      <c r="E62" s="7">
        <f>Parameters!$E$6*C62</f>
        <v>0.0</v>
      </c>
      <c r="F62" s="7">
        <f>IF(Parameters!$E$5=1,E62,0)</f>
        <v>0.0</v>
      </c>
      <c r="G62" s="7">
        <f>Parameters!$E$27*G61+F62</f>
        <v>0.0</v>
      </c>
      <c r="H62" s="7">
        <f>IF(AND(Parameters!$E$5=1,Parameters!$E$26=1),SUMPRODUCT(--($A$45:A62&lt;A62),--(MOD(A62-$A$45:A62,Parameters!$E$28)=0),$F$45:F62,POWER(Parameters!$E$27,IF(A62-$A$45:A62=0,1,A62-$A$45:A62))),0)</f>
        <v>0.0</v>
      </c>
      <c r="I62" s="7">
        <f>Parameters!$E$23*I61+B62*Parameters!$E$22</f>
        <v>0.0</v>
      </c>
      <c r="J62" s="7">
        <f>E62*Parameters!$E$14*(1-Parameters!$E$15)</f>
        <v>0.0</v>
      </c>
      <c r="K62" s="7">
        <f>H62*Parameters!$E$29</f>
        <v>0.0</v>
      </c>
      <c r="L62" s="7">
        <f>I62*Parameters!$E$24</f>
        <v>0.0</v>
      </c>
      <c r="M62" s="7">
        <f>J62+K62+L62</f>
        <v>0.0</v>
      </c>
      <c r="N62" s="7">
        <f>C62*Parameters!$E$17+D62*Parameters!$E$18+E62*Parameters!$E$16+I62*Parameters!$E$25+G62*Parameters!$E$30</f>
        <v>0.000675539944105575</v>
      </c>
      <c r="O62" s="7">
        <f>0</f>
        <v>0</v>
      </c>
      <c r="P62" s="7">
        <f>M62-N62-O62</f>
        <v>-0.000675539944105575</v>
      </c>
      <c r="Q62" s="7">
        <f>0</f>
        <v>0</v>
      </c>
      <c r="R62" s="7">
        <f>P62-Q62</f>
        <v>-0.000675539944105575</v>
      </c>
      <c r="S62" s="7">
        <f>IF(A62&lt;1+Parameters!$E$31,0,INDEX($M$45:$M$80,A62-Parameters!$E$31))</f>
        <v>0.0</v>
      </c>
      <c r="T62" s="7">
        <f>T61+M62-S62</f>
        <v>0.0</v>
      </c>
      <c r="U62" s="7">
        <f>S62-N62-O62-Q62</f>
        <v>-0.000675539944105575</v>
      </c>
      <c r="V62" s="7">
        <f>V61+U62</f>
        <v>1.482702159776422</v>
      </c>
      <c r="W62" s="7">
        <f>(1-Parameters!$E$7)*(C62-E62)+(1-Parameters!$E$8)*(D62+E62)</f>
        <v>0.00045035996273704997</v>
      </c>
      <c r="X62" s="7">
        <f>Parameters!$E$7*(C62-E62)+Parameters!$E$8*Parameters!$E$9*(D62+E62)</f>
        <v>0.0</v>
      </c>
      <c r="Y62" s="7">
        <f>Parameters!$E$8*(1-Parameters!$E$9)*(D62+E62)</f>
        <v>0.0018014398509482003</v>
      </c>
      <c r="Z62" s="7">
        <f>POWER(1/(1+Parameters!$E$32),A62-1)*(M62-N62)</f>
        <v>-0.0005704107205969311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0.0018014398509482003</v>
      </c>
      <c r="E63" s="7">
        <f>Parameters!$E$6*C63</f>
        <v>0.0</v>
      </c>
      <c r="F63" s="7">
        <f>IF(Parameters!$E$5=1,E63,0)</f>
        <v>0.0</v>
      </c>
      <c r="G63" s="7">
        <f>Parameters!$E$27*G62+F63</f>
        <v>0.0</v>
      </c>
      <c r="H63" s="7">
        <f>IF(AND(Parameters!$E$5=1,Parameters!$E$26=1),SUMPRODUCT(--($A$45:A63&lt;A63),--(MOD(A63-$A$45:A63,Parameters!$E$28)=0),$F$45:F63,POWER(Parameters!$E$27,IF(A63-$A$45:A63=0,1,A63-$A$45:A63))),0)</f>
        <v>0.0</v>
      </c>
      <c r="I63" s="7">
        <f>Parameters!$E$23*I62+B63*Parameters!$E$22</f>
        <v>0.0</v>
      </c>
      <c r="J63" s="7">
        <f>E63*Parameters!$E$14*(1-Parameters!$E$15)</f>
        <v>0.0</v>
      </c>
      <c r="K63" s="7">
        <f>H63*Parameters!$E$29</f>
        <v>0.0</v>
      </c>
      <c r="L63" s="7">
        <f>I63*Parameters!$E$24</f>
        <v>0.0</v>
      </c>
      <c r="M63" s="7">
        <f>J63+K63+L63</f>
        <v>0.0</v>
      </c>
      <c r="N63" s="7">
        <f>C63*Parameters!$E$17+D63*Parameters!$E$18+E63*Parameters!$E$16+I63*Parameters!$E$25+G63*Parameters!$E$30</f>
        <v>0.0005404319552844601</v>
      </c>
      <c r="O63" s="7">
        <f>0</f>
        <v>0</v>
      </c>
      <c r="P63" s="7">
        <f>M63-N63-O63</f>
        <v>-0.0005404319552844601</v>
      </c>
      <c r="Q63" s="7">
        <f>0</f>
        <v>0</v>
      </c>
      <c r="R63" s="7">
        <f>P63-Q63</f>
        <v>-0.0005404319552844601</v>
      </c>
      <c r="S63" s="7">
        <f>IF(A63&lt;1+Parameters!$E$31,0,INDEX($M$45:$M$80,A63-Parameters!$E$31))</f>
        <v>0.0</v>
      </c>
      <c r="T63" s="7">
        <f>T62+M63-S63</f>
        <v>0.0</v>
      </c>
      <c r="U63" s="7">
        <f>S63-N63-O63-Q63</f>
        <v>-0.0005404319552844601</v>
      </c>
      <c r="V63" s="7">
        <f>V62+U63</f>
        <v>1.4821617278211376</v>
      </c>
      <c r="W63" s="7">
        <f>(1-Parameters!$E$7)*(C63-E63)+(1-Parameters!$E$8)*(D63+E63)</f>
        <v>0.00036028797018964</v>
      </c>
      <c r="X63" s="7">
        <f>Parameters!$E$7*(C63-E63)+Parameters!$E$8*Parameters!$E$9*(D63+E63)</f>
        <v>0.0</v>
      </c>
      <c r="Y63" s="7">
        <f>Parameters!$E$8*(1-Parameters!$E$9)*(D63+E63)</f>
        <v>0.0014411518807585604</v>
      </c>
      <c r="Z63" s="7">
        <f>POWER(1/(1+Parameters!$E$32),A63-1)*(M63-N63)</f>
        <v>-0.00045181047175994553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0.0014411518807585604</v>
      </c>
      <c r="E64" s="7">
        <f>Parameters!$E$6*C64</f>
        <v>0.0</v>
      </c>
      <c r="F64" s="7">
        <f>IF(Parameters!$E$5=1,E64,0)</f>
        <v>0.0</v>
      </c>
      <c r="G64" s="7">
        <f>Parameters!$E$27*G63+F64</f>
        <v>0.0</v>
      </c>
      <c r="H64" s="7">
        <f>IF(AND(Parameters!$E$5=1,Parameters!$E$26=1),SUMPRODUCT(--($A$45:A64&lt;A64),--(MOD(A64-$A$45:A64,Parameters!$E$28)=0),$F$45:F64,POWER(Parameters!$E$27,IF(A64-$A$45:A64=0,1,A64-$A$45:A64))),0)</f>
        <v>0.0</v>
      </c>
      <c r="I64" s="7">
        <f>Parameters!$E$23*I63+B64*Parameters!$E$22</f>
        <v>0.0</v>
      </c>
      <c r="J64" s="7">
        <f>E64*Parameters!$E$14*(1-Parameters!$E$15)</f>
        <v>0.0</v>
      </c>
      <c r="K64" s="7">
        <f>H64*Parameters!$E$29</f>
        <v>0.0</v>
      </c>
      <c r="L64" s="7">
        <f>I64*Parameters!$E$24</f>
        <v>0.0</v>
      </c>
      <c r="M64" s="7">
        <f>J64+K64+L64</f>
        <v>0.0</v>
      </c>
      <c r="N64" s="7">
        <f>C64*Parameters!$E$17+D64*Parameters!$E$18+E64*Parameters!$E$16+I64*Parameters!$E$25+G64*Parameters!$E$30</f>
        <v>0.0004323455642275681</v>
      </c>
      <c r="O64" s="7">
        <f>0</f>
        <v>0</v>
      </c>
      <c r="P64" s="7">
        <f>M64-N64-O64</f>
        <v>-0.0004323455642275681</v>
      </c>
      <c r="Q64" s="7">
        <f>0</f>
        <v>0</v>
      </c>
      <c r="R64" s="7">
        <f>P64-Q64</f>
        <v>-0.0004323455642275681</v>
      </c>
      <c r="S64" s="7">
        <f>IF(A64&lt;1+Parameters!$E$31,0,INDEX($M$45:$M$80,A64-Parameters!$E$31))</f>
        <v>0.0</v>
      </c>
      <c r="T64" s="7">
        <f>T63+M64-S64</f>
        <v>0.0</v>
      </c>
      <c r="U64" s="7">
        <f>S64-N64-O64-Q64</f>
        <v>-0.0004323455642275681</v>
      </c>
      <c r="V64" s="7">
        <f>V63+U64</f>
        <v>1.48172938225691</v>
      </c>
      <c r="W64" s="7">
        <f>(1-Parameters!$E$7)*(C64-E64)+(1-Parameters!$E$8)*(D64+E64)</f>
        <v>0.000288230376151712</v>
      </c>
      <c r="X64" s="7">
        <f>Parameters!$E$7*(C64-E64)+Parameters!$E$8*Parameters!$E$9*(D64+E64)</f>
        <v>0.0</v>
      </c>
      <c r="Y64" s="7">
        <f>Parameters!$E$8*(1-Parameters!$E$9)*(D64+E64)</f>
        <v>0.0011529215046068484</v>
      </c>
      <c r="Z64" s="7">
        <f>POWER(1/(1+Parameters!$E$32),A64-1)*(M64-N64)</f>
        <v>-0.00035786968060193703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0.0011529215046068484</v>
      </c>
      <c r="E65" s="7">
        <f>Parameters!$E$6*C65</f>
        <v>0.0</v>
      </c>
      <c r="F65" s="7">
        <f>IF(Parameters!$E$5=1,E65,0)</f>
        <v>0.0</v>
      </c>
      <c r="G65" s="7">
        <f>Parameters!$E$27*G64+F65</f>
        <v>0.0</v>
      </c>
      <c r="H65" s="7">
        <f>IF(AND(Parameters!$E$5=1,Parameters!$E$26=1),SUMPRODUCT(--($A$45:A65&lt;A65),--(MOD(A65-$A$45:A65,Parameters!$E$28)=0),$F$45:F65,POWER(Parameters!$E$27,IF(A65-$A$45:A65=0,1,A65-$A$45:A65))),0)</f>
        <v>0.0</v>
      </c>
      <c r="I65" s="7">
        <f>Parameters!$E$23*I64+B65*Parameters!$E$22</f>
        <v>0.0</v>
      </c>
      <c r="J65" s="7">
        <f>E65*Parameters!$E$14*(1-Parameters!$E$15)</f>
        <v>0.0</v>
      </c>
      <c r="K65" s="7">
        <f>H65*Parameters!$E$29</f>
        <v>0.0</v>
      </c>
      <c r="L65" s="7">
        <f>I65*Parameters!$E$24</f>
        <v>0.0</v>
      </c>
      <c r="M65" s="7">
        <f>J65+K65+L65</f>
        <v>0.0</v>
      </c>
      <c r="N65" s="7">
        <f>C65*Parameters!$E$17+D65*Parameters!$E$18+E65*Parameters!$E$16+I65*Parameters!$E$25+G65*Parameters!$E$30</f>
        <v>0.0003458764513820545</v>
      </c>
      <c r="O65" s="7">
        <f>0</f>
        <v>0</v>
      </c>
      <c r="P65" s="7">
        <f>M65-N65-O65</f>
        <v>-0.0003458764513820545</v>
      </c>
      <c r="Q65" s="7">
        <f>0</f>
        <v>0</v>
      </c>
      <c r="R65" s="7">
        <f>P65-Q65</f>
        <v>-0.0003458764513820545</v>
      </c>
      <c r="S65" s="7">
        <f>IF(A65&lt;1+Parameters!$E$31,0,INDEX($M$45:$M$80,A65-Parameters!$E$31))</f>
        <v>0.0</v>
      </c>
      <c r="T65" s="7">
        <f>T64+M65-S65</f>
        <v>0.0</v>
      </c>
      <c r="U65" s="7">
        <f>S65-N65-O65-Q65</f>
        <v>-0.0003458764513820545</v>
      </c>
      <c r="V65" s="7">
        <f>V64+U65</f>
        <v>1.481383505805528</v>
      </c>
      <c r="W65" s="7">
        <f>(1-Parameters!$E$7)*(C65-E65)+(1-Parameters!$E$8)*(D65+E65)</f>
        <v>0.00023058430092136962</v>
      </c>
      <c r="X65" s="7">
        <f>Parameters!$E$7*(C65-E65)+Parameters!$E$8*Parameters!$E$9*(D65+E65)</f>
        <v>0.0</v>
      </c>
      <c r="Y65" s="7">
        <f>Parameters!$E$8*(1-Parameters!$E$9)*(D65+E65)</f>
        <v>0.0009223372036854787</v>
      </c>
      <c r="Z65" s="7">
        <f>POWER(1/(1+Parameters!$E$32),A65-1)*(M65-N65)</f>
        <v>-0.0002834611331500492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0.0009223372036854787</v>
      </c>
      <c r="E66" s="7">
        <f>Parameters!$E$6*C66</f>
        <v>0.0</v>
      </c>
      <c r="F66" s="7">
        <f>IF(Parameters!$E$5=1,E66,0)</f>
        <v>0.0</v>
      </c>
      <c r="G66" s="7">
        <f>Parameters!$E$27*G65+F66</f>
        <v>0.0</v>
      </c>
      <c r="H66" s="7">
        <f>IF(AND(Parameters!$E$5=1,Parameters!$E$26=1),SUMPRODUCT(--($A$45:A66&lt;A66),--(MOD(A66-$A$45:A66,Parameters!$E$28)=0),$F$45:F66,POWER(Parameters!$E$27,IF(A66-$A$45:A66=0,1,A66-$A$45:A66))),0)</f>
        <v>0.0</v>
      </c>
      <c r="I66" s="7">
        <f>Parameters!$E$23*I65+B66*Parameters!$E$22</f>
        <v>0.0</v>
      </c>
      <c r="J66" s="7">
        <f>E66*Parameters!$E$14*(1-Parameters!$E$15)</f>
        <v>0.0</v>
      </c>
      <c r="K66" s="7">
        <f>H66*Parameters!$E$29</f>
        <v>0.0</v>
      </c>
      <c r="L66" s="7">
        <f>I66*Parameters!$E$24</f>
        <v>0.0</v>
      </c>
      <c r="M66" s="7">
        <f>J66+K66+L66</f>
        <v>0.0</v>
      </c>
      <c r="N66" s="7">
        <f>C66*Parameters!$E$17+D66*Parameters!$E$18+E66*Parameters!$E$16+I66*Parameters!$E$25+G66*Parameters!$E$30</f>
        <v>0.0002767011611056436</v>
      </c>
      <c r="O66" s="7">
        <f>0</f>
        <v>0</v>
      </c>
      <c r="P66" s="7">
        <f>M66-N66-O66</f>
        <v>-0.0002767011611056436</v>
      </c>
      <c r="Q66" s="7">
        <f>0</f>
        <v>0</v>
      </c>
      <c r="R66" s="7">
        <f>P66-Q66</f>
        <v>-0.0002767011611056436</v>
      </c>
      <c r="S66" s="7">
        <f>IF(A66&lt;1+Parameters!$E$31,0,INDEX($M$45:$M$80,A66-Parameters!$E$31))</f>
        <v>0.0</v>
      </c>
      <c r="T66" s="7">
        <f>T65+M66-S66</f>
        <v>0.0</v>
      </c>
      <c r="U66" s="7">
        <f>S66-N66-O66-Q66</f>
        <v>-0.0002767011611056436</v>
      </c>
      <c r="V66" s="7">
        <f>V65+U66</f>
        <v>1.4811068046444225</v>
      </c>
      <c r="W66" s="7">
        <f>(1-Parameters!$E$7)*(C66-E66)+(1-Parameters!$E$8)*(D66+E66)</f>
        <v>0.0001844674407370957</v>
      </c>
      <c r="X66" s="7">
        <f>Parameters!$E$7*(C66-E66)+Parameters!$E$8*Parameters!$E$9*(D66+E66)</f>
        <v>0.0</v>
      </c>
      <c r="Y66" s="7">
        <f>Parameters!$E$8*(1-Parameters!$E$9)*(D66+E66)</f>
        <v>0.000737869762948383</v>
      </c>
      <c r="Z66" s="7">
        <f>POWER(1/(1+Parameters!$E$32),A66-1)*(M66-N66)</f>
        <v>-0.00022452366982182113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0.000737869762948383</v>
      </c>
      <c r="E67" s="7">
        <f>Parameters!$E$6*C67</f>
        <v>0.0</v>
      </c>
      <c r="F67" s="7">
        <f>IF(Parameters!$E$5=1,E67,0)</f>
        <v>0.0</v>
      </c>
      <c r="G67" s="7">
        <f>Parameters!$E$27*G66+F67</f>
        <v>0.0</v>
      </c>
      <c r="H67" s="7">
        <f>IF(AND(Parameters!$E$5=1,Parameters!$E$26=1),SUMPRODUCT(--($A$45:A67&lt;A67),--(MOD(A67-$A$45:A67,Parameters!$E$28)=0),$F$45:F67,POWER(Parameters!$E$27,IF(A67-$A$45:A67=0,1,A67-$A$45:A67))),0)</f>
        <v>0.0</v>
      </c>
      <c r="I67" s="7">
        <f>Parameters!$E$23*I66+B67*Parameters!$E$22</f>
        <v>0.0</v>
      </c>
      <c r="J67" s="7">
        <f>E67*Parameters!$E$14*(1-Parameters!$E$15)</f>
        <v>0.0</v>
      </c>
      <c r="K67" s="7">
        <f>H67*Parameters!$E$29</f>
        <v>0.0</v>
      </c>
      <c r="L67" s="7">
        <f>I67*Parameters!$E$24</f>
        <v>0.0</v>
      </c>
      <c r="M67" s="7">
        <f>J67+K67+L67</f>
        <v>0.0</v>
      </c>
      <c r="N67" s="7">
        <f>C67*Parameters!$E$17+D67*Parameters!$E$18+E67*Parameters!$E$16+I67*Parameters!$E$25+G67*Parameters!$E$30</f>
        <v>0.0002213609288845149</v>
      </c>
      <c r="O67" s="7">
        <f>0</f>
        <v>0</v>
      </c>
      <c r="P67" s="7">
        <f>M67-N67-O67</f>
        <v>-0.0002213609288845149</v>
      </c>
      <c r="Q67" s="7">
        <f>0</f>
        <v>0</v>
      </c>
      <c r="R67" s="7">
        <f>P67-Q67</f>
        <v>-0.0002213609288845149</v>
      </c>
      <c r="S67" s="7">
        <f>IF(A67&lt;1+Parameters!$E$31,0,INDEX($M$45:$M$80,A67-Parameters!$E$31))</f>
        <v>0.0</v>
      </c>
      <c r="T67" s="7">
        <f>T66+M67-S67</f>
        <v>0.0</v>
      </c>
      <c r="U67" s="7">
        <f>S67-N67-O67-Q67</f>
        <v>-0.0002213609288845149</v>
      </c>
      <c r="V67" s="7">
        <f>V66+U67</f>
        <v>1.4808854437155379</v>
      </c>
      <c r="W67" s="7">
        <f>(1-Parameters!$E$7)*(C67-E67)+(1-Parameters!$E$8)*(D67+E67)</f>
        <v>0.00014757395258967656</v>
      </c>
      <c r="X67" s="7">
        <f>Parameters!$E$7*(C67-E67)+Parameters!$E$8*Parameters!$E$9*(D67+E67)</f>
        <v>0.0</v>
      </c>
      <c r="Y67" s="7">
        <f>Parameters!$E$8*(1-Parameters!$E$9)*(D67+E67)</f>
        <v>0.0005902958103587065</v>
      </c>
      <c r="Z67" s="7">
        <f>POWER(1/(1+Parameters!$E$32),A67-1)*(M67-N67)</f>
        <v>-0.00017784053055193753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0.0005902958103587065</v>
      </c>
      <c r="E68" s="7">
        <f>Parameters!$E$6*C68</f>
        <v>0.0</v>
      </c>
      <c r="F68" s="7">
        <f>IF(Parameters!$E$5=1,E68,0)</f>
        <v>0.0</v>
      </c>
      <c r="G68" s="7">
        <f>Parameters!$E$27*G67+F68</f>
        <v>0.0</v>
      </c>
      <c r="H68" s="7">
        <f>IF(AND(Parameters!$E$5=1,Parameters!$E$26=1),SUMPRODUCT(--($A$45:A68&lt;A68),--(MOD(A68-$A$45:A68,Parameters!$E$28)=0),$F$45:F68,POWER(Parameters!$E$27,IF(A68-$A$45:A68=0,1,A68-$A$45:A68))),0)</f>
        <v>0.0</v>
      </c>
      <c r="I68" s="7">
        <f>Parameters!$E$23*I67+B68*Parameters!$E$22</f>
        <v>0.0</v>
      </c>
      <c r="J68" s="7">
        <f>E68*Parameters!$E$14*(1-Parameters!$E$15)</f>
        <v>0.0</v>
      </c>
      <c r="K68" s="7">
        <f>H68*Parameters!$E$29</f>
        <v>0.0</v>
      </c>
      <c r="L68" s="7">
        <f>I68*Parameters!$E$24</f>
        <v>0.0</v>
      </c>
      <c r="M68" s="7">
        <f>J68+K68+L68</f>
        <v>0.0</v>
      </c>
      <c r="N68" s="7">
        <f>C68*Parameters!$E$17+D68*Parameters!$E$18+E68*Parameters!$E$16+I68*Parameters!$E$25+G68*Parameters!$E$30</f>
        <v>0.00017708874310761193</v>
      </c>
      <c r="O68" s="7">
        <f>0</f>
        <v>0</v>
      </c>
      <c r="P68" s="7">
        <f>M68-N68-O68</f>
        <v>-0.00017708874310761193</v>
      </c>
      <c r="Q68" s="7">
        <f>0</f>
        <v>0</v>
      </c>
      <c r="R68" s="7">
        <f>P68-Q68</f>
        <v>-0.00017708874310761193</v>
      </c>
      <c r="S68" s="7">
        <f>IF(A68&lt;1+Parameters!$E$31,0,INDEX($M$45:$M$80,A68-Parameters!$E$31))</f>
        <v>0.0</v>
      </c>
      <c r="T68" s="7">
        <f>T67+M68-S68</f>
        <v>0.0</v>
      </c>
      <c r="U68" s="7">
        <f>S68-N68-O68-Q68</f>
        <v>-0.00017708874310761193</v>
      </c>
      <c r="V68" s="7">
        <f>V67+U68</f>
        <v>1.4807083549724303</v>
      </c>
      <c r="W68" s="7">
        <f>(1-Parameters!$E$7)*(C68-E68)+(1-Parameters!$E$8)*(D68+E68)</f>
        <v>0.00011805916207174127</v>
      </c>
      <c r="X68" s="7">
        <f>Parameters!$E$7*(C68-E68)+Parameters!$E$8*Parameters!$E$9*(D68+E68)</f>
        <v>0.0</v>
      </c>
      <c r="Y68" s="7">
        <f>Parameters!$E$8*(1-Parameters!$E$9)*(D68+E68)</f>
        <v>0.0004722366482869652</v>
      </c>
      <c r="Z68" s="7">
        <f>POWER(1/(1+Parameters!$E$32),A68-1)*(M68-N68)</f>
        <v>-0.0001408637865757921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0.0004722366482869652</v>
      </c>
      <c r="E69" s="7">
        <f>Parameters!$E$6*C69</f>
        <v>0.0</v>
      </c>
      <c r="F69" s="7">
        <f>IF(Parameters!$E$5=1,E69,0)</f>
        <v>0.0</v>
      </c>
      <c r="G69" s="7">
        <f>Parameters!$E$27*G68+F69</f>
        <v>0.0</v>
      </c>
      <c r="H69" s="7">
        <f>IF(AND(Parameters!$E$5=1,Parameters!$E$26=1),SUMPRODUCT(--($A$45:A69&lt;A69),--(MOD(A69-$A$45:A69,Parameters!$E$28)=0),$F$45:F69,POWER(Parameters!$E$27,IF(A69-$A$45:A69=0,1,A69-$A$45:A69))),0)</f>
        <v>0.0</v>
      </c>
      <c r="I69" s="7">
        <f>Parameters!$E$23*I68+B69*Parameters!$E$22</f>
        <v>0.0</v>
      </c>
      <c r="J69" s="7">
        <f>E69*Parameters!$E$14*(1-Parameters!$E$15)</f>
        <v>0.0</v>
      </c>
      <c r="K69" s="7">
        <f>H69*Parameters!$E$29</f>
        <v>0.0</v>
      </c>
      <c r="L69" s="7">
        <f>I69*Parameters!$E$24</f>
        <v>0.0</v>
      </c>
      <c r="M69" s="7">
        <f>J69+K69+L69</f>
        <v>0.0</v>
      </c>
      <c r="N69" s="7">
        <f>C69*Parameters!$E$17+D69*Parameters!$E$18+E69*Parameters!$E$16+I69*Parameters!$E$25+G69*Parameters!$E$30</f>
        <v>0.00014167099448608955</v>
      </c>
      <c r="O69" s="7">
        <f>0</f>
        <v>0</v>
      </c>
      <c r="P69" s="7">
        <f>M69-N69-O69</f>
        <v>-0.00014167099448608955</v>
      </c>
      <c r="Q69" s="7">
        <f>0</f>
        <v>0</v>
      </c>
      <c r="R69" s="7">
        <f>P69-Q69</f>
        <v>-0.00014167099448608955</v>
      </c>
      <c r="S69" s="7">
        <f>IF(A69&lt;1+Parameters!$E$31,0,INDEX($M$45:$M$80,A69-Parameters!$E$31))</f>
        <v>0.0</v>
      </c>
      <c r="T69" s="7">
        <f>T68+M69-S69</f>
        <v>0.0</v>
      </c>
      <c r="U69" s="7">
        <f>S69-N69-O69-Q69</f>
        <v>-0.00014167099448608955</v>
      </c>
      <c r="V69" s="7">
        <f>V68+U69</f>
        <v>1.480566683977944</v>
      </c>
      <c r="W69" s="7">
        <f>(1-Parameters!$E$7)*(C69-E69)+(1-Parameters!$E$8)*(D69+E69)</f>
        <v>9.444732965739302e-05</v>
      </c>
      <c r="X69" s="7">
        <f>Parameters!$E$7*(C69-E69)+Parameters!$E$8*Parameters!$E$9*(D69+E69)</f>
        <v>0.0</v>
      </c>
      <c r="Y69" s="7">
        <f>Parameters!$E$8*(1-Parameters!$E$9)*(D69+E69)</f>
        <v>0.0003777893186295722</v>
      </c>
      <c r="Z69" s="7">
        <f>POWER(1/(1+Parameters!$E$32),A69-1)*(M69-N69)</f>
        <v>-0.00011157527649567693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0.0003777893186295722</v>
      </c>
      <c r="E70" s="7">
        <f>Parameters!$E$6*C70</f>
        <v>0.0</v>
      </c>
      <c r="F70" s="7">
        <f>IF(Parameters!$E$5=1,E70,0)</f>
        <v>0.0</v>
      </c>
      <c r="G70" s="7">
        <f>Parameters!$E$27*G69+F70</f>
        <v>0.0</v>
      </c>
      <c r="H70" s="7">
        <f>IF(AND(Parameters!$E$5=1,Parameters!$E$26=1),SUMPRODUCT(--($A$45:A70&lt;A70),--(MOD(A70-$A$45:A70,Parameters!$E$28)=0),$F$45:F70,POWER(Parameters!$E$27,IF(A70-$A$45:A70=0,1,A70-$A$45:A70))),0)</f>
        <v>0.0</v>
      </c>
      <c r="I70" s="7">
        <f>Parameters!$E$23*I69+B70*Parameters!$E$22</f>
        <v>0.0</v>
      </c>
      <c r="J70" s="7">
        <f>E70*Parameters!$E$14*(1-Parameters!$E$15)</f>
        <v>0.0</v>
      </c>
      <c r="K70" s="7">
        <f>H70*Parameters!$E$29</f>
        <v>0.0</v>
      </c>
      <c r="L70" s="7">
        <f>I70*Parameters!$E$24</f>
        <v>0.0</v>
      </c>
      <c r="M70" s="7">
        <f>J70+K70+L70</f>
        <v>0.0</v>
      </c>
      <c r="N70" s="7">
        <f>C70*Parameters!$E$17+D70*Parameters!$E$18+E70*Parameters!$E$16+I70*Parameters!$E$25+G70*Parameters!$E$30</f>
        <v>0.00011333679558887165</v>
      </c>
      <c r="O70" s="7">
        <f>0</f>
        <v>0</v>
      </c>
      <c r="P70" s="7">
        <f>M70-N70-O70</f>
        <v>-0.00011333679558887165</v>
      </c>
      <c r="Q70" s="7">
        <f>0</f>
        <v>0</v>
      </c>
      <c r="R70" s="7">
        <f>P70-Q70</f>
        <v>-0.00011333679558887165</v>
      </c>
      <c r="S70" s="7">
        <f>IF(A70&lt;1+Parameters!$E$31,0,INDEX($M$45:$M$80,A70-Parameters!$E$31))</f>
        <v>0.0</v>
      </c>
      <c r="T70" s="7">
        <f>T69+M70-S70</f>
        <v>0.0</v>
      </c>
      <c r="U70" s="7">
        <f>S70-N70-O70-Q70</f>
        <v>-0.00011333679558887165</v>
      </c>
      <c r="V70" s="7">
        <f>V69+U70</f>
        <v>1.4804533471823553</v>
      </c>
      <c r="W70" s="7">
        <f>(1-Parameters!$E$7)*(C70-E70)+(1-Parameters!$E$8)*(D70+E70)</f>
        <v>7.555786372591442e-05</v>
      </c>
      <c r="X70" s="7">
        <f>Parameters!$E$7*(C70-E70)+Parameters!$E$8*Parameters!$E$9*(D70+E70)</f>
        <v>0.0</v>
      </c>
      <c r="Y70" s="7">
        <f>Parameters!$E$8*(1-Parameters!$E$9)*(D70+E70)</f>
        <v>0.00030223145490365774</v>
      </c>
      <c r="Z70" s="7">
        <f>POWER(1/(1+Parameters!$E$32),A70-1)*(M70-N70)</f>
        <v>-8.837645663023915e-05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0.00030223145490365774</v>
      </c>
      <c r="E71" s="7">
        <f>Parameters!$E$6*C71</f>
        <v>0.0</v>
      </c>
      <c r="F71" s="7">
        <f>IF(Parameters!$E$5=1,E71,0)</f>
        <v>0.0</v>
      </c>
      <c r="G71" s="7">
        <f>Parameters!$E$27*G70+F71</f>
        <v>0.0</v>
      </c>
      <c r="H71" s="7">
        <f>IF(AND(Parameters!$E$5=1,Parameters!$E$26=1),SUMPRODUCT(--($A$45:A71&lt;A71),--(MOD(A71-$A$45:A71,Parameters!$E$28)=0),$F$45:F71,POWER(Parameters!$E$27,IF(A71-$A$45:A71=0,1,A71-$A$45:A71))),0)</f>
        <v>0.0</v>
      </c>
      <c r="I71" s="7">
        <f>Parameters!$E$23*I70+B71*Parameters!$E$22</f>
        <v>0.0</v>
      </c>
      <c r="J71" s="7">
        <f>E71*Parameters!$E$14*(1-Parameters!$E$15)</f>
        <v>0.0</v>
      </c>
      <c r="K71" s="7">
        <f>H71*Parameters!$E$29</f>
        <v>0.0</v>
      </c>
      <c r="L71" s="7">
        <f>I71*Parameters!$E$24</f>
        <v>0.0</v>
      </c>
      <c r="M71" s="7">
        <f>J71+K71+L71</f>
        <v>0.0</v>
      </c>
      <c r="N71" s="7">
        <f>C71*Parameters!$E$17+D71*Parameters!$E$18+E71*Parameters!$E$16+I71*Parameters!$E$25+G71*Parameters!$E$30</f>
        <v>9.066943647109732e-05</v>
      </c>
      <c r="O71" s="7">
        <f>0</f>
        <v>0</v>
      </c>
      <c r="P71" s="7">
        <f>M71-N71-O71</f>
        <v>-9.066943647109732e-05</v>
      </c>
      <c r="Q71" s="7">
        <f>0</f>
        <v>0</v>
      </c>
      <c r="R71" s="7">
        <f>P71-Q71</f>
        <v>-9.066943647109732e-05</v>
      </c>
      <c r="S71" s="7">
        <f>IF(A71&lt;1+Parameters!$E$31,0,INDEX($M$45:$M$80,A71-Parameters!$E$31))</f>
        <v>0.0</v>
      </c>
      <c r="T71" s="7">
        <f>T70+M71-S71</f>
        <v>0.0</v>
      </c>
      <c r="U71" s="7">
        <f>S71-N71-O71-Q71</f>
        <v>-9.066943647109732e-05</v>
      </c>
      <c r="V71" s="7">
        <f>V70+U71</f>
        <v>1.4803626777458843</v>
      </c>
      <c r="W71" s="7">
        <f>(1-Parameters!$E$7)*(C71-E71)+(1-Parameters!$E$8)*(D71+E71)</f>
        <v>6.044629098073153e-05</v>
      </c>
      <c r="X71" s="7">
        <f>Parameters!$E$7*(C71-E71)+Parameters!$E$8*Parameters!$E$9*(D71+E71)</f>
        <v>0.0</v>
      </c>
      <c r="Y71" s="7">
        <f>Parameters!$E$8*(1-Parameters!$E$9)*(D71+E71)</f>
        <v>0.0002417851639229262</v>
      </c>
      <c r="Z71" s="7">
        <f>POWER(1/(1+Parameters!$E$32),A71-1)*(M71-N71)</f>
        <v>-7.000115376652607e-05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0.0002417851639229262</v>
      </c>
      <c r="E72" s="7">
        <f>Parameters!$E$6*C72</f>
        <v>0.0</v>
      </c>
      <c r="F72" s="7">
        <f>IF(Parameters!$E$5=1,E72,0)</f>
        <v>0.0</v>
      </c>
      <c r="G72" s="7">
        <f>Parameters!$E$27*G71+F72</f>
        <v>0.0</v>
      </c>
      <c r="H72" s="7">
        <f>IF(AND(Parameters!$E$5=1,Parameters!$E$26=1),SUMPRODUCT(--($A$45:A72&lt;A72),--(MOD(A72-$A$45:A72,Parameters!$E$28)=0),$F$45:F72,POWER(Parameters!$E$27,IF(A72-$A$45:A72=0,1,A72-$A$45:A72))),0)</f>
        <v>0.0</v>
      </c>
      <c r="I72" s="7">
        <f>Parameters!$E$23*I71+B72*Parameters!$E$22</f>
        <v>0.0</v>
      </c>
      <c r="J72" s="7">
        <f>E72*Parameters!$E$14*(1-Parameters!$E$15)</f>
        <v>0.0</v>
      </c>
      <c r="K72" s="7">
        <f>H72*Parameters!$E$29</f>
        <v>0.0</v>
      </c>
      <c r="L72" s="7">
        <f>I72*Parameters!$E$24</f>
        <v>0.0</v>
      </c>
      <c r="M72" s="7">
        <f>J72+K72+L72</f>
        <v>0.0</v>
      </c>
      <c r="N72" s="7">
        <f>C72*Parameters!$E$17+D72*Parameters!$E$18+E72*Parameters!$E$16+I72*Parameters!$E$25+G72*Parameters!$E$30</f>
        <v>7.253554917687786e-05</v>
      </c>
      <c r="O72" s="7">
        <f>0</f>
        <v>0</v>
      </c>
      <c r="P72" s="7">
        <f>M72-N72-O72</f>
        <v>-7.253554917687786e-05</v>
      </c>
      <c r="Q72" s="7">
        <f>0</f>
        <v>0</v>
      </c>
      <c r="R72" s="7">
        <f>P72-Q72</f>
        <v>-7.253554917687786e-05</v>
      </c>
      <c r="S72" s="7">
        <f>IF(A72&lt;1+Parameters!$E$31,0,INDEX($M$45:$M$80,A72-Parameters!$E$31))</f>
        <v>0.0</v>
      </c>
      <c r="T72" s="7">
        <f>T71+M72-S72</f>
        <v>0.0</v>
      </c>
      <c r="U72" s="7">
        <f>S72-N72-O72-Q72</f>
        <v>-7.253554917687786e-05</v>
      </c>
      <c r="V72" s="7">
        <f>V71+U72</f>
        <v>1.4802901421967074</v>
      </c>
      <c r="W72" s="7">
        <f>(1-Parameters!$E$7)*(C72-E72)+(1-Parameters!$E$8)*(D72+E72)</f>
        <v>4.835703278458523e-05</v>
      </c>
      <c r="X72" s="7">
        <f>Parameters!$E$7*(C72-E72)+Parameters!$E$8*Parameters!$E$9*(D72+E72)</f>
        <v>0.0</v>
      </c>
      <c r="Y72" s="7">
        <f>Parameters!$E$8*(1-Parameters!$E$9)*(D72+E72)</f>
        <v>0.00019342813113834098</v>
      </c>
      <c r="Z72" s="7">
        <f>POWER(1/(1+Parameters!$E$32),A72-1)*(M72-N72)</f>
        <v>-5.544645842893154e-05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0.00019342813113834098</v>
      </c>
      <c r="E73" s="7">
        <f>Parameters!$E$6*C73</f>
        <v>0.0</v>
      </c>
      <c r="F73" s="7">
        <f>IF(Parameters!$E$5=1,E73,0)</f>
        <v>0.0</v>
      </c>
      <c r="G73" s="7">
        <f>Parameters!$E$27*G72+F73</f>
        <v>0.0</v>
      </c>
      <c r="H73" s="7">
        <f>IF(AND(Parameters!$E$5=1,Parameters!$E$26=1),SUMPRODUCT(--($A$45:A73&lt;A73),--(MOD(A73-$A$45:A73,Parameters!$E$28)=0),$F$45:F73,POWER(Parameters!$E$27,IF(A73-$A$45:A73=0,1,A73-$A$45:A73))),0)</f>
        <v>0.0</v>
      </c>
      <c r="I73" s="7">
        <f>Parameters!$E$23*I72+B73*Parameters!$E$22</f>
        <v>0.0</v>
      </c>
      <c r="J73" s="7">
        <f>E73*Parameters!$E$14*(1-Parameters!$E$15)</f>
        <v>0.0</v>
      </c>
      <c r="K73" s="7">
        <f>H73*Parameters!$E$29</f>
        <v>0.0</v>
      </c>
      <c r="L73" s="7">
        <f>I73*Parameters!$E$24</f>
        <v>0.0</v>
      </c>
      <c r="M73" s="7">
        <f>J73+K73+L73</f>
        <v>0.0</v>
      </c>
      <c r="N73" s="7">
        <f>C73*Parameters!$E$17+D73*Parameters!$E$18+E73*Parameters!$E$16+I73*Parameters!$E$25+G73*Parameters!$E$30</f>
        <v>5.802843934150229e-05</v>
      </c>
      <c r="O73" s="7">
        <f>0</f>
        <v>0</v>
      </c>
      <c r="P73" s="7">
        <f>M73-N73-O73</f>
        <v>-5.802843934150229e-05</v>
      </c>
      <c r="Q73" s="7">
        <f>0</f>
        <v>0</v>
      </c>
      <c r="R73" s="7">
        <f>P73-Q73</f>
        <v>-5.802843934150229e-05</v>
      </c>
      <c r="S73" s="7">
        <f>IF(A73&lt;1+Parameters!$E$31,0,INDEX($M$45:$M$80,A73-Parameters!$E$31))</f>
        <v>0.0</v>
      </c>
      <c r="T73" s="7">
        <f>T72+M73-S73</f>
        <v>0.0</v>
      </c>
      <c r="U73" s="7">
        <f>S73-N73-O73-Q73</f>
        <v>-5.802843934150229e-05</v>
      </c>
      <c r="V73" s="7">
        <f>V72+U73</f>
        <v>1.480232113757366</v>
      </c>
      <c r="W73" s="7">
        <f>(1-Parameters!$E$7)*(C73-E73)+(1-Parameters!$E$8)*(D73+E73)</f>
        <v>3.868562622766819e-05</v>
      </c>
      <c r="X73" s="7">
        <f>Parameters!$E$7*(C73-E73)+Parameters!$E$8*Parameters!$E$9*(D73+E73)</f>
        <v>0.0</v>
      </c>
      <c r="Y73" s="7">
        <f>Parameters!$E$8*(1-Parameters!$E$9)*(D73+E73)</f>
        <v>0.0001547425049106728</v>
      </c>
      <c r="Z73" s="7">
        <f>POWER(1/(1+Parameters!$E$32),A73-1)*(M73-N73)</f>
        <v>-4.391798687440122e-05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0.0001547425049106728</v>
      </c>
      <c r="E74" s="7">
        <f>Parameters!$E$6*C74</f>
        <v>0.0</v>
      </c>
      <c r="F74" s="7">
        <f>IF(Parameters!$E$5=1,E74,0)</f>
        <v>0.0</v>
      </c>
      <c r="G74" s="7">
        <f>Parameters!$E$27*G73+F74</f>
        <v>0.0</v>
      </c>
      <c r="H74" s="7">
        <f>IF(AND(Parameters!$E$5=1,Parameters!$E$26=1),SUMPRODUCT(--($A$45:A74&lt;A74),--(MOD(A74-$A$45:A74,Parameters!$E$28)=0),$F$45:F74,POWER(Parameters!$E$27,IF(A74-$A$45:A74=0,1,A74-$A$45:A74))),0)</f>
        <v>0.0</v>
      </c>
      <c r="I74" s="7">
        <f>Parameters!$E$23*I73+B74*Parameters!$E$22</f>
        <v>0.0</v>
      </c>
      <c r="J74" s="7">
        <f>E74*Parameters!$E$14*(1-Parameters!$E$15)</f>
        <v>0.0</v>
      </c>
      <c r="K74" s="7">
        <f>H74*Parameters!$E$29</f>
        <v>0.0</v>
      </c>
      <c r="L74" s="7">
        <f>I74*Parameters!$E$24</f>
        <v>0.0</v>
      </c>
      <c r="M74" s="7">
        <f>J74+K74+L74</f>
        <v>0.0</v>
      </c>
      <c r="N74" s="7">
        <f>C74*Parameters!$E$17+D74*Parameters!$E$18+E74*Parameters!$E$16+I74*Parameters!$E$25+G74*Parameters!$E$30</f>
        <v>4.642275147320184e-05</v>
      </c>
      <c r="O74" s="7">
        <f>0</f>
        <v>0</v>
      </c>
      <c r="P74" s="7">
        <f>M74-N74-O74</f>
        <v>-4.642275147320184e-05</v>
      </c>
      <c r="Q74" s="7">
        <f>0</f>
        <v>0</v>
      </c>
      <c r="R74" s="7">
        <f>P74-Q74</f>
        <v>-4.642275147320184e-05</v>
      </c>
      <c r="S74" s="7">
        <f>IF(A74&lt;1+Parameters!$E$31,0,INDEX($M$45:$M$80,A74-Parameters!$E$31))</f>
        <v>0.0</v>
      </c>
      <c r="T74" s="7">
        <f>T73+M74-S74</f>
        <v>0.0</v>
      </c>
      <c r="U74" s="7">
        <f>S74-N74-O74-Q74</f>
        <v>-4.642275147320184e-05</v>
      </c>
      <c r="V74" s="7">
        <f>V73+U74</f>
        <v>1.4801856910058928</v>
      </c>
      <c r="W74" s="7">
        <f>(1-Parameters!$E$7)*(C74-E74)+(1-Parameters!$E$8)*(D74+E74)</f>
        <v>3.094850098213455e-05</v>
      </c>
      <c r="X74" s="7">
        <f>Parameters!$E$7*(C74-E74)+Parameters!$E$8*Parameters!$E$9*(D74+E74)</f>
        <v>0.0</v>
      </c>
      <c r="Y74" s="7">
        <f>Parameters!$E$8*(1-Parameters!$E$9)*(D74+E74)</f>
        <v>0.00012379400392853823</v>
      </c>
      <c r="Z74" s="7">
        <f>POWER(1/(1+Parameters!$E$32),A74-1)*(M74-N74)</f>
        <v>-3.4786524256951465e-05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0.00012379400392853823</v>
      </c>
      <c r="E75" s="7">
        <f>Parameters!$E$6*C75</f>
        <v>0.0</v>
      </c>
      <c r="F75" s="7">
        <f>IF(Parameters!$E$5=1,E75,0)</f>
        <v>0.0</v>
      </c>
      <c r="G75" s="7">
        <f>Parameters!$E$27*G74+F75</f>
        <v>0.0</v>
      </c>
      <c r="H75" s="7">
        <f>IF(AND(Parameters!$E$5=1,Parameters!$E$26=1),SUMPRODUCT(--($A$45:A75&lt;A75),--(MOD(A75-$A$45:A75,Parameters!$E$28)=0),$F$45:F75,POWER(Parameters!$E$27,IF(A75-$A$45:A75=0,1,A75-$A$45:A75))),0)</f>
        <v>0.0</v>
      </c>
      <c r="I75" s="7">
        <f>Parameters!$E$23*I74+B75*Parameters!$E$22</f>
        <v>0.0</v>
      </c>
      <c r="J75" s="7">
        <f>E75*Parameters!$E$14*(1-Parameters!$E$15)</f>
        <v>0.0</v>
      </c>
      <c r="K75" s="7">
        <f>H75*Parameters!$E$29</f>
        <v>0.0</v>
      </c>
      <c r="L75" s="7">
        <f>I75*Parameters!$E$24</f>
        <v>0.0</v>
      </c>
      <c r="M75" s="7">
        <f>J75+K75+L75</f>
        <v>0.0</v>
      </c>
      <c r="N75" s="7">
        <f>C75*Parameters!$E$17+D75*Parameters!$E$18+E75*Parameters!$E$16+I75*Parameters!$E$25+G75*Parameters!$E$30</f>
        <v>3.713820117856147e-05</v>
      </c>
      <c r="O75" s="7">
        <f>0</f>
        <v>0</v>
      </c>
      <c r="P75" s="7">
        <f>M75-N75-O75</f>
        <v>-3.713820117856147e-05</v>
      </c>
      <c r="Q75" s="7">
        <f>0</f>
        <v>0</v>
      </c>
      <c r="R75" s="7">
        <f>P75-Q75</f>
        <v>-3.713820117856147e-05</v>
      </c>
      <c r="S75" s="7">
        <f>IF(A75&lt;1+Parameters!$E$31,0,INDEX($M$45:$M$80,A75-Parameters!$E$31))</f>
        <v>0.0</v>
      </c>
      <c r="T75" s="7">
        <f>T74+M75-S75</f>
        <v>0.0</v>
      </c>
      <c r="U75" s="7">
        <f>S75-N75-O75-Q75</f>
        <v>-3.713820117856147e-05</v>
      </c>
      <c r="V75" s="7">
        <f>V74+U75</f>
        <v>1.4801485528047142</v>
      </c>
      <c r="W75" s="7">
        <f>(1-Parameters!$E$7)*(C75-E75)+(1-Parameters!$E$8)*(D75+E75)</f>
        <v>2.475880078570764e-05</v>
      </c>
      <c r="X75" s="7">
        <f>Parameters!$E$7*(C75-E75)+Parameters!$E$8*Parameters!$E$9*(D75+E75)</f>
        <v>0.0</v>
      </c>
      <c r="Y75" s="7">
        <f>Parameters!$E$8*(1-Parameters!$E$9)*(D75+E75)</f>
        <v>9.903520314283059e-05</v>
      </c>
      <c r="Z75" s="7">
        <f>POWER(1/(1+Parameters!$E$32),A75-1)*(M75-N75)</f>
        <v>-2.7553682579763533e-05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9.903520314283059e-05</v>
      </c>
      <c r="E76" s="7">
        <f>Parameters!$E$6*C76</f>
        <v>0.0</v>
      </c>
      <c r="F76" s="7">
        <f>IF(Parameters!$E$5=1,E76,0)</f>
        <v>0.0</v>
      </c>
      <c r="G76" s="7">
        <f>Parameters!$E$27*G75+F76</f>
        <v>0.0</v>
      </c>
      <c r="H76" s="7">
        <f>IF(AND(Parameters!$E$5=1,Parameters!$E$26=1),SUMPRODUCT(--($A$45:A76&lt;A76),--(MOD(A76-$A$45:A76,Parameters!$E$28)=0),$F$45:F76,POWER(Parameters!$E$27,IF(A76-$A$45:A76=0,1,A76-$A$45:A76))),0)</f>
        <v>0.0</v>
      </c>
      <c r="I76" s="7">
        <f>Parameters!$E$23*I75+B76*Parameters!$E$22</f>
        <v>0.0</v>
      </c>
      <c r="J76" s="7">
        <f>E76*Parameters!$E$14*(1-Parameters!$E$15)</f>
        <v>0.0</v>
      </c>
      <c r="K76" s="7">
        <f>H76*Parameters!$E$29</f>
        <v>0.0</v>
      </c>
      <c r="L76" s="7">
        <f>I76*Parameters!$E$24</f>
        <v>0.0</v>
      </c>
      <c r="M76" s="7">
        <f>J76+K76+L76</f>
        <v>0.0</v>
      </c>
      <c r="N76" s="7">
        <f>C76*Parameters!$E$17+D76*Parameters!$E$18+E76*Parameters!$E$16+I76*Parameters!$E$25+G76*Parameters!$E$30</f>
        <v>2.9710560942849176e-05</v>
      </c>
      <c r="O76" s="7">
        <f>0</f>
        <v>0</v>
      </c>
      <c r="P76" s="7">
        <f>M76-N76-O76</f>
        <v>-2.9710560942849176e-05</v>
      </c>
      <c r="Q76" s="7">
        <f>0</f>
        <v>0</v>
      </c>
      <c r="R76" s="7">
        <f>P76-Q76</f>
        <v>-2.9710560942849176e-05</v>
      </c>
      <c r="S76" s="7">
        <f>IF(A76&lt;1+Parameters!$E$31,0,INDEX($M$45:$M$80,A76-Parameters!$E$31))</f>
        <v>0.0</v>
      </c>
      <c r="T76" s="7">
        <f>T75+M76-S76</f>
        <v>0.0</v>
      </c>
      <c r="U76" s="7">
        <f>S76-N76-O76-Q76</f>
        <v>-2.9710560942849176e-05</v>
      </c>
      <c r="V76" s="7">
        <f>V75+U76</f>
        <v>1.4801188422437714</v>
      </c>
      <c r="W76" s="7">
        <f>(1-Parameters!$E$7)*(C76-E76)+(1-Parameters!$E$8)*(D76+E76)</f>
        <v>1.9807040628566113e-05</v>
      </c>
      <c r="X76" s="7">
        <f>Parameters!$E$7*(C76-E76)+Parameters!$E$8*Parameters!$E$9*(D76+E76)</f>
        <v>0.0</v>
      </c>
      <c r="Y76" s="7">
        <f>Parameters!$E$8*(1-Parameters!$E$9)*(D76+E76)</f>
        <v>7.922816251426448e-05</v>
      </c>
      <c r="Z76" s="7">
        <f>POWER(1/(1+Parameters!$E$32),A76-1)*(M76-N76)</f>
        <v>-2.182469907308003e-05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7.922816251426448e-05</v>
      </c>
      <c r="E77" s="7">
        <f>Parameters!$E$6*C77</f>
        <v>0.0</v>
      </c>
      <c r="F77" s="7">
        <f>IF(Parameters!$E$5=1,E77,0)</f>
        <v>0.0</v>
      </c>
      <c r="G77" s="7">
        <f>Parameters!$E$27*G76+F77</f>
        <v>0.0</v>
      </c>
      <c r="H77" s="7">
        <f>IF(AND(Parameters!$E$5=1,Parameters!$E$26=1),SUMPRODUCT(--($A$45:A77&lt;A77),--(MOD(A77-$A$45:A77,Parameters!$E$28)=0),$F$45:F77,POWER(Parameters!$E$27,IF(A77-$A$45:A77=0,1,A77-$A$45:A77))),0)</f>
        <v>0.0</v>
      </c>
      <c r="I77" s="7">
        <f>Parameters!$E$23*I76+B77*Parameters!$E$22</f>
        <v>0.0</v>
      </c>
      <c r="J77" s="7">
        <f>E77*Parameters!$E$14*(1-Parameters!$E$15)</f>
        <v>0.0</v>
      </c>
      <c r="K77" s="7">
        <f>H77*Parameters!$E$29</f>
        <v>0.0</v>
      </c>
      <c r="L77" s="7">
        <f>I77*Parameters!$E$24</f>
        <v>0.0</v>
      </c>
      <c r="M77" s="7">
        <f>J77+K77+L77</f>
        <v>0.0</v>
      </c>
      <c r="N77" s="7">
        <f>C77*Parameters!$E$17+D77*Parameters!$E$18+E77*Parameters!$E$16+I77*Parameters!$E$25+G77*Parameters!$E$30</f>
        <v>2.3768448754279342e-05</v>
      </c>
      <c r="O77" s="7">
        <f>0</f>
        <v>0</v>
      </c>
      <c r="P77" s="7">
        <f>M77-N77-O77</f>
        <v>-2.3768448754279342e-05</v>
      </c>
      <c r="Q77" s="7">
        <f>0</f>
        <v>0</v>
      </c>
      <c r="R77" s="7">
        <f>P77-Q77</f>
        <v>-2.3768448754279342e-05</v>
      </c>
      <c r="S77" s="7">
        <f>IF(A77&lt;1+Parameters!$E$31,0,INDEX($M$45:$M$80,A77-Parameters!$E$31))</f>
        <v>0.0</v>
      </c>
      <c r="T77" s="7">
        <f>T76+M77-S77</f>
        <v>0.0</v>
      </c>
      <c r="U77" s="7">
        <f>S77-N77-O77-Q77</f>
        <v>-2.3768448754279342e-05</v>
      </c>
      <c r="V77" s="7">
        <f>V76+U77</f>
        <v>1.4800950737950171</v>
      </c>
      <c r="W77" s="7">
        <f>(1-Parameters!$E$7)*(C77-E77)+(1-Parameters!$E$8)*(D77+E77)</f>
        <v>1.5845632502852893e-05</v>
      </c>
      <c r="X77" s="7">
        <f>Parameters!$E$7*(C77-E77)+Parameters!$E$8*Parameters!$E$9*(D77+E77)</f>
        <v>0.0</v>
      </c>
      <c r="Y77" s="7">
        <f>Parameters!$E$8*(1-Parameters!$E$9)*(D77+E77)</f>
        <v>6.338253001141159e-05</v>
      </c>
      <c r="Z77" s="7">
        <f>POWER(1/(1+Parameters!$E$32),A77-1)*(M77-N77)</f>
        <v>-1.7286890354914877e-05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6.338253001141159e-05</v>
      </c>
      <c r="E78" s="7">
        <f>Parameters!$E$6*C78</f>
        <v>0.0</v>
      </c>
      <c r="F78" s="7">
        <f>IF(Parameters!$E$5=1,E78,0)</f>
        <v>0.0</v>
      </c>
      <c r="G78" s="7">
        <f>Parameters!$E$27*G77+F78</f>
        <v>0.0</v>
      </c>
      <c r="H78" s="7">
        <f>IF(AND(Parameters!$E$5=1,Parameters!$E$26=1),SUMPRODUCT(--($A$45:A78&lt;A78),--(MOD(A78-$A$45:A78,Parameters!$E$28)=0),$F$45:F78,POWER(Parameters!$E$27,IF(A78-$A$45:A78=0,1,A78-$A$45:A78))),0)</f>
        <v>0.0</v>
      </c>
      <c r="I78" s="7">
        <f>Parameters!$E$23*I77+B78*Parameters!$E$22</f>
        <v>0.0</v>
      </c>
      <c r="J78" s="7">
        <f>E78*Parameters!$E$14*(1-Parameters!$E$15)</f>
        <v>0.0</v>
      </c>
      <c r="K78" s="7">
        <f>H78*Parameters!$E$29</f>
        <v>0.0</v>
      </c>
      <c r="L78" s="7">
        <f>I78*Parameters!$E$24</f>
        <v>0.0</v>
      </c>
      <c r="M78" s="7">
        <f>J78+K78+L78</f>
        <v>0.0</v>
      </c>
      <c r="N78" s="7">
        <f>C78*Parameters!$E$17+D78*Parameters!$E$18+E78*Parameters!$E$16+I78*Parameters!$E$25+G78*Parameters!$E$30</f>
        <v>1.9014759003423474e-05</v>
      </c>
      <c r="O78" s="7">
        <f>0</f>
        <v>0</v>
      </c>
      <c r="P78" s="7">
        <f>M78-N78-O78</f>
        <v>-1.9014759003423474e-05</v>
      </c>
      <c r="Q78" s="7">
        <f>0</f>
        <v>0</v>
      </c>
      <c r="R78" s="7">
        <f>P78-Q78</f>
        <v>-1.9014759003423474e-05</v>
      </c>
      <c r="S78" s="7">
        <f>IF(A78&lt;1+Parameters!$E$31,0,INDEX($M$45:$M$80,A78-Parameters!$E$31))</f>
        <v>0.0</v>
      </c>
      <c r="T78" s="7">
        <f>T77+M78-S78</f>
        <v>0.0</v>
      </c>
      <c r="U78" s="7">
        <f>S78-N78-O78-Q78</f>
        <v>-1.9014759003423474e-05</v>
      </c>
      <c r="V78" s="7">
        <f>V77+U78</f>
        <v>1.4800760590360138</v>
      </c>
      <c r="W78" s="7">
        <f>(1-Parameters!$E$7)*(C78-E78)+(1-Parameters!$E$8)*(D78+E78)</f>
        <v>1.2676506002282314e-05</v>
      </c>
      <c r="X78" s="7">
        <f>Parameters!$E$7*(C78-E78)+Parameters!$E$8*Parameters!$E$9*(D78+E78)</f>
        <v>0.0</v>
      </c>
      <c r="Y78" s="7">
        <f>Parameters!$E$8*(1-Parameters!$E$9)*(D78+E78)</f>
        <v>5.070602400912927e-05</v>
      </c>
      <c r="Z78" s="7">
        <f>POWER(1/(1+Parameters!$E$32),A78-1)*(M78-N78)</f>
        <v>-1.3692586419734556e-05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5.070602400912927e-05</v>
      </c>
      <c r="E79" s="7">
        <f>Parameters!$E$6*C79</f>
        <v>0.0</v>
      </c>
      <c r="F79" s="7">
        <f>IF(Parameters!$E$5=1,E79,0)</f>
        <v>0.0</v>
      </c>
      <c r="G79" s="7">
        <f>Parameters!$E$27*G78+F79</f>
        <v>0.0</v>
      </c>
      <c r="H79" s="7">
        <f>IF(AND(Parameters!$E$5=1,Parameters!$E$26=1),SUMPRODUCT(--($A$45:A79&lt;A79),--(MOD(A79-$A$45:A79,Parameters!$E$28)=0),$F$45:F79,POWER(Parameters!$E$27,IF(A79-$A$45:A79=0,1,A79-$A$45:A79))),0)</f>
        <v>0.0</v>
      </c>
      <c r="I79" s="7">
        <f>Parameters!$E$23*I78+B79*Parameters!$E$22</f>
        <v>0.0</v>
      </c>
      <c r="J79" s="7">
        <f>E79*Parameters!$E$14*(1-Parameters!$E$15)</f>
        <v>0.0</v>
      </c>
      <c r="K79" s="7">
        <f>H79*Parameters!$E$29</f>
        <v>0.0</v>
      </c>
      <c r="L79" s="7">
        <f>I79*Parameters!$E$24</f>
        <v>0.0</v>
      </c>
      <c r="M79" s="7">
        <f>J79+K79+L79</f>
        <v>0.0</v>
      </c>
      <c r="N79" s="7">
        <f>C79*Parameters!$E$17+D79*Parameters!$E$18+E79*Parameters!$E$16+I79*Parameters!$E$25+G79*Parameters!$E$30</f>
        <v>1.521180720273878e-05</v>
      </c>
      <c r="O79" s="7">
        <f>0</f>
        <v>0</v>
      </c>
      <c r="P79" s="7">
        <f>M79-N79-O79</f>
        <v>-1.521180720273878e-05</v>
      </c>
      <c r="Q79" s="7">
        <f>0</f>
        <v>0</v>
      </c>
      <c r="R79" s="7">
        <f>P79-Q79</f>
        <v>-1.521180720273878e-05</v>
      </c>
      <c r="S79" s="7">
        <f>IF(A79&lt;1+Parameters!$E$31,0,INDEX($M$45:$M$80,A79-Parameters!$E$31))</f>
        <v>0.0</v>
      </c>
      <c r="T79" s="7">
        <f>T78+M79-S79</f>
        <v>0.0</v>
      </c>
      <c r="U79" s="7">
        <f>S79-N79-O79-Q79</f>
        <v>-1.521180720273878e-05</v>
      </c>
      <c r="V79" s="7">
        <f>V78+U79</f>
        <v>1.480060847228811</v>
      </c>
      <c r="W79" s="7">
        <f>(1-Parameters!$E$7)*(C79-E79)+(1-Parameters!$E$8)*(D79+E79)</f>
        <v>1.0141204801825852e-05</v>
      </c>
      <c r="X79" s="7">
        <f>Parameters!$E$7*(C79-E79)+Parameters!$E$8*Parameters!$E$9*(D79+E79)</f>
        <v>0.0</v>
      </c>
      <c r="Y79" s="7">
        <f>Parameters!$E$8*(1-Parameters!$E$9)*(D79+E79)</f>
        <v>4.056481920730342e-05</v>
      </c>
      <c r="Z79" s="7">
        <f>POWER(1/(1+Parameters!$E$32),A79-1)*(M79-N79)</f>
        <v>-1.0845613005730341e-05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4.056481920730342e-05</v>
      </c>
      <c r="E80" s="7">
        <f>Parameters!$E$6*C80</f>
        <v>0.0</v>
      </c>
      <c r="F80" s="7">
        <f>IF(Parameters!$E$5=1,E80,0)</f>
        <v>0.0</v>
      </c>
      <c r="G80" s="7">
        <f>Parameters!$E$27*G79+F80</f>
        <v>0.0</v>
      </c>
      <c r="H80" s="7">
        <f>IF(AND(Parameters!$E$5=1,Parameters!$E$26=1),SUMPRODUCT(--($A$45:A80&lt;A80),--(MOD(A80-$A$45:A80,Parameters!$E$28)=0),$F$45:F80,POWER(Parameters!$E$27,IF(A80-$A$45:A80=0,1,A80-$A$45:A80))),0)</f>
        <v>0.0</v>
      </c>
      <c r="I80" s="7">
        <f>Parameters!$E$23*I79+B80*Parameters!$E$22</f>
        <v>0.0</v>
      </c>
      <c r="J80" s="7">
        <f>E80*Parameters!$E$14*(1-Parameters!$E$15)</f>
        <v>0.0</v>
      </c>
      <c r="K80" s="7">
        <f>H80*Parameters!$E$29</f>
        <v>0.0</v>
      </c>
      <c r="L80" s="7">
        <f>I80*Parameters!$E$24</f>
        <v>0.0</v>
      </c>
      <c r="M80" s="7">
        <f>J80+K80+L80</f>
        <v>0.0</v>
      </c>
      <c r="N80" s="7">
        <f>C80*Parameters!$E$17+D80*Parameters!$E$18+E80*Parameters!$E$16+I80*Parameters!$E$25+G80*Parameters!$E$30</f>
        <v>1.2169445762191026e-05</v>
      </c>
      <c r="O80" s="7">
        <f>0</f>
        <v>0</v>
      </c>
      <c r="P80" s="7">
        <f>M80-N80-O80</f>
        <v>-1.2169445762191026e-05</v>
      </c>
      <c r="Q80" s="7">
        <f>0</f>
        <v>0</v>
      </c>
      <c r="R80" s="7">
        <f>P80-Q80</f>
        <v>-1.2169445762191026e-05</v>
      </c>
      <c r="S80" s="7">
        <f>IF(A80&lt;1+Parameters!$E$31,0,INDEX($M$45:$M$80,A80-Parameters!$E$31))</f>
        <v>0.0</v>
      </c>
      <c r="T80" s="7">
        <f>T79+M80-S80</f>
        <v>0.0</v>
      </c>
      <c r="U80" s="7">
        <f>S80-N80-O80-Q80</f>
        <v>-1.2169445762191026e-05</v>
      </c>
      <c r="V80" s="7">
        <f>V79+U80</f>
        <v>1.4800486777830488</v>
      </c>
      <c r="W80" s="7">
        <f>(1-Parameters!$E$7)*(C80-E80)+(1-Parameters!$E$8)*(D80+E80)</f>
        <v>8.112963841460682e-06</v>
      </c>
      <c r="X80" s="7">
        <f>Parameters!$E$7*(C80-E80)+Parameters!$E$8*Parameters!$E$9*(D80+E80)</f>
        <v>0.0</v>
      </c>
      <c r="Y80" s="7">
        <f>Parameters!$E$8*(1-Parameters!$E$9)*(D80+E80)</f>
        <v>3.2451855365842736e-05</v>
      </c>
      <c r="Z80" s="7">
        <f>POWER(1/(1+Parameters!$E$32),A80-1)*(M80-N80)</f>
        <v>-8.590584558994332e-06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95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179</v>
      </c>
      <c r="V4" s="4" t="s">
        <v>180</v>
      </c>
      <c r="W4" s="4" t="s">
        <v>181</v>
      </c>
      <c r="X4" s="4" t="s">
        <v>182</v>
      </c>
      <c r="Y4" s="4" t="s">
        <v>183</v>
      </c>
      <c r="Z4" s="4" t="s">
        <v>184</v>
      </c>
    </row>
    <row r="5" spans="1:26">
      <c r="A5" s="7">
        <v>1</v>
      </c>
      <c r="B5" s="7">
        <f>Parameters!$F$20</f>
        <v>1000</v>
      </c>
      <c r="C5" s="7">
        <f>B5</f>
        <v>1000</v>
      </c>
      <c r="D5" s="7">
        <f>0</f>
        <v>0.0</v>
      </c>
      <c r="E5" s="7">
        <f>Parameters!$F$6*C5</f>
        <v>100.0</v>
      </c>
      <c r="F5" s="7">
        <f>IF(Parameters!$F$5=1,E5,0)</f>
        <v>0.0</v>
      </c>
      <c r="G5" s="7">
        <f>F5</f>
        <v>0.0</v>
      </c>
      <c r="H5" s="7">
        <f>IF(AND(Parameters!$F$5=1,Parameters!$F$26=1),SUMPRODUCT(--($A$5:A5&lt;A5),--(MOD(A5-$A$5:A5,Parameters!$F$28)=0),$F$5:F5,POWER(Parameters!$F$27,IF(A5-$A$5:A5=0,1,A5-$A$5:A5))),0)</f>
        <v>0.0</v>
      </c>
      <c r="I5" s="7">
        <f>B5*Parameters!$F$22</f>
        <v>0.0</v>
      </c>
      <c r="J5" s="7">
        <f>E5*Parameters!$F$14*(1-Parameters!$F$15)</f>
        <v>1900.0</v>
      </c>
      <c r="K5" s="7">
        <f>H5*Parameters!$F$29</f>
        <v>0.0</v>
      </c>
      <c r="L5" s="7">
        <f>I5*Parameters!$F$24</f>
        <v>0.0</v>
      </c>
      <c r="M5" s="7">
        <f>J5+K5+L5</f>
        <v>1900.0</v>
      </c>
      <c r="N5" s="7">
        <f>C5*Parameters!$F$17+D5*Parameters!$F$18+E5*Parameters!$F$16+I5*Parameters!$F$25+G5*Parameters!$F$30</f>
        <v>300.0</v>
      </c>
      <c r="O5" s="7">
        <f>B5*Parameters!$F$19</f>
        <v>4000</v>
      </c>
      <c r="P5" s="7">
        <f>M5-N5-O5</f>
        <v>-2400.0</v>
      </c>
      <c r="Q5" s="7">
        <f>Parameters!$F$21</f>
        <v>1000</v>
      </c>
      <c r="R5" s="7">
        <f>P5-Q5</f>
        <v>-3400.0</v>
      </c>
      <c r="S5" s="7">
        <f>IF(A5&lt;1+Parameters!$F$31,0,INDEX($M$5:$M$40,A5-Parameters!$F$31))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(1-Parameters!$F$7)*(C5-E5)+(1-Parameters!$F$8)*(D5+E5)</f>
        <v>199.99999999999997</v>
      </c>
      <c r="X5" s="7">
        <f>Parameters!$F$7*(C5-E5)+Parameters!$F$8*Parameters!$F$9*(D5+E5)</f>
        <v>720.0</v>
      </c>
      <c r="Y5" s="7">
        <f>Parameters!$F$8*(1-Parameters!$F$9)*(D5+E5)</f>
        <v>80.0</v>
      </c>
      <c r="Z5" s="7">
        <f>POWER(1/(1+Parameters!$F$32),A5-1)*(M5-N5)</f>
        <v>1600.0</v>
      </c>
    </row>
    <row r="6" spans="1:26">
      <c r="A6" s="7">
        <v>2</v>
      </c>
      <c r="B6" s="7">
        <f>Parameters!$F$20</f>
        <v>1000</v>
      </c>
      <c r="C6" s="7">
        <f>X5+B6</f>
        <v>1720.0</v>
      </c>
      <c r="D6" s="7">
        <f>Y5</f>
        <v>80.00000000000001</v>
      </c>
      <c r="E6" s="7">
        <f>Parameters!$F$6*C6</f>
        <v>172.0</v>
      </c>
      <c r="F6" s="7">
        <f>IF(Parameters!$F$5=1,E6,0)</f>
        <v>0.0</v>
      </c>
      <c r="G6" s="7">
        <f>Parameters!$F$27*G5+F6</f>
        <v>0.0</v>
      </c>
      <c r="H6" s="7">
        <f>IF(AND(Parameters!$F$5=1,Parameters!$F$26=1),SUMPRODUCT(--($A$5:A6&lt;A6),--(MOD(A6-$A$5:A6,Parameters!$F$28)=0),$F$5:F6,POWER(Parameters!$F$27,IF(A6-$A$5:A6=0,1,A6-$A$5:A6))),0)</f>
        <v>0.0</v>
      </c>
      <c r="I6" s="7">
        <f>Parameters!$F$23*I5+B6*Parameters!$F$22</f>
        <v>0.0</v>
      </c>
      <c r="J6" s="7">
        <f>E6*Parameters!$F$14*(1-Parameters!$F$15)</f>
        <v>3268.0</v>
      </c>
      <c r="K6" s="7">
        <f>H6*Parameters!$F$29</f>
        <v>0.0</v>
      </c>
      <c r="L6" s="7">
        <f>I6*Parameters!$F$24</f>
        <v>0.0</v>
      </c>
      <c r="M6" s="7">
        <f>J6+K6+L6</f>
        <v>3268.0</v>
      </c>
      <c r="N6" s="7">
        <f>C6*Parameters!$F$17+D6*Parameters!$F$18+E6*Parameters!$F$16+I6*Parameters!$F$25+G6*Parameters!$F$30</f>
        <v>540.0</v>
      </c>
      <c r="O6" s="7">
        <f>B6*Parameters!$F$19</f>
        <v>4000</v>
      </c>
      <c r="P6" s="7">
        <f>M6-N6-O6</f>
        <v>-1272.0</v>
      </c>
      <c r="Q6" s="7">
        <f>Parameters!$F$21</f>
        <v>1000</v>
      </c>
      <c r="R6" s="7">
        <f>P6-Q6</f>
        <v>-2272.0</v>
      </c>
      <c r="S6" s="7">
        <f>IF(A6&lt;1+Parameters!$F$31,0,INDEX($M$5:$M$40,A6-Parameters!$F$31))</f>
        <v>1900.0</v>
      </c>
      <c r="T6" s="7">
        <f>T5+M6-S6</f>
        <v>3268.0</v>
      </c>
      <c r="U6" s="7">
        <f>S6-N6-O6-Q6</f>
        <v>-3640.0</v>
      </c>
      <c r="V6" s="7">
        <f>V5+U6</f>
        <v>-8940.0</v>
      </c>
      <c r="W6" s="7">
        <f>(1-Parameters!$F$7)*(C6-E6)+(1-Parameters!$F$8)*(D6+E6)</f>
        <v>360.0</v>
      </c>
      <c r="X6" s="7">
        <f>Parameters!$F$7*(C6-E6)+Parameters!$F$8*Parameters!$F$9*(D6+E6)</f>
        <v>1238.4</v>
      </c>
      <c r="Y6" s="7">
        <f>Parameters!$F$8*(1-Parameters!$F$9)*(D6+E6)</f>
        <v>201.60000000000002</v>
      </c>
      <c r="Z6" s="7">
        <f>POWER(1/(1+Parameters!$F$32),A6-1)*(M6-N6)</f>
        <v>2700.990099009901</v>
      </c>
    </row>
    <row r="7" spans="1:26">
      <c r="A7" s="7">
        <v>3</v>
      </c>
      <c r="B7" s="7">
        <f>Parameters!$F$20</f>
        <v>1000</v>
      </c>
      <c r="C7" s="7">
        <f>X6+B7</f>
        <v>2238.4</v>
      </c>
      <c r="D7" s="7">
        <f>Y6</f>
        <v>201.60000000000005</v>
      </c>
      <c r="E7" s="7">
        <f>Parameters!$F$6*C7</f>
        <v>223.84000000000003</v>
      </c>
      <c r="F7" s="7">
        <f>IF(Parameters!$F$5=1,E7,0)</f>
        <v>0.0</v>
      </c>
      <c r="G7" s="7">
        <f>Parameters!$F$27*G6+F7</f>
        <v>0.0</v>
      </c>
      <c r="H7" s="7">
        <f>IF(AND(Parameters!$F$5=1,Parameters!$F$26=1),SUMPRODUCT(--($A$5:A7&lt;A7),--(MOD(A7-$A$5:A7,Parameters!$F$28)=0),$F$5:F7,POWER(Parameters!$F$27,IF(A7-$A$5:A7=0,1,A7-$A$5:A7))),0)</f>
        <v>0.0</v>
      </c>
      <c r="I7" s="7">
        <f>Parameters!$F$23*I6+B7*Parameters!$F$22</f>
        <v>0.0</v>
      </c>
      <c r="J7" s="7">
        <f>E7*Parameters!$F$14*(1-Parameters!$F$15)</f>
        <v>4252.960000000001</v>
      </c>
      <c r="K7" s="7">
        <f>H7*Parameters!$F$29</f>
        <v>0.0</v>
      </c>
      <c r="L7" s="7">
        <f>I7*Parameters!$F$24</f>
        <v>0.0</v>
      </c>
      <c r="M7" s="7">
        <f>J7+K7+L7</f>
        <v>4252.960000000001</v>
      </c>
      <c r="N7" s="7">
        <f>C7*Parameters!$F$17+D7*Parameters!$F$18+E7*Parameters!$F$16+I7*Parameters!$F$25+G7*Parameters!$F$30</f>
        <v>732.0000000000001</v>
      </c>
      <c r="O7" s="7">
        <f>B7*Parameters!$F$19</f>
        <v>4000</v>
      </c>
      <c r="P7" s="7">
        <f>M7-N7-O7</f>
        <v>-479.03999999999905</v>
      </c>
      <c r="Q7" s="7">
        <f>Parameters!$F$21</f>
        <v>1000</v>
      </c>
      <c r="R7" s="7">
        <f>P7-Q7</f>
        <v>-1479.039999999999</v>
      </c>
      <c r="S7" s="7">
        <f>IF(A7&lt;1+Parameters!$F$31,0,INDEX($M$5:$M$40,A7-Parameters!$F$31))</f>
        <v>3268.0</v>
      </c>
      <c r="T7" s="7">
        <f>T6+M7-S7</f>
        <v>4252.960000000001</v>
      </c>
      <c r="U7" s="7">
        <f>S7-N7-O7-Q7</f>
        <v>-2464.0</v>
      </c>
      <c r="V7" s="7">
        <f>V6+U7</f>
        <v>-11404.0</v>
      </c>
      <c r="W7" s="7">
        <f>(1-Parameters!$F$7)*(C7-E7)+(1-Parameters!$F$8)*(D7+E7)</f>
        <v>488.0</v>
      </c>
      <c r="X7" s="7">
        <f>Parameters!$F$7*(C7-E7)+Parameters!$F$8*Parameters!$F$9*(D7+E7)</f>
        <v>1611.6480000000001</v>
      </c>
      <c r="Y7" s="7">
        <f>Parameters!$F$8*(1-Parameters!$F$9)*(D7+E7)</f>
        <v>340.3520000000001</v>
      </c>
      <c r="Z7" s="7">
        <f>POWER(1/(1+Parameters!$F$32),A7-1)*(M7-N7)</f>
        <v>3451.583178119793</v>
      </c>
    </row>
    <row r="8" spans="1:26">
      <c r="A8" s="7">
        <v>4</v>
      </c>
      <c r="B8" s="7">
        <f>Parameters!$F$20</f>
        <v>1000</v>
      </c>
      <c r="C8" s="7">
        <f>X7+B8</f>
        <v>2611.648</v>
      </c>
      <c r="D8" s="7">
        <f>Y7</f>
        <v>340.3520000000001</v>
      </c>
      <c r="E8" s="7">
        <f>Parameters!$F$6*C8</f>
        <v>261.1648</v>
      </c>
      <c r="F8" s="7">
        <f>IF(Parameters!$F$5=1,E8,0)</f>
        <v>0.0</v>
      </c>
      <c r="G8" s="7">
        <f>Parameters!$F$27*G7+F8</f>
        <v>0.0</v>
      </c>
      <c r="H8" s="7">
        <f>IF(AND(Parameters!$F$5=1,Parameters!$F$26=1),SUMPRODUCT(--($A$5:A8&lt;A8),--(MOD(A8-$A$5:A8,Parameters!$F$28)=0),$F$5:F8,POWER(Parameters!$F$27,IF(A8-$A$5:A8=0,1,A8-$A$5:A8))),0)</f>
        <v>0.0</v>
      </c>
      <c r="I8" s="7">
        <f>Parameters!$F$23*I7+B8*Parameters!$F$22</f>
        <v>0.0</v>
      </c>
      <c r="J8" s="7">
        <f>E8*Parameters!$F$14*(1-Parameters!$F$15)</f>
        <v>4962.1312</v>
      </c>
      <c r="K8" s="7">
        <f>H8*Parameters!$F$29</f>
        <v>0.0</v>
      </c>
      <c r="L8" s="7">
        <f>I8*Parameters!$F$24</f>
        <v>0.0</v>
      </c>
      <c r="M8" s="7">
        <f>J8+K8+L8</f>
        <v>4962.1312</v>
      </c>
      <c r="N8" s="7">
        <f>C8*Parameters!$F$17+D8*Parameters!$F$18+E8*Parameters!$F$16+I8*Parameters!$F$25+G8*Parameters!$F$30</f>
        <v>885.6</v>
      </c>
      <c r="O8" s="7">
        <f>B8*Parameters!$F$19</f>
        <v>4000</v>
      </c>
      <c r="P8" s="7">
        <f>M8-N8-O8</f>
        <v>76.5311999999999</v>
      </c>
      <c r="Q8" s="7">
        <f>Parameters!$F$21</f>
        <v>1000</v>
      </c>
      <c r="R8" s="7">
        <f>P8-Q8</f>
        <v>-923.4688000000001</v>
      </c>
      <c r="S8" s="7">
        <f>IF(A8&lt;1+Parameters!$F$31,0,INDEX($M$5:$M$40,A8-Parameters!$F$31))</f>
        <v>4252.960000000001</v>
      </c>
      <c r="T8" s="7">
        <f>T7+M8-S8</f>
        <v>4962.1312</v>
      </c>
      <c r="U8" s="7">
        <f>S8-N8-O8-Q8</f>
        <v>-1632.639999999999</v>
      </c>
      <c r="V8" s="7">
        <f>V7+U8</f>
        <v>-13036.64</v>
      </c>
      <c r="W8" s="7">
        <f>(1-Parameters!$F$7)*(C8-E8)+(1-Parameters!$F$8)*(D8+E8)</f>
        <v>590.4</v>
      </c>
      <c r="X8" s="7">
        <f>Parameters!$F$7*(C8-E8)+Parameters!$F$8*Parameters!$F$9*(D8+E8)</f>
        <v>1880.3865600000001</v>
      </c>
      <c r="Y8" s="7">
        <f>Parameters!$F$8*(1-Parameters!$F$9)*(D8+E8)</f>
        <v>481.2134400000001</v>
      </c>
      <c r="Z8" s="7">
        <f>POWER(1/(1+Parameters!$F$32),A8-1)*(M8-N8)</f>
        <v>3956.6410204396575</v>
      </c>
    </row>
    <row r="9" spans="1:26">
      <c r="A9" s="7">
        <v>5</v>
      </c>
      <c r="B9" s="7">
        <f>Parameters!$F$20</f>
        <v>1000</v>
      </c>
      <c r="C9" s="7">
        <f>X8+B9</f>
        <v>2880.3865600000004</v>
      </c>
      <c r="D9" s="7">
        <f>Y8</f>
        <v>481.2134400000001</v>
      </c>
      <c r="E9" s="7">
        <f>Parameters!$F$6*C9</f>
        <v>288.03865600000006</v>
      </c>
      <c r="F9" s="7">
        <f>IF(Parameters!$F$5=1,E9,0)</f>
        <v>0.0</v>
      </c>
      <c r="G9" s="7">
        <f>Parameters!$F$27*G8+F9</f>
        <v>0.0</v>
      </c>
      <c r="H9" s="7">
        <f>IF(AND(Parameters!$F$5=1,Parameters!$F$26=1),SUMPRODUCT(--($A$5:A9&lt;A9),--(MOD(A9-$A$5:A9,Parameters!$F$28)=0),$F$5:F9,POWER(Parameters!$F$27,IF(A9-$A$5:A9=0,1,A9-$A$5:A9))),0)</f>
        <v>0.0</v>
      </c>
      <c r="I9" s="7">
        <f>Parameters!$F$23*I8+B9*Parameters!$F$22</f>
        <v>0.0</v>
      </c>
      <c r="J9" s="7">
        <f>E9*Parameters!$F$14*(1-Parameters!$F$15)</f>
        <v>5472.734464000001</v>
      </c>
      <c r="K9" s="7">
        <f>H9*Parameters!$F$29</f>
        <v>0.0</v>
      </c>
      <c r="L9" s="7">
        <f>I9*Parameters!$F$24</f>
        <v>0.0</v>
      </c>
      <c r="M9" s="7">
        <f>J9+K9+L9</f>
        <v>5472.734464000001</v>
      </c>
      <c r="N9" s="7">
        <f>C9*Parameters!$F$17+D9*Parameters!$F$18+E9*Parameters!$F$16+I9*Parameters!$F$25+G9*Parameters!$F$30</f>
        <v>1008.4800000000002</v>
      </c>
      <c r="O9" s="7">
        <f>B9*Parameters!$F$19</f>
        <v>4000</v>
      </c>
      <c r="P9" s="7">
        <f>M9-N9-O9</f>
        <v>464.25446400000055</v>
      </c>
      <c r="Q9" s="7">
        <f>Parameters!$F$21</f>
        <v>1000</v>
      </c>
      <c r="R9" s="7">
        <f>P9-Q9</f>
        <v>-535.7455359999994</v>
      </c>
      <c r="S9" s="7">
        <f>IF(A9&lt;1+Parameters!$F$31,0,INDEX($M$5:$M$40,A9-Parameters!$F$31))</f>
        <v>4962.1312</v>
      </c>
      <c r="T9" s="7">
        <f>T8+M9-S9</f>
        <v>5472.734464000001</v>
      </c>
      <c r="U9" s="7">
        <f>S9-N9-O9-Q9</f>
        <v>-1046.3488000000007</v>
      </c>
      <c r="V9" s="7">
        <f>V8+U9</f>
        <v>-14082.9888</v>
      </c>
      <c r="W9" s="7">
        <f>(1-Parameters!$F$7)*(C9-E9)+(1-Parameters!$F$8)*(D9+E9)</f>
        <v>672.32</v>
      </c>
      <c r="X9" s="7">
        <f>Parameters!$F$7*(C9-E9)+Parameters!$F$8*Parameters!$F$9*(D9+E9)</f>
        <v>2073.8783232</v>
      </c>
      <c r="Y9" s="7">
        <f>Parameters!$F$8*(1-Parameters!$F$9)*(D9+E9)</f>
        <v>615.4016768000001</v>
      </c>
      <c r="Z9" s="7">
        <f>POWER(1/(1+Parameters!$F$32),A9-1)*(M9-N9)</f>
        <v>4290.06079267367</v>
      </c>
    </row>
    <row r="10" spans="1:26">
      <c r="A10" s="7">
        <v>6</v>
      </c>
      <c r="B10" s="7">
        <f>Parameters!$F$20</f>
        <v>1000</v>
      </c>
      <c r="C10" s="7">
        <f>X9+B10</f>
        <v>3073.8783232000005</v>
      </c>
      <c r="D10" s="7">
        <f>Y9</f>
        <v>615.4016768000001</v>
      </c>
      <c r="E10" s="7">
        <f>Parameters!$F$6*C10</f>
        <v>307.3878323200001</v>
      </c>
      <c r="F10" s="7">
        <f>IF(Parameters!$F$5=1,E10,0)</f>
        <v>0.0</v>
      </c>
      <c r="G10" s="7">
        <f>Parameters!$F$27*G9+F10</f>
        <v>0.0</v>
      </c>
      <c r="H10" s="7">
        <f>IF(AND(Parameters!$F$5=1,Parameters!$F$26=1),SUMPRODUCT(--($A$5:A10&lt;A10),--(MOD(A10-$A$5:A10,Parameters!$F$28)=0),$F$5:F10,POWER(Parameters!$F$27,IF(A10-$A$5:A10=0,1,A10-$A$5:A10))),0)</f>
        <v>0.0</v>
      </c>
      <c r="I10" s="7">
        <f>Parameters!$F$23*I9+B10*Parameters!$F$22</f>
        <v>0.0</v>
      </c>
      <c r="J10" s="7">
        <f>E10*Parameters!$F$14*(1-Parameters!$F$15)</f>
        <v>5840.368814080001</v>
      </c>
      <c r="K10" s="7">
        <f>H10*Parameters!$F$29</f>
        <v>0.0</v>
      </c>
      <c r="L10" s="7">
        <f>I10*Parameters!$F$24</f>
        <v>0.0</v>
      </c>
      <c r="M10" s="7">
        <f>J10+K10+L10</f>
        <v>5840.368814080001</v>
      </c>
      <c r="N10" s="7">
        <f>C10*Parameters!$F$17+D10*Parameters!$F$18+E10*Parameters!$F$16+I10*Parameters!$F$25+G10*Parameters!$F$30</f>
        <v>1106.7840000000003</v>
      </c>
      <c r="O10" s="7">
        <f>B10*Parameters!$F$19</f>
        <v>4000</v>
      </c>
      <c r="P10" s="7">
        <f>M10-N10-O10</f>
        <v>733.5848140800008</v>
      </c>
      <c r="Q10" s="7">
        <f>Parameters!$F$21</f>
        <v>1000</v>
      </c>
      <c r="R10" s="7">
        <f>P10-Q10</f>
        <v>-266.4151859199992</v>
      </c>
      <c r="S10" s="7">
        <f>IF(A10&lt;1+Parameters!$F$31,0,INDEX($M$5:$M$40,A10-Parameters!$F$31))</f>
        <v>5472.734464000001</v>
      </c>
      <c r="T10" s="7">
        <f>T9+M10-S10</f>
        <v>5840.368814080001</v>
      </c>
      <c r="U10" s="7">
        <f>S10-N10-O10-Q10</f>
        <v>-634.0495359999995</v>
      </c>
      <c r="V10" s="7">
        <f>V9+U10</f>
        <v>-14717.038335999998</v>
      </c>
      <c r="W10" s="7">
        <f>(1-Parameters!$F$7)*(C10-E10)+(1-Parameters!$F$8)*(D10+E10)</f>
        <v>737.856</v>
      </c>
      <c r="X10" s="7">
        <f>Parameters!$F$7*(C10-E10)+Parameters!$F$8*Parameters!$F$9*(D10+E10)</f>
        <v>2213.192392704</v>
      </c>
      <c r="Y10" s="7">
        <f>Parameters!$F$8*(1-Parameters!$F$9)*(D10+E10)</f>
        <v>738.2316072960002</v>
      </c>
      <c r="Z10" s="7">
        <f>POWER(1/(1+Parameters!$F$32),A10-1)*(M10-N10)</f>
        <v>4503.843529973492</v>
      </c>
    </row>
    <row r="11" spans="1:26">
      <c r="A11" s="7">
        <v>7</v>
      </c>
      <c r="B11" s="7">
        <f>Parameters!$F$20</f>
        <v>1000</v>
      </c>
      <c r="C11" s="7">
        <f>X10+B11</f>
        <v>3213.1923927040007</v>
      </c>
      <c r="D11" s="7">
        <f>Y10</f>
        <v>738.2316072960002</v>
      </c>
      <c r="E11" s="7">
        <f>Parameters!$F$6*C11</f>
        <v>321.3192392704001</v>
      </c>
      <c r="F11" s="7">
        <f>IF(Parameters!$F$5=1,E11,0)</f>
        <v>0.0</v>
      </c>
      <c r="G11" s="7">
        <f>Parameters!$F$27*G10+F11</f>
        <v>0.0</v>
      </c>
      <c r="H11" s="7">
        <f>IF(AND(Parameters!$F$5=1,Parameters!$F$26=1),SUMPRODUCT(--($A$5:A11&lt;A11),--(MOD(A11-$A$5:A11,Parameters!$F$28)=0),$F$5:F11,POWER(Parameters!$F$27,IF(A11-$A$5:A11=0,1,A11-$A$5:A11))),0)</f>
        <v>0.0</v>
      </c>
      <c r="I11" s="7">
        <f>Parameters!$F$23*I10+B11*Parameters!$F$22</f>
        <v>0.0</v>
      </c>
      <c r="J11" s="7">
        <f>E11*Parameters!$F$14*(1-Parameters!$F$15)</f>
        <v>6105.065546137601</v>
      </c>
      <c r="K11" s="7">
        <f>H11*Parameters!$F$29</f>
        <v>0.0</v>
      </c>
      <c r="L11" s="7">
        <f>I11*Parameters!$F$24</f>
        <v>0.0</v>
      </c>
      <c r="M11" s="7">
        <f>J11+K11+L11</f>
        <v>6105.065546137601</v>
      </c>
      <c r="N11" s="7">
        <f>C11*Parameters!$F$17+D11*Parameters!$F$18+E11*Parameters!$F$16+I11*Parameters!$F$25+G11*Parameters!$F$30</f>
        <v>1185.4272000000003</v>
      </c>
      <c r="O11" s="7">
        <f>B11*Parameters!$F$19</f>
        <v>4000</v>
      </c>
      <c r="P11" s="7">
        <f>M11-N11-O11</f>
        <v>919.6383461376008</v>
      </c>
      <c r="Q11" s="7">
        <f>Parameters!$F$21</f>
        <v>1000</v>
      </c>
      <c r="R11" s="7">
        <f>P11-Q11</f>
        <v>-80.36165386239918</v>
      </c>
      <c r="S11" s="7">
        <f>IF(A11&lt;1+Parameters!$F$31,0,INDEX($M$5:$M$40,A11-Parameters!$F$31))</f>
        <v>5840.368814080001</v>
      </c>
      <c r="T11" s="7">
        <f>T10+M11-S11</f>
        <v>6105.065546137601</v>
      </c>
      <c r="U11" s="7">
        <f>S11-N11-O11-Q11</f>
        <v>-345.0583859199987</v>
      </c>
      <c r="V11" s="7">
        <f>V10+U11</f>
        <v>-15062.096721919996</v>
      </c>
      <c r="W11" s="7">
        <f>(1-Parameters!$F$7)*(C11-E11)+(1-Parameters!$F$8)*(D11+E11)</f>
        <v>790.2848</v>
      </c>
      <c r="X11" s="7">
        <f>Parameters!$F$7*(C11-E11)+Parameters!$F$8*Parameters!$F$9*(D11+E11)</f>
        <v>2313.4985227468806</v>
      </c>
      <c r="Y11" s="7">
        <f>Parameters!$F$8*(1-Parameters!$F$9)*(D11+E11)</f>
        <v>847.6406772531202</v>
      </c>
      <c r="Z11" s="7">
        <f>POWER(1/(1+Parameters!$F$32),A11-1)*(M11-N11)</f>
        <v>4634.521863152812</v>
      </c>
    </row>
    <row r="12" spans="1:26">
      <c r="A12" s="7">
        <v>8</v>
      </c>
      <c r="B12" s="7">
        <f>Parameters!$F$20</f>
        <v>1000</v>
      </c>
      <c r="C12" s="7">
        <f>X11+B12</f>
        <v>3313.4985227468806</v>
      </c>
      <c r="D12" s="7">
        <f>Y11</f>
        <v>847.6406772531203</v>
      </c>
      <c r="E12" s="7">
        <f>Parameters!$F$6*C12</f>
        <v>331.3498522746881</v>
      </c>
      <c r="F12" s="7">
        <f>IF(Parameters!$F$5=1,E12,0)</f>
        <v>0.0</v>
      </c>
      <c r="G12" s="7">
        <f>Parameters!$F$27*G11+F12</f>
        <v>0.0</v>
      </c>
      <c r="H12" s="7">
        <f>IF(AND(Parameters!$F$5=1,Parameters!$F$26=1),SUMPRODUCT(--($A$5:A12&lt;A12),--(MOD(A12-$A$5:A12,Parameters!$F$28)=0),$F$5:F12,POWER(Parameters!$F$27,IF(A12-$A$5:A12=0,1,A12-$A$5:A12))),0)</f>
        <v>0.0</v>
      </c>
      <c r="I12" s="7">
        <f>Parameters!$F$23*I11+B12*Parameters!$F$22</f>
        <v>0.0</v>
      </c>
      <c r="J12" s="7">
        <f>E12*Parameters!$F$14*(1-Parameters!$F$15)</f>
        <v>6295.647193219073</v>
      </c>
      <c r="K12" s="7">
        <f>H12*Parameters!$F$29</f>
        <v>0.0</v>
      </c>
      <c r="L12" s="7">
        <f>I12*Parameters!$F$24</f>
        <v>0.0</v>
      </c>
      <c r="M12" s="7">
        <f>J12+K12+L12</f>
        <v>6295.647193219073</v>
      </c>
      <c r="N12" s="7">
        <f>C12*Parameters!$F$17+D12*Parameters!$F$18+E12*Parameters!$F$16+I12*Parameters!$F$25+G12*Parameters!$F$30</f>
        <v>1248.3417600000005</v>
      </c>
      <c r="O12" s="7">
        <f>B12*Parameters!$F$19</f>
        <v>4000</v>
      </c>
      <c r="P12" s="7">
        <f>M12-N12-O12</f>
        <v>1047.3054332190732</v>
      </c>
      <c r="Q12" s="7">
        <f>Parameters!$F$21</f>
        <v>1000</v>
      </c>
      <c r="R12" s="7">
        <f>P12-Q12</f>
        <v>47.305433219073166</v>
      </c>
      <c r="S12" s="7">
        <f>IF(A12&lt;1+Parameters!$F$31,0,INDEX($M$5:$M$40,A12-Parameters!$F$31))</f>
        <v>6105.065546137601</v>
      </c>
      <c r="T12" s="7">
        <f>T11+M12-S12</f>
        <v>6295.647193219073</v>
      </c>
      <c r="U12" s="7">
        <f>S12-N12-O12-Q12</f>
        <v>-143.27621386239935</v>
      </c>
      <c r="V12" s="7">
        <f>V11+U12</f>
        <v>-15205.372935782394</v>
      </c>
      <c r="W12" s="7">
        <f>(1-Parameters!$F$7)*(C12-E12)+(1-Parameters!$F$8)*(D12+E12)</f>
        <v>832.2278400000001</v>
      </c>
      <c r="X12" s="7">
        <f>Parameters!$F$7*(C12-E12)+Parameters!$F$8*Parameters!$F$9*(D12+E12)</f>
        <v>2385.718936377754</v>
      </c>
      <c r="Y12" s="7">
        <f>Parameters!$F$8*(1-Parameters!$F$9)*(D12+E12)</f>
        <v>943.1924236222467</v>
      </c>
      <c r="Z12" s="7">
        <f>POWER(1/(1+Parameters!$F$32),A12-1)*(M12-N12)</f>
        <v>4707.712905184849</v>
      </c>
    </row>
    <row r="13" spans="1:26">
      <c r="A13" s="7">
        <v>9</v>
      </c>
      <c r="B13" s="7">
        <f>Parameters!$F$20</f>
        <v>1000</v>
      </c>
      <c r="C13" s="7">
        <f>X12+B13</f>
        <v>3385.7189363777543</v>
      </c>
      <c r="D13" s="7">
        <f>Y12</f>
        <v>943.1924236222468</v>
      </c>
      <c r="E13" s="7">
        <f>Parameters!$F$6*C13</f>
        <v>338.5718936377755</v>
      </c>
      <c r="F13" s="7">
        <f>IF(Parameters!$F$5=1,E13,0)</f>
        <v>0.0</v>
      </c>
      <c r="G13" s="7">
        <f>Parameters!$F$27*G12+F13</f>
        <v>0.0</v>
      </c>
      <c r="H13" s="7">
        <f>IF(AND(Parameters!$F$5=1,Parameters!$F$26=1),SUMPRODUCT(--($A$5:A13&lt;A13),--(MOD(A13-$A$5:A13,Parameters!$F$28)=0),$F$5:F13,POWER(Parameters!$F$27,IF(A13-$A$5:A13=0,1,A13-$A$5:A13))),0)</f>
        <v>0.0</v>
      </c>
      <c r="I13" s="7">
        <f>Parameters!$F$23*I12+B13*Parameters!$F$22</f>
        <v>0.0</v>
      </c>
      <c r="J13" s="7">
        <f>E13*Parameters!$F$14*(1-Parameters!$F$15)</f>
        <v>6432.865979117733</v>
      </c>
      <c r="K13" s="7">
        <f>H13*Parameters!$F$29</f>
        <v>0.0</v>
      </c>
      <c r="L13" s="7">
        <f>I13*Parameters!$F$24</f>
        <v>0.0</v>
      </c>
      <c r="M13" s="7">
        <f>J13+K13+L13</f>
        <v>6432.865979117733</v>
      </c>
      <c r="N13" s="7">
        <f>C13*Parameters!$F$17+D13*Parameters!$F$18+E13*Parameters!$F$16+I13*Parameters!$F$25+G13*Parameters!$F$30</f>
        <v>1298.6734080000006</v>
      </c>
      <c r="O13" s="7">
        <f>B13*Parameters!$F$19</f>
        <v>4000</v>
      </c>
      <c r="P13" s="7">
        <f>M13-N13-O13</f>
        <v>1134.1925711177328</v>
      </c>
      <c r="Q13" s="7">
        <f>Parameters!$F$21</f>
        <v>1000</v>
      </c>
      <c r="R13" s="7">
        <f>P13-Q13</f>
        <v>134.19257111773277</v>
      </c>
      <c r="S13" s="7">
        <f>IF(A13&lt;1+Parameters!$F$31,0,INDEX($M$5:$M$40,A13-Parameters!$F$31))</f>
        <v>6295.647193219073</v>
      </c>
      <c r="T13" s="7">
        <f>T12+M13-S13</f>
        <v>6432.865979117733</v>
      </c>
      <c r="U13" s="7">
        <f>S13-N13-O13-Q13</f>
        <v>-3.0262147809271482</v>
      </c>
      <c r="V13" s="7">
        <f>V12+U13</f>
        <v>-15208.39915056332</v>
      </c>
      <c r="W13" s="7">
        <f>(1-Parameters!$F$7)*(C13-E13)+(1-Parameters!$F$8)*(D13+E13)</f>
        <v>865.7822720000001</v>
      </c>
      <c r="X13" s="7">
        <f>Parameters!$F$7*(C13-E13)+Parameters!$F$8*Parameters!$F$9*(D13+E13)</f>
        <v>2437.7176341919835</v>
      </c>
      <c r="Y13" s="7">
        <f>Parameters!$F$8*(1-Parameters!$F$9)*(D13+E13)</f>
        <v>1025.411453808018</v>
      </c>
      <c r="Z13" s="7">
        <f>POWER(1/(1+Parameters!$F$32),A13-1)*(M13-N13)</f>
        <v>4741.340700420552</v>
      </c>
    </row>
    <row r="14" spans="1:26">
      <c r="A14" s="7">
        <v>10</v>
      </c>
      <c r="B14" s="7">
        <f>Parameters!$F$20</f>
        <v>1000</v>
      </c>
      <c r="C14" s="7">
        <f>X13+B14</f>
        <v>3437.7176341919835</v>
      </c>
      <c r="D14" s="7">
        <f>Y13</f>
        <v>1025.4114538080178</v>
      </c>
      <c r="E14" s="7">
        <f>Parameters!$F$6*C14</f>
        <v>343.77176341919835</v>
      </c>
      <c r="F14" s="7">
        <f>IF(Parameters!$F$5=1,E14,0)</f>
        <v>0.0</v>
      </c>
      <c r="G14" s="7">
        <f>Parameters!$F$27*G13+F14</f>
        <v>0.0</v>
      </c>
      <c r="H14" s="7">
        <f>IF(AND(Parameters!$F$5=1,Parameters!$F$26=1),SUMPRODUCT(--($A$5:A14&lt;A14),--(MOD(A14-$A$5:A14,Parameters!$F$28)=0),$F$5:F14,POWER(Parameters!$F$27,IF(A14-$A$5:A14=0,1,A14-$A$5:A14))),0)</f>
        <v>0.0</v>
      </c>
      <c r="I14" s="7">
        <f>Parameters!$F$23*I13+B14*Parameters!$F$22</f>
        <v>0.0</v>
      </c>
      <c r="J14" s="7">
        <f>E14*Parameters!$F$14*(1-Parameters!$F$15)</f>
        <v>6531.663504964768</v>
      </c>
      <c r="K14" s="7">
        <f>H14*Parameters!$F$29</f>
        <v>0.0</v>
      </c>
      <c r="L14" s="7">
        <f>I14*Parameters!$F$24</f>
        <v>0.0</v>
      </c>
      <c r="M14" s="7">
        <f>J14+K14+L14</f>
        <v>6531.663504964768</v>
      </c>
      <c r="N14" s="7">
        <f>C14*Parameters!$F$17+D14*Parameters!$F$18+E14*Parameters!$F$16+I14*Parameters!$F$25+G14*Parameters!$F$30</f>
        <v>1338.9387264000004</v>
      </c>
      <c r="O14" s="7">
        <f>B14*Parameters!$F$19</f>
        <v>4000</v>
      </c>
      <c r="P14" s="7">
        <f>M14-N14-O14</f>
        <v>1192.7247785647678</v>
      </c>
      <c r="Q14" s="7">
        <f>Parameters!$F$21</f>
        <v>1000</v>
      </c>
      <c r="R14" s="7">
        <f>P14-Q14</f>
        <v>192.7247785647678</v>
      </c>
      <c r="S14" s="7">
        <f>IF(A14&lt;1+Parameters!$F$31,0,INDEX($M$5:$M$40,A14-Parameters!$F$31))</f>
        <v>6432.865979117733</v>
      </c>
      <c r="T14" s="7">
        <f>T13+M14-S14</f>
        <v>6531.663504964768</v>
      </c>
      <c r="U14" s="7">
        <f>S14-N14-O14-Q14</f>
        <v>93.9272527177327</v>
      </c>
      <c r="V14" s="7">
        <f>V13+U14</f>
        <v>-15114.471897845588</v>
      </c>
      <c r="W14" s="7">
        <f>(1-Parameters!$F$7)*(C14-E14)+(1-Parameters!$F$8)*(D14+E14)</f>
        <v>892.6258176000001</v>
      </c>
      <c r="X14" s="7">
        <f>Parameters!$F$7*(C14-E14)+Parameters!$F$8*Parameters!$F$9*(D14+E14)</f>
        <v>2475.1566966182286</v>
      </c>
      <c r="Y14" s="7">
        <f>Parameters!$F$8*(1-Parameters!$F$9)*(D14+E14)</f>
        <v>1095.346573781773</v>
      </c>
      <c r="Z14" s="7">
        <f>POWER(1/(1+Parameters!$F$32),A14-1)*(M14-N14)</f>
        <v>4747.915061359151</v>
      </c>
    </row>
    <row r="15" spans="1:26">
      <c r="A15" s="7">
        <v>11</v>
      </c>
      <c r="B15" s="7">
        <f>Parameters!$F$20</f>
        <v>1000</v>
      </c>
      <c r="C15" s="7">
        <f>X14+B15</f>
        <v>3475.1566966182286</v>
      </c>
      <c r="D15" s="7">
        <f>Y14</f>
        <v>1095.346573781773</v>
      </c>
      <c r="E15" s="7">
        <f>Parameters!$F$6*C15</f>
        <v>347.51566966182287</v>
      </c>
      <c r="F15" s="7">
        <f>IF(Parameters!$F$5=1,E15,0)</f>
        <v>0.0</v>
      </c>
      <c r="G15" s="7">
        <f>Parameters!$F$27*G14+F15</f>
        <v>0.0</v>
      </c>
      <c r="H15" s="7">
        <f>IF(AND(Parameters!$F$5=1,Parameters!$F$26=1),SUMPRODUCT(--($A$5:A15&lt;A15),--(MOD(A15-$A$5:A15,Parameters!$F$28)=0),$F$5:F15,POWER(Parameters!$F$27,IF(A15-$A$5:A15=0,1,A15-$A$5:A15))),0)</f>
        <v>0.0</v>
      </c>
      <c r="I15" s="7">
        <f>Parameters!$F$23*I14+B15*Parameters!$F$22</f>
        <v>0.0</v>
      </c>
      <c r="J15" s="7">
        <f>E15*Parameters!$F$14*(1-Parameters!$F$15)</f>
        <v>6602.797723574634</v>
      </c>
      <c r="K15" s="7">
        <f>H15*Parameters!$F$29</f>
        <v>0.0</v>
      </c>
      <c r="L15" s="7">
        <f>I15*Parameters!$F$24</f>
        <v>0.0</v>
      </c>
      <c r="M15" s="7">
        <f>J15+K15+L15</f>
        <v>6602.797723574634</v>
      </c>
      <c r="N15" s="7">
        <f>C15*Parameters!$F$17+D15*Parameters!$F$18+E15*Parameters!$F$16+I15*Parameters!$F$25+G15*Parameters!$F$30</f>
        <v>1371.1509811200006</v>
      </c>
      <c r="O15" s="7">
        <f>B15*Parameters!$F$19</f>
        <v>4000</v>
      </c>
      <c r="P15" s="7">
        <f>M15-N15-O15</f>
        <v>1231.6467424546336</v>
      </c>
      <c r="Q15" s="7">
        <f>Parameters!$F$21</f>
        <v>1000</v>
      </c>
      <c r="R15" s="7">
        <f>P15-Q15</f>
        <v>231.64674245463357</v>
      </c>
      <c r="S15" s="7">
        <f>IF(A15&lt;1+Parameters!$F$31,0,INDEX($M$5:$M$40,A15-Parameters!$F$31))</f>
        <v>6531.663504964768</v>
      </c>
      <c r="T15" s="7">
        <f>T14+M15-S15</f>
        <v>6602.797723574634</v>
      </c>
      <c r="U15" s="7">
        <f>S15-N15-O15-Q15</f>
        <v>160.5125238447681</v>
      </c>
      <c r="V15" s="7">
        <f>V14+U15</f>
        <v>-14953.95937400082</v>
      </c>
      <c r="W15" s="7">
        <f>(1-Parameters!$F$7)*(C15-E15)+(1-Parameters!$F$8)*(D15+E15)</f>
        <v>914.1006540800001</v>
      </c>
      <c r="X15" s="7">
        <f>Parameters!$F$7*(C15-E15)+Parameters!$F$8*Parameters!$F$9*(D15+E15)</f>
        <v>2502.1128215651247</v>
      </c>
      <c r="Y15" s="7">
        <f>Parameters!$F$8*(1-Parameters!$F$9)*(D15+E15)</f>
        <v>1154.2897947548768</v>
      </c>
      <c r="Z15" s="7">
        <f>POWER(1/(1+Parameters!$F$32),A15-1)*(M15-N15)</f>
        <v>4736.141547506221</v>
      </c>
    </row>
    <row r="16" spans="1:26">
      <c r="A16" s="7">
        <v>12</v>
      </c>
      <c r="B16" s="7">
        <f>Parameters!$F$20</f>
        <v>1000</v>
      </c>
      <c r="C16" s="7">
        <f>X15+B16</f>
        <v>3502.1128215651247</v>
      </c>
      <c r="D16" s="7">
        <f>Y15</f>
        <v>1154.2897947548768</v>
      </c>
      <c r="E16" s="7">
        <f>Parameters!$F$6*C16</f>
        <v>350.2112821565125</v>
      </c>
      <c r="F16" s="7">
        <f>IF(Parameters!$F$5=1,E16,0)</f>
        <v>0.0</v>
      </c>
      <c r="G16" s="7">
        <f>Parameters!$F$27*G15+F16</f>
        <v>0.0</v>
      </c>
      <c r="H16" s="7">
        <f>IF(AND(Parameters!$F$5=1,Parameters!$F$26=1),SUMPRODUCT(--($A$5:A16&lt;A16),--(MOD(A16-$A$5:A16,Parameters!$F$28)=0),$F$5:F16,POWER(Parameters!$F$27,IF(A16-$A$5:A16=0,1,A16-$A$5:A16))),0)</f>
        <v>0.0</v>
      </c>
      <c r="I16" s="7">
        <f>Parameters!$F$23*I15+B16*Parameters!$F$22</f>
        <v>0.0</v>
      </c>
      <c r="J16" s="7">
        <f>E16*Parameters!$F$14*(1-Parameters!$F$15)</f>
        <v>6654.014360973737</v>
      </c>
      <c r="K16" s="7">
        <f>H16*Parameters!$F$29</f>
        <v>0.0</v>
      </c>
      <c r="L16" s="7">
        <f>I16*Parameters!$F$24</f>
        <v>0.0</v>
      </c>
      <c r="M16" s="7">
        <f>J16+K16+L16</f>
        <v>6654.014360973737</v>
      </c>
      <c r="N16" s="7">
        <f>C16*Parameters!$F$17+D16*Parameters!$F$18+E16*Parameters!$F$16+I16*Parameters!$F$25+G16*Parameters!$F$30</f>
        <v>1396.9207848960004</v>
      </c>
      <c r="O16" s="7">
        <f>B16*Parameters!$F$19</f>
        <v>4000</v>
      </c>
      <c r="P16" s="7">
        <f>M16-N16-O16</f>
        <v>1257.0935760777365</v>
      </c>
      <c r="Q16" s="7">
        <f>Parameters!$F$21</f>
        <v>1000</v>
      </c>
      <c r="R16" s="7">
        <f>P16-Q16</f>
        <v>257.09357607773654</v>
      </c>
      <c r="S16" s="7">
        <f>IF(A16&lt;1+Parameters!$F$31,0,INDEX($M$5:$M$40,A16-Parameters!$F$31))</f>
        <v>6602.797723574634</v>
      </c>
      <c r="T16" s="7">
        <f>T15+M16-S16</f>
        <v>6654.014360973737</v>
      </c>
      <c r="U16" s="7">
        <f>S16-N16-O16-Q16</f>
        <v>205.87693867863345</v>
      </c>
      <c r="V16" s="7">
        <f>V15+U16</f>
        <v>-14748.082435322187</v>
      </c>
      <c r="W16" s="7">
        <f>(1-Parameters!$F$7)*(C16-E16)+(1-Parameters!$F$8)*(D16+E16)</f>
        <v>931.2805232640002</v>
      </c>
      <c r="X16" s="7">
        <f>Parameters!$F$7*(C16-E16)+Parameters!$F$8*Parameters!$F$9*(D16+E16)</f>
        <v>2521.52123152689</v>
      </c>
      <c r="Y16" s="7">
        <f>Parameters!$F$8*(1-Parameters!$F$9)*(D16+E16)</f>
        <v>1203.6008615291114</v>
      </c>
      <c r="Z16" s="7">
        <f>POWER(1/(1+Parameters!$F$32),A16-1)*(M16-N16)</f>
        <v>4712.05765744897</v>
      </c>
    </row>
    <row r="17" spans="1:26">
      <c r="A17" s="7">
        <v>13</v>
      </c>
      <c r="B17" s="7">
        <f>Parameters!$F$20</f>
        <v>1000</v>
      </c>
      <c r="C17" s="7">
        <f>X16+B17</f>
        <v>3521.52123152689</v>
      </c>
      <c r="D17" s="7">
        <f>Y16</f>
        <v>1203.6008615291114</v>
      </c>
      <c r="E17" s="7">
        <f>Parameters!$F$6*C17</f>
        <v>352.152123152689</v>
      </c>
      <c r="F17" s="7">
        <f>IF(Parameters!$F$5=1,E17,0)</f>
        <v>0.0</v>
      </c>
      <c r="G17" s="7">
        <f>Parameters!$F$27*G16+F17</f>
        <v>0.0</v>
      </c>
      <c r="H17" s="7">
        <f>IF(AND(Parameters!$F$5=1,Parameters!$F$26=1),SUMPRODUCT(--($A$5:A17&lt;A17),--(MOD(A17-$A$5:A17,Parameters!$F$28)=0),$F$5:F17,POWER(Parameters!$F$27,IF(A17-$A$5:A17=0,1,A17-$A$5:A17))),0)</f>
        <v>0.0</v>
      </c>
      <c r="I17" s="7">
        <f>Parameters!$F$23*I16+B17*Parameters!$F$22</f>
        <v>0.0</v>
      </c>
      <c r="J17" s="7">
        <f>E17*Parameters!$F$14*(1-Parameters!$F$15)</f>
        <v>6690.890339901091</v>
      </c>
      <c r="K17" s="7">
        <f>H17*Parameters!$F$29</f>
        <v>0.0</v>
      </c>
      <c r="L17" s="7">
        <f>I17*Parameters!$F$24</f>
        <v>0.0</v>
      </c>
      <c r="M17" s="7">
        <f>J17+K17+L17</f>
        <v>6690.890339901091</v>
      </c>
      <c r="N17" s="7">
        <f>C17*Parameters!$F$17+D17*Parameters!$F$18+E17*Parameters!$F$16+I17*Parameters!$F$25+G17*Parameters!$F$30</f>
        <v>1417.5366279168004</v>
      </c>
      <c r="O17" s="7">
        <f>B17*Parameters!$F$19</f>
        <v>4000</v>
      </c>
      <c r="P17" s="7">
        <f>M17-N17-O17</f>
        <v>1273.3537119842904</v>
      </c>
      <c r="Q17" s="7">
        <f>Parameters!$F$21</f>
        <v>1000</v>
      </c>
      <c r="R17" s="7">
        <f>P17-Q17</f>
        <v>273.3537119842904</v>
      </c>
      <c r="S17" s="7">
        <f>IF(A17&lt;1+Parameters!$F$31,0,INDEX($M$5:$M$40,A17-Parameters!$F$31))</f>
        <v>6654.014360973737</v>
      </c>
      <c r="T17" s="7">
        <f>T16+M17-S17</f>
        <v>6690.890339901091</v>
      </c>
      <c r="U17" s="7">
        <f>S17-N17-O17-Q17</f>
        <v>236.4777330569368</v>
      </c>
      <c r="V17" s="7">
        <f>V16+U17</f>
        <v>-14511.60470226525</v>
      </c>
      <c r="W17" s="7">
        <f>(1-Parameters!$F$7)*(C17-E17)+(1-Parameters!$F$8)*(D17+E17)</f>
        <v>945.0244186112002</v>
      </c>
      <c r="X17" s="7">
        <f>Parameters!$F$7*(C17-E17)+Parameters!$F$8*Parameters!$F$9*(D17+E17)</f>
        <v>2535.495286699361</v>
      </c>
      <c r="Y17" s="7">
        <f>Parameters!$F$8*(1-Parameters!$F$9)*(D17+E17)</f>
        <v>1244.6023877454404</v>
      </c>
      <c r="Z17" s="7">
        <f>POWER(1/(1+Parameters!$F$32),A17-1)*(M17-N17)</f>
        <v>4679.83366624958</v>
      </c>
    </row>
    <row r="18" spans="1:26">
      <c r="A18" s="7">
        <v>14</v>
      </c>
      <c r="B18" s="7">
        <f>Parameters!$F$20</f>
        <v>1000</v>
      </c>
      <c r="C18" s="7">
        <f>X17+B18</f>
        <v>3535.4952866993613</v>
      </c>
      <c r="D18" s="7">
        <f>Y17</f>
        <v>1244.6023877454404</v>
      </c>
      <c r="E18" s="7">
        <f>Parameters!$F$6*C18</f>
        <v>353.54952866993614</v>
      </c>
      <c r="F18" s="7">
        <f>IF(Parameters!$F$5=1,E18,0)</f>
        <v>0.0</v>
      </c>
      <c r="G18" s="7">
        <f>Parameters!$F$27*G17+F18</f>
        <v>0.0</v>
      </c>
      <c r="H18" s="7">
        <f>IF(AND(Parameters!$F$5=1,Parameters!$F$26=1),SUMPRODUCT(--($A$5:A18&lt;A18),--(MOD(A18-$A$5:A18,Parameters!$F$28)=0),$F$5:F18,POWER(Parameters!$F$27,IF(A18-$A$5:A18=0,1,A18-$A$5:A18))),0)</f>
        <v>0.0</v>
      </c>
      <c r="I18" s="7">
        <f>Parameters!$F$23*I17+B18*Parameters!$F$22</f>
        <v>0.0</v>
      </c>
      <c r="J18" s="7">
        <f>E18*Parameters!$F$14*(1-Parameters!$F$15)</f>
        <v>6717.441044728786</v>
      </c>
      <c r="K18" s="7">
        <f>H18*Parameters!$F$29</f>
        <v>0.0</v>
      </c>
      <c r="L18" s="7">
        <f>I18*Parameters!$F$24</f>
        <v>0.0</v>
      </c>
      <c r="M18" s="7">
        <f>J18+K18+L18</f>
        <v>6717.441044728786</v>
      </c>
      <c r="N18" s="7">
        <f>C18*Parameters!$F$17+D18*Parameters!$F$18+E18*Parameters!$F$16+I18*Parameters!$F$25+G18*Parameters!$F$30</f>
        <v>1434.0293023334405</v>
      </c>
      <c r="O18" s="7">
        <f>B18*Parameters!$F$19</f>
        <v>4000</v>
      </c>
      <c r="P18" s="7">
        <f>M18-N18-O18</f>
        <v>1283.4117423953458</v>
      </c>
      <c r="Q18" s="7">
        <f>Parameters!$F$21</f>
        <v>1000</v>
      </c>
      <c r="R18" s="7">
        <f>P18-Q18</f>
        <v>283.41174239534575</v>
      </c>
      <c r="S18" s="7">
        <f>IF(A18&lt;1+Parameters!$F$31,0,INDEX($M$5:$M$40,A18-Parameters!$F$31))</f>
        <v>6690.890339901091</v>
      </c>
      <c r="T18" s="7">
        <f>T17+M18-S18</f>
        <v>6717.441044728786</v>
      </c>
      <c r="U18" s="7">
        <f>S18-N18-O18-Q18</f>
        <v>256.8610375676499</v>
      </c>
      <c r="V18" s="7">
        <f>V17+U18</f>
        <v>-14254.743664697598</v>
      </c>
      <c r="W18" s="7">
        <f>(1-Parameters!$F$7)*(C18-E18)+(1-Parameters!$F$8)*(D18+E18)</f>
        <v>956.0195348889602</v>
      </c>
      <c r="X18" s="7">
        <f>Parameters!$F$7*(C18-E18)+Parameters!$F$8*Parameters!$F$9*(D18+E18)</f>
        <v>2545.5566064235404</v>
      </c>
      <c r="Y18" s="7">
        <f>Parameters!$F$8*(1-Parameters!$F$9)*(D18+E18)</f>
        <v>1278.5215331323013</v>
      </c>
      <c r="Z18" s="7">
        <f>POWER(1/(1+Parameters!$F$32),A18-1)*(M18-N18)</f>
        <v>4642.336294599569</v>
      </c>
    </row>
    <row r="19" spans="1:26">
      <c r="A19" s="7">
        <v>15</v>
      </c>
      <c r="B19" s="7">
        <f>Parameters!$F$20</f>
        <v>1000</v>
      </c>
      <c r="C19" s="7">
        <f>X18+B19</f>
        <v>3545.5566064235404</v>
      </c>
      <c r="D19" s="7">
        <f>Y18</f>
        <v>1278.5215331323013</v>
      </c>
      <c r="E19" s="7">
        <f>Parameters!$F$6*C19</f>
        <v>354.55566064235404</v>
      </c>
      <c r="F19" s="7">
        <f>IF(Parameters!$F$5=1,E19,0)</f>
        <v>0.0</v>
      </c>
      <c r="G19" s="7">
        <f>Parameters!$F$27*G18+F19</f>
        <v>0.0</v>
      </c>
      <c r="H19" s="7">
        <f>IF(AND(Parameters!$F$5=1,Parameters!$F$26=1),SUMPRODUCT(--($A$5:A19&lt;A19),--(MOD(A19-$A$5:A19,Parameters!$F$28)=0),$F$5:F19,POWER(Parameters!$F$27,IF(A19-$A$5:A19=0,1,A19-$A$5:A19))),0)</f>
        <v>0.0</v>
      </c>
      <c r="I19" s="7">
        <f>Parameters!$F$23*I18+B19*Parameters!$F$22</f>
        <v>0.0</v>
      </c>
      <c r="J19" s="7">
        <f>E19*Parameters!$F$14*(1-Parameters!$F$15)</f>
        <v>6736.557552204727</v>
      </c>
      <c r="K19" s="7">
        <f>H19*Parameters!$F$29</f>
        <v>0.0</v>
      </c>
      <c r="L19" s="7">
        <f>I19*Parameters!$F$24</f>
        <v>0.0</v>
      </c>
      <c r="M19" s="7">
        <f>J19+K19+L19</f>
        <v>6736.557552204727</v>
      </c>
      <c r="N19" s="7">
        <f>C19*Parameters!$F$17+D19*Parameters!$F$18+E19*Parameters!$F$16+I19*Parameters!$F$25+G19*Parameters!$F$30</f>
        <v>1447.2234418667524</v>
      </c>
      <c r="O19" s="7">
        <f>B19*Parameters!$F$19</f>
        <v>4000</v>
      </c>
      <c r="P19" s="7">
        <f>M19-N19-O19</f>
        <v>1289.3341103379744</v>
      </c>
      <c r="Q19" s="7">
        <f>Parameters!$F$21</f>
        <v>1000</v>
      </c>
      <c r="R19" s="7">
        <f>P19-Q19</f>
        <v>289.3341103379744</v>
      </c>
      <c r="S19" s="7">
        <f>IF(A19&lt;1+Parameters!$F$31,0,INDEX($M$5:$M$40,A19-Parameters!$F$31))</f>
        <v>6717.441044728786</v>
      </c>
      <c r="T19" s="7">
        <f>T18+M19-S19</f>
        <v>6736.557552204727</v>
      </c>
      <c r="U19" s="7">
        <f>S19-N19-O19-Q19</f>
        <v>270.21760286203425</v>
      </c>
      <c r="V19" s="7">
        <f>V18+U19</f>
        <v>-13984.526061835564</v>
      </c>
      <c r="W19" s="7">
        <f>(1-Parameters!$F$7)*(C19-E19)+(1-Parameters!$F$8)*(D19+E19)</f>
        <v>964.8156279111682</v>
      </c>
      <c r="X19" s="7">
        <f>Parameters!$F$7*(C19-E19)+Parameters!$F$8*Parameters!$F$9*(D19+E19)</f>
        <v>2552.8007566249494</v>
      </c>
      <c r="Y19" s="7">
        <f>Parameters!$F$8*(1-Parameters!$F$9)*(D19+E19)</f>
        <v>1306.4617550197245</v>
      </c>
      <c r="Z19" s="7">
        <f>POWER(1/(1+Parameters!$F$32),A19-1)*(M19-N19)</f>
        <v>4601.524809712759</v>
      </c>
    </row>
    <row r="20" spans="1:26">
      <c r="A20" s="7">
        <v>16</v>
      </c>
      <c r="B20" s="7">
        <f>Parameters!$F$20</f>
        <v>1000</v>
      </c>
      <c r="C20" s="7">
        <f>X19+B20</f>
        <v>3552.8007566249494</v>
      </c>
      <c r="D20" s="7">
        <f>Y19</f>
        <v>1306.4617550197245</v>
      </c>
      <c r="E20" s="7">
        <f>Parameters!$F$6*C20</f>
        <v>355.28007566249494</v>
      </c>
      <c r="F20" s="7">
        <f>IF(Parameters!$F$5=1,E20,0)</f>
        <v>0.0</v>
      </c>
      <c r="G20" s="7">
        <f>Parameters!$F$27*G19+F20</f>
        <v>0.0</v>
      </c>
      <c r="H20" s="7">
        <f>IF(AND(Parameters!$F$5=1,Parameters!$F$26=1),SUMPRODUCT(--($A$5:A20&lt;A20),--(MOD(A20-$A$5:A20,Parameters!$F$28)=0),$F$5:F20,POWER(Parameters!$F$27,IF(A20-$A$5:A20=0,1,A20-$A$5:A20))),0)</f>
        <v>0.0</v>
      </c>
      <c r="I20" s="7">
        <f>Parameters!$F$23*I19+B20*Parameters!$F$22</f>
        <v>0.0</v>
      </c>
      <c r="J20" s="7">
        <f>E20*Parameters!$F$14*(1-Parameters!$F$15)</f>
        <v>6750.321437587403</v>
      </c>
      <c r="K20" s="7">
        <f>H20*Parameters!$F$29</f>
        <v>0.0</v>
      </c>
      <c r="L20" s="7">
        <f>I20*Parameters!$F$24</f>
        <v>0.0</v>
      </c>
      <c r="M20" s="7">
        <f>J20+K20+L20</f>
        <v>6750.321437587403</v>
      </c>
      <c r="N20" s="7">
        <f>C20*Parameters!$F$17+D20*Parameters!$F$18+E20*Parameters!$F$16+I20*Parameters!$F$25+G20*Parameters!$F$30</f>
        <v>1457.778753493402</v>
      </c>
      <c r="O20" s="7">
        <f>B20*Parameters!$F$19</f>
        <v>4000</v>
      </c>
      <c r="P20" s="7">
        <f>M20-N20-O20</f>
        <v>1292.5426840940008</v>
      </c>
      <c r="Q20" s="7">
        <f>Parameters!$F$21</f>
        <v>1000</v>
      </c>
      <c r="R20" s="7">
        <f>P20-Q20</f>
        <v>292.54268409400083</v>
      </c>
      <c r="S20" s="7">
        <f>IF(A20&lt;1+Parameters!$F$31,0,INDEX($M$5:$M$40,A20-Parameters!$F$31))</f>
        <v>6736.557552204727</v>
      </c>
      <c r="T20" s="7">
        <f>T19+M20-S20</f>
        <v>6750.321437587403</v>
      </c>
      <c r="U20" s="7">
        <f>S20-N20-O20-Q20</f>
        <v>278.77879871132427</v>
      </c>
      <c r="V20" s="7">
        <f>V19+U20</f>
        <v>-13705.74726312424</v>
      </c>
      <c r="W20" s="7">
        <f>(1-Parameters!$F$7)*(C20-E20)+(1-Parameters!$F$8)*(D20+E20)</f>
        <v>971.8525023289346</v>
      </c>
      <c r="X20" s="7">
        <f>Parameters!$F$7*(C20-E20)+Parameters!$F$8*Parameters!$F$9*(D20+E20)</f>
        <v>2558.0165447699637</v>
      </c>
      <c r="Y20" s="7">
        <f>Parameters!$F$8*(1-Parameters!$F$9)*(D20+E20)</f>
        <v>1329.3934645457757</v>
      </c>
      <c r="Z20" s="7">
        <f>POWER(1/(1+Parameters!$F$32),A20-1)*(M20-N20)</f>
        <v>4558.728861451146</v>
      </c>
    </row>
    <row r="21" spans="1:26">
      <c r="A21" s="7">
        <v>17</v>
      </c>
      <c r="B21" s="7">
        <f>Parameters!$F$20</f>
        <v>1000</v>
      </c>
      <c r="C21" s="7">
        <f>X20+B21</f>
        <v>3558.0165447699637</v>
      </c>
      <c r="D21" s="7">
        <f>Y20</f>
        <v>1329.3934645457755</v>
      </c>
      <c r="E21" s="7">
        <f>Parameters!$F$6*C21</f>
        <v>355.8016544769964</v>
      </c>
      <c r="F21" s="7">
        <f>IF(Parameters!$F$5=1,E21,0)</f>
        <v>0.0</v>
      </c>
      <c r="G21" s="7">
        <f>Parameters!$F$27*G20+F21</f>
        <v>0.0</v>
      </c>
      <c r="H21" s="7">
        <f>IF(AND(Parameters!$F$5=1,Parameters!$F$26=1),SUMPRODUCT(--($A$5:A21&lt;A21),--(MOD(A21-$A$5:A21,Parameters!$F$28)=0),$F$5:F21,POWER(Parameters!$F$27,IF(A21-$A$5:A21=0,1,A21-$A$5:A21))),0)</f>
        <v>0.0</v>
      </c>
      <c r="I21" s="7">
        <f>Parameters!$F$23*I20+B21*Parameters!$F$22</f>
        <v>0.0</v>
      </c>
      <c r="J21" s="7">
        <f>E21*Parameters!$F$14*(1-Parameters!$F$15)</f>
        <v>6760.231435062931</v>
      </c>
      <c r="K21" s="7">
        <f>H21*Parameters!$F$29</f>
        <v>0.0</v>
      </c>
      <c r="L21" s="7">
        <f>I21*Parameters!$F$24</f>
        <v>0.0</v>
      </c>
      <c r="M21" s="7">
        <f>J21+K21+L21</f>
        <v>6760.231435062931</v>
      </c>
      <c r="N21" s="7">
        <f>C21*Parameters!$F$17+D21*Parameters!$F$18+E21*Parameters!$F$16+I21*Parameters!$F$25+G21*Parameters!$F$30</f>
        <v>1466.2230027947219</v>
      </c>
      <c r="O21" s="7">
        <f>B21*Parameters!$F$19</f>
        <v>4000</v>
      </c>
      <c r="P21" s="7">
        <f>M21-N21-O21</f>
        <v>1294.0084322682096</v>
      </c>
      <c r="Q21" s="7">
        <f>Parameters!$F$21</f>
        <v>1000</v>
      </c>
      <c r="R21" s="7">
        <f>P21-Q21</f>
        <v>294.0084322682096</v>
      </c>
      <c r="S21" s="7">
        <f>IF(A21&lt;1+Parameters!$F$31,0,INDEX($M$5:$M$40,A21-Parameters!$F$31))</f>
        <v>6750.321437587403</v>
      </c>
      <c r="T21" s="7">
        <f>T20+M21-S21</f>
        <v>6760.231435062931</v>
      </c>
      <c r="U21" s="7">
        <f>S21-N21-O21-Q21</f>
        <v>284.0984347926815</v>
      </c>
      <c r="V21" s="7">
        <f>V20+U21</f>
        <v>-13421.64882833156</v>
      </c>
      <c r="W21" s="7">
        <f>(1-Parameters!$F$7)*(C21-E21)+(1-Parameters!$F$8)*(D21+E21)</f>
        <v>977.4820018631477</v>
      </c>
      <c r="X21" s="7">
        <f>Parameters!$F$7*(C21-E21)+Parameters!$F$8*Parameters!$F$9*(D21+E21)</f>
        <v>2561.771912234374</v>
      </c>
      <c r="Y21" s="7">
        <f>Parameters!$F$8*(1-Parameters!$F$9)*(D21+E21)</f>
        <v>1348.1560952182176</v>
      </c>
      <c r="Z21" s="7">
        <f>POWER(1/(1+Parameters!$F$32),A21-1)*(M21-N21)</f>
        <v>4514.842953337853</v>
      </c>
    </row>
    <row r="22" spans="1:26">
      <c r="A22" s="7">
        <v>18</v>
      </c>
      <c r="B22" s="7">
        <f>Parameters!$F$20</f>
        <v>1000</v>
      </c>
      <c r="C22" s="7">
        <f>X21+B22</f>
        <v>3561.771912234374</v>
      </c>
      <c r="D22" s="7">
        <f>Y21</f>
        <v>1348.1560952182176</v>
      </c>
      <c r="E22" s="7">
        <f>Parameters!$F$6*C22</f>
        <v>356.17719122343743</v>
      </c>
      <c r="F22" s="7">
        <f>IF(Parameters!$F$5=1,E22,0)</f>
        <v>0.0</v>
      </c>
      <c r="G22" s="7">
        <f>Parameters!$F$27*G21+F22</f>
        <v>0.0</v>
      </c>
      <c r="H22" s="7">
        <f>IF(AND(Parameters!$F$5=1,Parameters!$F$26=1),SUMPRODUCT(--($A$5:A22&lt;A22),--(MOD(A22-$A$5:A22,Parameters!$F$28)=0),$F$5:F22,POWER(Parameters!$F$27,IF(A22-$A$5:A22=0,1,A22-$A$5:A22))),0)</f>
        <v>0.0</v>
      </c>
      <c r="I22" s="7">
        <f>Parameters!$F$23*I21+B22*Parameters!$F$22</f>
        <v>0.0</v>
      </c>
      <c r="J22" s="7">
        <f>E22*Parameters!$F$14*(1-Parameters!$F$15)</f>
        <v>6767.36663324531</v>
      </c>
      <c r="K22" s="7">
        <f>H22*Parameters!$F$29</f>
        <v>0.0</v>
      </c>
      <c r="L22" s="7">
        <f>I22*Parameters!$F$24</f>
        <v>0.0</v>
      </c>
      <c r="M22" s="7">
        <f>J22+K22+L22</f>
        <v>6767.36663324531</v>
      </c>
      <c r="N22" s="7">
        <f>C22*Parameters!$F$17+D22*Parameters!$F$18+E22*Parameters!$F$16+I22*Parameters!$F$25+G22*Parameters!$F$30</f>
        <v>1472.9784022357776</v>
      </c>
      <c r="O22" s="7">
        <f>B22*Parameters!$F$19</f>
        <v>4000</v>
      </c>
      <c r="P22" s="7">
        <f>M22-N22-O22</f>
        <v>1294.3882310095323</v>
      </c>
      <c r="Q22" s="7">
        <f>Parameters!$F$21</f>
        <v>1000</v>
      </c>
      <c r="R22" s="7">
        <f>P22-Q22</f>
        <v>294.3882310095323</v>
      </c>
      <c r="S22" s="7">
        <f>IF(A22&lt;1+Parameters!$F$31,0,INDEX($M$5:$M$40,A22-Parameters!$F$31))</f>
        <v>6760.231435062931</v>
      </c>
      <c r="T22" s="7">
        <f>T21+M22-S22</f>
        <v>6767.36663324531</v>
      </c>
      <c r="U22" s="7">
        <f>S22-N22-O22-Q22</f>
        <v>287.2530328271532</v>
      </c>
      <c r="V22" s="7">
        <f>V21+U22</f>
        <v>-13134.395795504406</v>
      </c>
      <c r="W22" s="7">
        <f>(1-Parameters!$F$7)*(C22-E22)+(1-Parameters!$F$8)*(D22+E22)</f>
        <v>981.9856014905182</v>
      </c>
      <c r="X22" s="7">
        <f>Parameters!$F$7*(C22-E22)+Parameters!$F$8*Parameters!$F$9*(D22+E22)</f>
        <v>2564.4757768087493</v>
      </c>
      <c r="Y22" s="7">
        <f>Parameters!$F$8*(1-Parameters!$F$9)*(D22+E22)</f>
        <v>1363.466629153324</v>
      </c>
      <c r="Z22" s="7">
        <f>POWER(1/(1+Parameters!$F$32),A22-1)*(M22-N22)</f>
        <v>4470.462231465161</v>
      </c>
    </row>
    <row r="23" spans="1:26">
      <c r="A23" s="7">
        <v>19</v>
      </c>
      <c r="B23" s="7">
        <f>Parameters!$F$20</f>
        <v>1000</v>
      </c>
      <c r="C23" s="7">
        <f>X22+B23</f>
        <v>3564.4757768087497</v>
      </c>
      <c r="D23" s="7">
        <f>Y22</f>
        <v>1363.4666291533242</v>
      </c>
      <c r="E23" s="7">
        <f>Parameters!$F$6*C23</f>
        <v>356.447577680875</v>
      </c>
      <c r="F23" s="7">
        <f>IF(Parameters!$F$5=1,E23,0)</f>
        <v>0.0</v>
      </c>
      <c r="G23" s="7">
        <f>Parameters!$F$27*G22+F23</f>
        <v>0.0</v>
      </c>
      <c r="H23" s="7">
        <f>IF(AND(Parameters!$F$5=1,Parameters!$F$26=1),SUMPRODUCT(--($A$5:A23&lt;A23),--(MOD(A23-$A$5:A23,Parameters!$F$28)=0),$F$5:F23,POWER(Parameters!$F$27,IF(A23-$A$5:A23=0,1,A23-$A$5:A23))),0)</f>
        <v>0.0</v>
      </c>
      <c r="I23" s="7">
        <f>Parameters!$F$23*I22+B23*Parameters!$F$22</f>
        <v>0.0</v>
      </c>
      <c r="J23" s="7">
        <f>E23*Parameters!$F$14*(1-Parameters!$F$15)</f>
        <v>6772.503975936625</v>
      </c>
      <c r="K23" s="7">
        <f>H23*Parameters!$F$29</f>
        <v>0.0</v>
      </c>
      <c r="L23" s="7">
        <f>I23*Parameters!$F$24</f>
        <v>0.0</v>
      </c>
      <c r="M23" s="7">
        <f>J23+K23+L23</f>
        <v>6772.503975936625</v>
      </c>
      <c r="N23" s="7">
        <f>C23*Parameters!$F$17+D23*Parameters!$F$18+E23*Parameters!$F$16+I23*Parameters!$F$25+G23*Parameters!$F$30</f>
        <v>1478.3827217886221</v>
      </c>
      <c r="O23" s="7">
        <f>B23*Parameters!$F$19</f>
        <v>4000</v>
      </c>
      <c r="P23" s="7">
        <f>M23-N23-O23</f>
        <v>1294.1212541480027</v>
      </c>
      <c r="Q23" s="7">
        <f>Parameters!$F$21</f>
        <v>1000</v>
      </c>
      <c r="R23" s="7">
        <f>P23-Q23</f>
        <v>294.12125414800266</v>
      </c>
      <c r="S23" s="7">
        <f>IF(A23&lt;1+Parameters!$F$31,0,INDEX($M$5:$M$40,A23-Parameters!$F$31))</f>
        <v>6767.36663324531</v>
      </c>
      <c r="T23" s="7">
        <f>T22+M23-S23</f>
        <v>6772.503975936625</v>
      </c>
      <c r="U23" s="7">
        <f>S23-N23-O23-Q23</f>
        <v>288.9839114566885</v>
      </c>
      <c r="V23" s="7">
        <f>V22+U23</f>
        <v>-12845.411884047717</v>
      </c>
      <c r="W23" s="7">
        <f>(1-Parameters!$F$7)*(C23-E23)+(1-Parameters!$F$8)*(D23+E23)</f>
        <v>985.5884811924146</v>
      </c>
      <c r="X23" s="7">
        <f>Parameters!$F$7*(C23-E23)+Parameters!$F$8*Parameters!$F$9*(D23+E23)</f>
        <v>2566.4225593023</v>
      </c>
      <c r="Y23" s="7">
        <f>Parameters!$F$8*(1-Parameters!$F$9)*(D23+E23)</f>
        <v>1375.9313654673595</v>
      </c>
      <c r="Z23" s="7">
        <f>POWER(1/(1+Parameters!$F$32),A23-1)*(M23-N23)</f>
        <v>4425.977031894699</v>
      </c>
    </row>
    <row r="24" spans="1:26">
      <c r="A24" s="7">
        <v>20</v>
      </c>
      <c r="B24" s="7">
        <f>Parameters!$F$20</f>
        <v>1000</v>
      </c>
      <c r="C24" s="7">
        <f>X23+B24</f>
        <v>3566.4225593023</v>
      </c>
      <c r="D24" s="7">
        <f>Y23</f>
        <v>1375.9313654673595</v>
      </c>
      <c r="E24" s="7">
        <f>Parameters!$F$6*C24</f>
        <v>356.64225593023</v>
      </c>
      <c r="F24" s="7">
        <f>IF(Parameters!$F$5=1,E24,0)</f>
        <v>0.0</v>
      </c>
      <c r="G24" s="7">
        <f>Parameters!$F$27*G23+F24</f>
        <v>0.0</v>
      </c>
      <c r="H24" s="7">
        <f>IF(AND(Parameters!$F$5=1,Parameters!$F$26=1),SUMPRODUCT(--($A$5:A24&lt;A24),--(MOD(A24-$A$5:A24,Parameters!$F$28)=0),$F$5:F24,POWER(Parameters!$F$27,IF(A24-$A$5:A24=0,1,A24-$A$5:A24))),0)</f>
        <v>0.0</v>
      </c>
      <c r="I24" s="7">
        <f>Parameters!$F$23*I23+B24*Parameters!$F$22</f>
        <v>0.0</v>
      </c>
      <c r="J24" s="7">
        <f>E24*Parameters!$F$14*(1-Parameters!$F$15)</f>
        <v>6776.20286267437</v>
      </c>
      <c r="K24" s="7">
        <f>H24*Parameters!$F$29</f>
        <v>0.0</v>
      </c>
      <c r="L24" s="7">
        <f>I24*Parameters!$F$24</f>
        <v>0.0</v>
      </c>
      <c r="M24" s="7">
        <f>J24+K24+L24</f>
        <v>6776.20286267437</v>
      </c>
      <c r="N24" s="7">
        <f>C24*Parameters!$F$17+D24*Parameters!$F$18+E24*Parameters!$F$16+I24*Parameters!$F$25+G24*Parameters!$F$30</f>
        <v>1482.706177430898</v>
      </c>
      <c r="O24" s="7">
        <f>B24*Parameters!$F$19</f>
        <v>4000</v>
      </c>
      <c r="P24" s="7">
        <f>M24-N24-O24</f>
        <v>1293.4966852434727</v>
      </c>
      <c r="Q24" s="7">
        <f>Parameters!$F$21</f>
        <v>1000</v>
      </c>
      <c r="R24" s="7">
        <f>P24-Q24</f>
        <v>293.4966852434727</v>
      </c>
      <c r="S24" s="7">
        <f>IF(A24&lt;1+Parameters!$F$31,0,INDEX($M$5:$M$40,A24-Parameters!$F$31))</f>
        <v>6772.503975936625</v>
      </c>
      <c r="T24" s="7">
        <f>T23+M24-S24</f>
        <v>6776.20286267437</v>
      </c>
      <c r="U24" s="7">
        <f>S24-N24-O24-Q24</f>
        <v>289.79779850572686</v>
      </c>
      <c r="V24" s="7">
        <f>V23+U24</f>
        <v>-12555.61408554199</v>
      </c>
      <c r="W24" s="7">
        <f>(1-Parameters!$F$7)*(C24-E24)+(1-Parameters!$F$8)*(D24+E24)</f>
        <v>988.4707849539318</v>
      </c>
      <c r="X24" s="7">
        <f>Parameters!$F$7*(C24-E24)+Parameters!$F$8*Parameters!$F$9*(D24+E24)</f>
        <v>2567.8242426976562</v>
      </c>
      <c r="Y24" s="7">
        <f>Parameters!$F$8*(1-Parameters!$F$9)*(D24+E24)</f>
        <v>1386.0588971180716</v>
      </c>
      <c r="Z24" s="7">
        <f>POWER(1/(1+Parameters!$F$32),A24-1)*(M24-N24)</f>
        <v>4381.638496511491</v>
      </c>
    </row>
    <row r="25" spans="1:26">
      <c r="A25" s="7">
        <v>21</v>
      </c>
      <c r="B25" s="7">
        <f>Parameters!$F$20</f>
        <v>1000</v>
      </c>
      <c r="C25" s="7">
        <f>X24+B25</f>
        <v>3567.8242426976562</v>
      </c>
      <c r="D25" s="7">
        <f>Y24</f>
        <v>1386.0588971180716</v>
      </c>
      <c r="E25" s="7">
        <f>Parameters!$F$6*C25</f>
        <v>356.78242426976567</v>
      </c>
      <c r="F25" s="7">
        <f>IF(Parameters!$F$5=1,E25,0)</f>
        <v>0.0</v>
      </c>
      <c r="G25" s="7">
        <f>Parameters!$F$27*G24+F25</f>
        <v>0.0</v>
      </c>
      <c r="H25" s="7">
        <f>IF(AND(Parameters!$F$5=1,Parameters!$F$26=1),SUMPRODUCT(--($A$5:A25&lt;A25),--(MOD(A25-$A$5:A25,Parameters!$F$28)=0),$F$5:F25,POWER(Parameters!$F$27,IF(A25-$A$5:A25=0,1,A25-$A$5:A25))),0)</f>
        <v>0.0</v>
      </c>
      <c r="I25" s="7">
        <f>Parameters!$F$23*I24+B25*Parameters!$F$22</f>
        <v>0.0</v>
      </c>
      <c r="J25" s="7">
        <f>E25*Parameters!$F$14*(1-Parameters!$F$15)</f>
        <v>6778.866061125547</v>
      </c>
      <c r="K25" s="7">
        <f>H25*Parameters!$F$29</f>
        <v>0.0</v>
      </c>
      <c r="L25" s="7">
        <f>I25*Parameters!$F$24</f>
        <v>0.0</v>
      </c>
      <c r="M25" s="7">
        <f>J25+K25+L25</f>
        <v>6778.866061125547</v>
      </c>
      <c r="N25" s="7">
        <f>C25*Parameters!$F$17+D25*Parameters!$F$18+E25*Parameters!$F$16+I25*Parameters!$F$25+G25*Parameters!$F$30</f>
        <v>1486.1649419447185</v>
      </c>
      <c r="O25" s="7">
        <f>B25*Parameters!$F$19</f>
        <v>4000</v>
      </c>
      <c r="P25" s="7">
        <f>M25-N25-O25</f>
        <v>1292.7011191808288</v>
      </c>
      <c r="Q25" s="7">
        <f>Parameters!$F$21</f>
        <v>1000</v>
      </c>
      <c r="R25" s="7">
        <f>P25-Q25</f>
        <v>292.70111918082875</v>
      </c>
      <c r="S25" s="7">
        <f>IF(A25&lt;1+Parameters!$F$31,0,INDEX($M$5:$M$40,A25-Parameters!$F$31))</f>
        <v>6776.20286267437</v>
      </c>
      <c r="T25" s="7">
        <f>T24+M25-S25</f>
        <v>6778.866061125547</v>
      </c>
      <c r="U25" s="7">
        <f>S25-N25-O25-Q25</f>
        <v>290.0379207296519</v>
      </c>
      <c r="V25" s="7">
        <f>V24+U25</f>
        <v>-12265.576164812339</v>
      </c>
      <c r="W25" s="7">
        <f>(1-Parameters!$F$7)*(C25-E25)+(1-Parameters!$F$8)*(D25+E25)</f>
        <v>990.7766279631454</v>
      </c>
      <c r="X25" s="7">
        <f>Parameters!$F$7*(C25-E25)+Parameters!$F$8*Parameters!$F$9*(D25+E25)</f>
        <v>2568.833454742313</v>
      </c>
      <c r="Y25" s="7">
        <f>Parameters!$F$8*(1-Parameters!$F$9)*(D25+E25)</f>
        <v>1394.27305711027</v>
      </c>
      <c r="Z25" s="7">
        <f>POWER(1/(1+Parameters!$F$32),A25-1)*(M25-N25)</f>
        <v>4337.603935372663</v>
      </c>
    </row>
    <row r="26" spans="1:26">
      <c r="A26" s="7">
        <v>22</v>
      </c>
      <c r="B26" s="7">
        <f>Parameters!$F$20</f>
        <v>1000</v>
      </c>
      <c r="C26" s="7">
        <f>X25+B26</f>
        <v>3568.833454742313</v>
      </c>
      <c r="D26" s="7">
        <f>Y25</f>
        <v>1394.27305711027</v>
      </c>
      <c r="E26" s="7">
        <f>Parameters!$F$6*C26</f>
        <v>356.8833454742313</v>
      </c>
      <c r="F26" s="7">
        <f>IF(Parameters!$F$5=1,E26,0)</f>
        <v>0.0</v>
      </c>
      <c r="G26" s="7">
        <f>Parameters!$F$27*G25+F26</f>
        <v>0.0</v>
      </c>
      <c r="H26" s="7">
        <f>IF(AND(Parameters!$F$5=1,Parameters!$F$26=1),SUMPRODUCT(--($A$5:A26&lt;A26),--(MOD(A26-$A$5:A26,Parameters!$F$28)=0),$F$5:F26,POWER(Parameters!$F$27,IF(A26-$A$5:A26=0,1,A26-$A$5:A26))),0)</f>
        <v>0.0</v>
      </c>
      <c r="I26" s="7">
        <f>Parameters!$F$23*I25+B26*Parameters!$F$22</f>
        <v>0.0</v>
      </c>
      <c r="J26" s="7">
        <f>E26*Parameters!$F$14*(1-Parameters!$F$15)</f>
        <v>6780.783564010394</v>
      </c>
      <c r="K26" s="7">
        <f>H26*Parameters!$F$29</f>
        <v>0.0</v>
      </c>
      <c r="L26" s="7">
        <f>I26*Parameters!$F$24</f>
        <v>0.0</v>
      </c>
      <c r="M26" s="7">
        <f>J26+K26+L26</f>
        <v>6780.783564010394</v>
      </c>
      <c r="N26" s="7">
        <f>C26*Parameters!$F$17+D26*Parameters!$F$18+E26*Parameters!$F$16+I26*Parameters!$F$25+G26*Parameters!$F$30</f>
        <v>1488.9319535557747</v>
      </c>
      <c r="O26" s="7">
        <f>B26*Parameters!$F$19</f>
        <v>4000</v>
      </c>
      <c r="P26" s="7">
        <f>M26-N26-O26</f>
        <v>1291.8516104546197</v>
      </c>
      <c r="Q26" s="7">
        <f>Parameters!$F$21</f>
        <v>1000</v>
      </c>
      <c r="R26" s="7">
        <f>P26-Q26</f>
        <v>291.85161045461973</v>
      </c>
      <c r="S26" s="7">
        <f>IF(A26&lt;1+Parameters!$F$31,0,INDEX($M$5:$M$40,A26-Parameters!$F$31))</f>
        <v>6778.866061125547</v>
      </c>
      <c r="T26" s="7">
        <f>T25+M26-S26</f>
        <v>6780.783564010394</v>
      </c>
      <c r="U26" s="7">
        <f>S26-N26-O26-Q26</f>
        <v>289.9341075697721</v>
      </c>
      <c r="V26" s="7">
        <f>V25+U26</f>
        <v>-11975.642057242567</v>
      </c>
      <c r="W26" s="7">
        <f>(1-Parameters!$F$7)*(C26-E26)+(1-Parameters!$F$8)*(D26+E26)</f>
        <v>992.6213023705164</v>
      </c>
      <c r="X26" s="7">
        <f>Parameters!$F$7*(C26-E26)+Parameters!$F$8*Parameters!$F$9*(D26+E26)</f>
        <v>2569.5600874144657</v>
      </c>
      <c r="Y26" s="7">
        <f>Parameters!$F$8*(1-Parameters!$F$9)*(D26+E26)</f>
        <v>1400.9251220676013</v>
      </c>
      <c r="Z26" s="7">
        <f>POWER(1/(1+Parameters!$F$32),A26-1)*(M26-N26)</f>
        <v>4293.968044746134</v>
      </c>
    </row>
    <row r="27" spans="1:26">
      <c r="A27" s="7">
        <v>23</v>
      </c>
      <c r="B27" s="7">
        <f>Parameters!$F$20</f>
        <v>1000</v>
      </c>
      <c r="C27" s="7">
        <f>X26+B27</f>
        <v>3569.5600874144657</v>
      </c>
      <c r="D27" s="7">
        <f>Y26</f>
        <v>1400.925122067601</v>
      </c>
      <c r="E27" s="7">
        <f>Parameters!$F$6*C27</f>
        <v>356.95600874144657</v>
      </c>
      <c r="F27" s="7">
        <f>IF(Parameters!$F$5=1,E27,0)</f>
        <v>0.0</v>
      </c>
      <c r="G27" s="7">
        <f>Parameters!$F$27*G26+F27</f>
        <v>0.0</v>
      </c>
      <c r="H27" s="7">
        <f>IF(AND(Parameters!$F$5=1,Parameters!$F$26=1),SUMPRODUCT(--($A$5:A27&lt;A27),--(MOD(A27-$A$5:A27,Parameters!$F$28)=0),$F$5:F27,POWER(Parameters!$F$27,IF(A27-$A$5:A27=0,1,A27-$A$5:A27))),0)</f>
        <v>0.0</v>
      </c>
      <c r="I27" s="7">
        <f>Parameters!$F$23*I26+B27*Parameters!$F$22</f>
        <v>0.0</v>
      </c>
      <c r="J27" s="7">
        <f>E27*Parameters!$F$14*(1-Parameters!$F$15)</f>
        <v>6782.164166087485</v>
      </c>
      <c r="K27" s="7">
        <f>H27*Parameters!$F$29</f>
        <v>0.0</v>
      </c>
      <c r="L27" s="7">
        <f>I27*Parameters!$F$24</f>
        <v>0.0</v>
      </c>
      <c r="M27" s="7">
        <f>J27+K27+L27</f>
        <v>6782.164166087485</v>
      </c>
      <c r="N27" s="7">
        <f>C27*Parameters!$F$17+D27*Parameters!$F$18+E27*Parameters!$F$16+I27*Parameters!$F$25+G27*Parameters!$F$30</f>
        <v>1491.14556284462</v>
      </c>
      <c r="O27" s="7">
        <f>B27*Parameters!$F$19</f>
        <v>4000</v>
      </c>
      <c r="P27" s="7">
        <f>M27-N27-O27</f>
        <v>1291.0186032428646</v>
      </c>
      <c r="Q27" s="7">
        <f>Parameters!$F$21</f>
        <v>1000</v>
      </c>
      <c r="R27" s="7">
        <f>P27-Q27</f>
        <v>291.01860324286463</v>
      </c>
      <c r="S27" s="7">
        <f>IF(A27&lt;1+Parameters!$F$31,0,INDEX($M$5:$M$40,A27-Parameters!$F$31))</f>
        <v>6780.783564010394</v>
      </c>
      <c r="T27" s="7">
        <f>T26+M27-S27</f>
        <v>6782.164166087485</v>
      </c>
      <c r="U27" s="7">
        <f>S27-N27-O27-Q27</f>
        <v>289.63800116577386</v>
      </c>
      <c r="V27" s="7">
        <f>V26+U27</f>
        <v>-11686.004056076792</v>
      </c>
      <c r="W27" s="7">
        <f>(1-Parameters!$F$7)*(C27-E27)+(1-Parameters!$F$8)*(D27+E27)</f>
        <v>994.0970418964132</v>
      </c>
      <c r="X27" s="7">
        <f>Parameters!$F$7*(C27-E27)+Parameters!$F$8*Parameters!$F$9*(D27+E27)</f>
        <v>2570.0832629384154</v>
      </c>
      <c r="Y27" s="7">
        <f>Parameters!$F$8*(1-Parameters!$F$9)*(D27+E27)</f>
        <v>1406.3049046472381</v>
      </c>
      <c r="Z27" s="7">
        <f>POWER(1/(1+Parameters!$F$32),A27-1)*(M27-N27)</f>
        <v>4250.784274815655</v>
      </c>
    </row>
    <row r="28" spans="1:26">
      <c r="A28" s="7">
        <v>24</v>
      </c>
      <c r="B28" s="7">
        <f>Parameters!$F$20</f>
        <v>1000</v>
      </c>
      <c r="C28" s="7">
        <f>X27+B28</f>
        <v>3570.0832629384154</v>
      </c>
      <c r="D28" s="7">
        <f>Y27</f>
        <v>1406.3049046472381</v>
      </c>
      <c r="E28" s="7">
        <f>Parameters!$F$6*C28</f>
        <v>357.00832629384155</v>
      </c>
      <c r="F28" s="7">
        <f>IF(Parameters!$F$5=1,E28,0)</f>
        <v>0.0</v>
      </c>
      <c r="G28" s="7">
        <f>Parameters!$F$27*G27+F28</f>
        <v>0.0</v>
      </c>
      <c r="H28" s="7">
        <f>IF(AND(Parameters!$F$5=1,Parameters!$F$26=1),SUMPRODUCT(--($A$5:A28&lt;A28),--(MOD(A28-$A$5:A28,Parameters!$F$28)=0),$F$5:F28,POWER(Parameters!$F$27,IF(A28-$A$5:A28=0,1,A28-$A$5:A28))),0)</f>
        <v>0.0</v>
      </c>
      <c r="I28" s="7">
        <f>Parameters!$F$23*I27+B28*Parameters!$F$22</f>
        <v>0.0</v>
      </c>
      <c r="J28" s="7">
        <f>E28*Parameters!$F$14*(1-Parameters!$F$15)</f>
        <v>6783.158199582989</v>
      </c>
      <c r="K28" s="7">
        <f>H28*Parameters!$F$29</f>
        <v>0.0</v>
      </c>
      <c r="L28" s="7">
        <f>I28*Parameters!$F$24</f>
        <v>0.0</v>
      </c>
      <c r="M28" s="7">
        <f>J28+K28+L28</f>
        <v>6783.158199582989</v>
      </c>
      <c r="N28" s="7">
        <f>C28*Parameters!$F$17+D28*Parameters!$F$18+E28*Parameters!$F$16+I28*Parameters!$F$25+G28*Parameters!$F$30</f>
        <v>1492.916450275696</v>
      </c>
      <c r="O28" s="7">
        <f>B28*Parameters!$F$19</f>
        <v>4000</v>
      </c>
      <c r="P28" s="7">
        <f>M28-N28-O28</f>
        <v>1290.2417493072935</v>
      </c>
      <c r="Q28" s="7">
        <f>Parameters!$F$21</f>
        <v>1000</v>
      </c>
      <c r="R28" s="7">
        <f>P28-Q28</f>
        <v>290.2417493072935</v>
      </c>
      <c r="S28" s="7">
        <f>IF(A28&lt;1+Parameters!$F$31,0,INDEX($M$5:$M$40,A28-Parameters!$F$31))</f>
        <v>6782.164166087485</v>
      </c>
      <c r="T28" s="7">
        <f>T27+M28-S28</f>
        <v>6783.158199582989</v>
      </c>
      <c r="U28" s="7">
        <f>S28-N28-O28-Q28</f>
        <v>289.247715811789</v>
      </c>
      <c r="V28" s="7">
        <f>V27+U28</f>
        <v>-11396.756340265003</v>
      </c>
      <c r="W28" s="7">
        <f>(1-Parameters!$F$7)*(C28-E28)+(1-Parameters!$F$8)*(D28+E28)</f>
        <v>995.2776335171305</v>
      </c>
      <c r="X28" s="7">
        <f>Parameters!$F$7*(C28-E28)+Parameters!$F$8*Parameters!$F$9*(D28+E28)</f>
        <v>2570.4599493156593</v>
      </c>
      <c r="Y28" s="7">
        <f>Parameters!$F$8*(1-Parameters!$F$9)*(D28+E28)</f>
        <v>1410.6505847528638</v>
      </c>
      <c r="Z28" s="7">
        <f>POWER(1/(1+Parameters!$F$32),A28-1)*(M28-N28)</f>
        <v>4208.079359713611</v>
      </c>
    </row>
    <row r="29" spans="1:26">
      <c r="A29" s="7">
        <v>25</v>
      </c>
      <c r="B29" s="7">
        <f>Parameters!$F$20</f>
        <v>1000</v>
      </c>
      <c r="C29" s="7">
        <f>X28+B29</f>
        <v>3570.4599493156597</v>
      </c>
      <c r="D29" s="7">
        <f>Y28</f>
        <v>1410.6505847528638</v>
      </c>
      <c r="E29" s="7">
        <f>Parameters!$F$6*C29</f>
        <v>357.045994931566</v>
      </c>
      <c r="F29" s="7">
        <f>IF(Parameters!$F$5=1,E29,0)</f>
        <v>0.0</v>
      </c>
      <c r="G29" s="7">
        <f>Parameters!$F$27*G28+F29</f>
        <v>0.0</v>
      </c>
      <c r="H29" s="7">
        <f>IF(AND(Parameters!$F$5=1,Parameters!$F$26=1),SUMPRODUCT(--($A$5:A29&lt;A29),--(MOD(A29-$A$5:A29,Parameters!$F$28)=0),$F$5:F29,POWER(Parameters!$F$27,IF(A29-$A$5:A29=0,1,A29-$A$5:A29))),0)</f>
        <v>0.0</v>
      </c>
      <c r="I29" s="7">
        <f>Parameters!$F$23*I28+B29*Parameters!$F$22</f>
        <v>0.0</v>
      </c>
      <c r="J29" s="7">
        <f>E29*Parameters!$F$14*(1-Parameters!$F$15)</f>
        <v>6783.873903699753</v>
      </c>
      <c r="K29" s="7">
        <f>H29*Parameters!$F$29</f>
        <v>0.0</v>
      </c>
      <c r="L29" s="7">
        <f>I29*Parameters!$F$24</f>
        <v>0.0</v>
      </c>
      <c r="M29" s="7">
        <f>J29+K29+L29</f>
        <v>6783.873903699753</v>
      </c>
      <c r="N29" s="7">
        <f>C29*Parameters!$F$17+D29*Parameters!$F$18+E29*Parameters!$F$16+I29*Parameters!$F$25+G29*Parameters!$F$30</f>
        <v>1494.3331602205571</v>
      </c>
      <c r="O29" s="7">
        <f>B29*Parameters!$F$19</f>
        <v>4000</v>
      </c>
      <c r="P29" s="7">
        <f>M29-N29-O29</f>
        <v>1289.540743479196</v>
      </c>
      <c r="Q29" s="7">
        <f>Parameters!$F$21</f>
        <v>1000</v>
      </c>
      <c r="R29" s="7">
        <f>P29-Q29</f>
        <v>289.54074347919595</v>
      </c>
      <c r="S29" s="7">
        <f>IF(A29&lt;1+Parameters!$F$31,0,INDEX($M$5:$M$40,A29-Parameters!$F$31))</f>
        <v>6783.158199582989</v>
      </c>
      <c r="T29" s="7">
        <f>T28+M29-S29</f>
        <v>6783.873903699753</v>
      </c>
      <c r="U29" s="7">
        <f>S29-N29-O29-Q29</f>
        <v>288.8250393624321</v>
      </c>
      <c r="V29" s="7">
        <f>V28+U29</f>
        <v>-11107.931300902572</v>
      </c>
      <c r="W29" s="7">
        <f>(1-Parameters!$F$7)*(C29-E29)+(1-Parameters!$F$8)*(D29+E29)</f>
        <v>996.2221068137045</v>
      </c>
      <c r="X29" s="7">
        <f>Parameters!$F$7*(C29-E29)+Parameters!$F$8*Parameters!$F$9*(D29+E29)</f>
        <v>2570.731163507275</v>
      </c>
      <c r="Y29" s="7">
        <f>Parameters!$F$8*(1-Parameters!$F$9)*(D29+E29)</f>
        <v>1414.1572637475438</v>
      </c>
      <c r="Z29" s="7">
        <f>POWER(1/(1+Parameters!$F$32),A29-1)*(M29-N29)</f>
        <v>4165.863119191902</v>
      </c>
    </row>
    <row r="30" spans="1:26">
      <c r="A30" s="7">
        <v>26</v>
      </c>
      <c r="B30" s="7">
        <f>Parameters!$F$20</f>
        <v>1000</v>
      </c>
      <c r="C30" s="7">
        <f>X29+B30</f>
        <v>3570.731163507275</v>
      </c>
      <c r="D30" s="7">
        <f>Y29</f>
        <v>1414.157263747544</v>
      </c>
      <c r="E30" s="7">
        <f>Parameters!$F$6*C30</f>
        <v>357.0731163507275</v>
      </c>
      <c r="F30" s="7">
        <f>IF(Parameters!$F$5=1,E30,0)</f>
        <v>0.0</v>
      </c>
      <c r="G30" s="7">
        <f>Parameters!$F$27*G29+F30</f>
        <v>0.0</v>
      </c>
      <c r="H30" s="7">
        <f>IF(AND(Parameters!$F$5=1,Parameters!$F$26=1),SUMPRODUCT(--($A$5:A30&lt;A30),--(MOD(A30-$A$5:A30,Parameters!$F$28)=0),$F$5:F30,POWER(Parameters!$F$27,IF(A30-$A$5:A30=0,1,A30-$A$5:A30))),0)</f>
        <v>0.0</v>
      </c>
      <c r="I30" s="7">
        <f>Parameters!$F$23*I29+B30*Parameters!$F$22</f>
        <v>0.0</v>
      </c>
      <c r="J30" s="7">
        <f>E30*Parameters!$F$14*(1-Parameters!$F$15)</f>
        <v>6784.389210663822</v>
      </c>
      <c r="K30" s="7">
        <f>H30*Parameters!$F$29</f>
        <v>0.0</v>
      </c>
      <c r="L30" s="7">
        <f>I30*Parameters!$F$24</f>
        <v>0.0</v>
      </c>
      <c r="M30" s="7">
        <f>J30+K30+L30</f>
        <v>6784.389210663822</v>
      </c>
      <c r="N30" s="7">
        <f>C30*Parameters!$F$17+D30*Parameters!$F$18+E30*Parameters!$F$16+I30*Parameters!$F$25+G30*Parameters!$F$30</f>
        <v>1495.466528176446</v>
      </c>
      <c r="O30" s="7">
        <f>B30*Parameters!$F$19</f>
        <v>4000</v>
      </c>
      <c r="P30" s="7">
        <f>M30-N30-O30</f>
        <v>1288.9226824873767</v>
      </c>
      <c r="Q30" s="7">
        <f>Parameters!$F$21</f>
        <v>1000</v>
      </c>
      <c r="R30" s="7">
        <f>P30-Q30</f>
        <v>288.92268248737673</v>
      </c>
      <c r="S30" s="7">
        <f>IF(A30&lt;1+Parameters!$F$31,0,INDEX($M$5:$M$40,A30-Parameters!$F$31))</f>
        <v>6783.873903699753</v>
      </c>
      <c r="T30" s="7">
        <f>T29+M30-S30</f>
        <v>6784.389210663822</v>
      </c>
      <c r="U30" s="7">
        <f>S30-N30-O30-Q30</f>
        <v>288.40737552330756</v>
      </c>
      <c r="V30" s="7">
        <f>V29+U30</f>
        <v>-10819.523925379264</v>
      </c>
      <c r="W30" s="7">
        <f>(1-Parameters!$F$7)*(C30-E30)+(1-Parameters!$F$8)*(D30+E30)</f>
        <v>996.9776854509637</v>
      </c>
      <c r="X30" s="7">
        <f>Parameters!$F$7*(C30-E30)+Parameters!$F$8*Parameters!$F$9*(D30+E30)</f>
        <v>2570.9264377252384</v>
      </c>
      <c r="Y30" s="7">
        <f>Parameters!$F$8*(1-Parameters!$F$9)*(D30+E30)</f>
        <v>1416.9843040786172</v>
      </c>
      <c r="Z30" s="7">
        <f>POWER(1/(1+Parameters!$F$32),A30-1)*(M30-N30)</f>
        <v>4124.1350052376865</v>
      </c>
    </row>
    <row r="31" spans="1:26">
      <c r="A31" s="7">
        <v>27</v>
      </c>
      <c r="B31" s="7">
        <f>Parameters!$F$20</f>
        <v>1000</v>
      </c>
      <c r="C31" s="7">
        <f>X30+B31</f>
        <v>3570.9264377252384</v>
      </c>
      <c r="D31" s="7">
        <f>Y30</f>
        <v>1416.9843040786172</v>
      </c>
      <c r="E31" s="7">
        <f>Parameters!$F$6*C31</f>
        <v>357.09264377252384</v>
      </c>
      <c r="F31" s="7">
        <f>IF(Parameters!$F$5=1,E31,0)</f>
        <v>0.0</v>
      </c>
      <c r="G31" s="7">
        <f>Parameters!$F$27*G30+F31</f>
        <v>0.0</v>
      </c>
      <c r="H31" s="7">
        <f>IF(AND(Parameters!$F$5=1,Parameters!$F$26=1),SUMPRODUCT(--($A$5:A31&lt;A31),--(MOD(A31-$A$5:A31,Parameters!$F$28)=0),$F$5:F31,POWER(Parameters!$F$27,IF(A31-$A$5:A31=0,1,A31-$A$5:A31))),0)</f>
        <v>0.0</v>
      </c>
      <c r="I31" s="7">
        <f>Parameters!$F$23*I30+B31*Parameters!$F$22</f>
        <v>0.0</v>
      </c>
      <c r="J31" s="7">
        <f>E31*Parameters!$F$14*(1-Parameters!$F$15)</f>
        <v>6784.760231677953</v>
      </c>
      <c r="K31" s="7">
        <f>H31*Parameters!$F$29</f>
        <v>0.0</v>
      </c>
      <c r="L31" s="7">
        <f>I31*Parameters!$F$24</f>
        <v>0.0</v>
      </c>
      <c r="M31" s="7">
        <f>J31+K31+L31</f>
        <v>6784.760231677953</v>
      </c>
      <c r="N31" s="7">
        <f>C31*Parameters!$F$17+D31*Parameters!$F$18+E31*Parameters!$F$16+I31*Parameters!$F$25+G31*Parameters!$F$30</f>
        <v>1496.3732225411568</v>
      </c>
      <c r="O31" s="7">
        <f>B31*Parameters!$F$19</f>
        <v>4000</v>
      </c>
      <c r="P31" s="7">
        <f>M31-N31-O31</f>
        <v>1288.3870091367962</v>
      </c>
      <c r="Q31" s="7">
        <f>Parameters!$F$21</f>
        <v>1000</v>
      </c>
      <c r="R31" s="7">
        <f>P31-Q31</f>
        <v>288.3870091367962</v>
      </c>
      <c r="S31" s="7">
        <f>IF(A31&lt;1+Parameters!$F$31,0,INDEX($M$5:$M$40,A31-Parameters!$F$31))</f>
        <v>6784.389210663822</v>
      </c>
      <c r="T31" s="7">
        <f>T30+M31-S31</f>
        <v>6784.760231677953</v>
      </c>
      <c r="U31" s="7">
        <f>S31-N31-O31-Q31</f>
        <v>288.0159881226655</v>
      </c>
      <c r="V31" s="7">
        <f>V30+U31</f>
        <v>-10531.5079372566</v>
      </c>
      <c r="W31" s="7">
        <f>(1-Parameters!$F$7)*(C31-E31)+(1-Parameters!$F$8)*(D31+E31)</f>
        <v>997.5821483607709</v>
      </c>
      <c r="X31" s="7">
        <f>Parameters!$F$7*(C31-E31)+Parameters!$F$8*Parameters!$F$9*(D31+E31)</f>
        <v>2571.067035162172</v>
      </c>
      <c r="Y31" s="7">
        <f>Parameters!$F$8*(1-Parameters!$F$9)*(D31+E31)</f>
        <v>1419.261558280913</v>
      </c>
      <c r="Z31" s="7">
        <f>POWER(1/(1+Parameters!$F$32),A31-1)*(M31-N31)</f>
        <v>4082.888419864506</v>
      </c>
    </row>
    <row r="32" spans="1:26">
      <c r="A32" s="7">
        <v>28</v>
      </c>
      <c r="B32" s="7">
        <f>Parameters!$F$20</f>
        <v>1000</v>
      </c>
      <c r="C32" s="7">
        <f>X31+B32</f>
        <v>3571.067035162172</v>
      </c>
      <c r="D32" s="7">
        <f>Y31</f>
        <v>1419.261558280913</v>
      </c>
      <c r="E32" s="7">
        <f>Parameters!$F$6*C32</f>
        <v>357.1067035162172</v>
      </c>
      <c r="F32" s="7">
        <f>IF(Parameters!$F$5=1,E32,0)</f>
        <v>0.0</v>
      </c>
      <c r="G32" s="7">
        <f>Parameters!$F$27*G31+F32</f>
        <v>0.0</v>
      </c>
      <c r="H32" s="7">
        <f>IF(AND(Parameters!$F$5=1,Parameters!$F$26=1),SUMPRODUCT(--($A$5:A32&lt;A32),--(MOD(A32-$A$5:A32,Parameters!$F$28)=0),$F$5:F32,POWER(Parameters!$F$27,IF(A32-$A$5:A32=0,1,A32-$A$5:A32))),0)</f>
        <v>0.0</v>
      </c>
      <c r="I32" s="7">
        <f>Parameters!$F$23*I31+B32*Parameters!$F$22</f>
        <v>0.0</v>
      </c>
      <c r="J32" s="7">
        <f>E32*Parameters!$F$14*(1-Parameters!$F$15)</f>
        <v>6785.027366808126</v>
      </c>
      <c r="K32" s="7">
        <f>H32*Parameters!$F$29</f>
        <v>0.0</v>
      </c>
      <c r="L32" s="7">
        <f>I32*Parameters!$F$24</f>
        <v>0.0</v>
      </c>
      <c r="M32" s="7">
        <f>J32+K32+L32</f>
        <v>6785.027366808126</v>
      </c>
      <c r="N32" s="7">
        <f>C32*Parameters!$F$17+D32*Parameters!$F$18+E32*Parameters!$F$16+I32*Parameters!$F$25+G32*Parameters!$F$30</f>
        <v>1497.0985780329256</v>
      </c>
      <c r="O32" s="7">
        <f>B32*Parameters!$F$19</f>
        <v>4000</v>
      </c>
      <c r="P32" s="7">
        <f>M32-N32-O32</f>
        <v>1287.9287887752007</v>
      </c>
      <c r="Q32" s="7">
        <f>Parameters!$F$21</f>
        <v>1000</v>
      </c>
      <c r="R32" s="7">
        <f>P32-Q32</f>
        <v>287.9287887752007</v>
      </c>
      <c r="S32" s="7">
        <f>IF(A32&lt;1+Parameters!$F$31,0,INDEX($M$5:$M$40,A32-Parameters!$F$31))</f>
        <v>6784.760231677953</v>
      </c>
      <c r="T32" s="7">
        <f>T31+M32-S32</f>
        <v>6785.027366808126</v>
      </c>
      <c r="U32" s="7">
        <f>S32-N32-O32-Q32</f>
        <v>287.6616536450274</v>
      </c>
      <c r="V32" s="7">
        <f>V31+U32</f>
        <v>-10243.846283611572</v>
      </c>
      <c r="W32" s="7">
        <f>(1-Parameters!$F$7)*(C32-E32)+(1-Parameters!$F$8)*(D32+E32)</f>
        <v>998.0657186886168</v>
      </c>
      <c r="X32" s="7">
        <f>Parameters!$F$7*(C32-E32)+Parameters!$F$8*Parameters!$F$9*(D32+E32)</f>
        <v>2571.168265316764</v>
      </c>
      <c r="Y32" s="7">
        <f>Parameters!$F$8*(1-Parameters!$F$9)*(D32+E32)</f>
        <v>1421.0946094377043</v>
      </c>
      <c r="Z32" s="7">
        <f>POWER(1/(1+Parameters!$F$32),A32-1)*(M32-N32)</f>
        <v>4042.11351660155</v>
      </c>
    </row>
    <row r="33" spans="1:26">
      <c r="A33" s="7">
        <v>29</v>
      </c>
      <c r="B33" s="7">
        <f>Parameters!$F$20</f>
        <v>1000</v>
      </c>
      <c r="C33" s="7">
        <f>X32+B33</f>
        <v>3571.168265316764</v>
      </c>
      <c r="D33" s="7">
        <f>Y32</f>
        <v>1421.094609437704</v>
      </c>
      <c r="E33" s="7">
        <f>Parameters!$F$6*C33</f>
        <v>357.1168265316764</v>
      </c>
      <c r="F33" s="7">
        <f>IF(Parameters!$F$5=1,E33,0)</f>
        <v>0.0</v>
      </c>
      <c r="G33" s="7">
        <f>Parameters!$F$27*G32+F33</f>
        <v>0.0</v>
      </c>
      <c r="H33" s="7">
        <f>IF(AND(Parameters!$F$5=1,Parameters!$F$26=1),SUMPRODUCT(--($A$5:A33&lt;A33),--(MOD(A33-$A$5:A33,Parameters!$F$28)=0),$F$5:F33,POWER(Parameters!$F$27,IF(A33-$A$5:A33=0,1,A33-$A$5:A33))),0)</f>
        <v>0.0</v>
      </c>
      <c r="I33" s="7">
        <f>Parameters!$F$23*I32+B33*Parameters!$F$22</f>
        <v>0.0</v>
      </c>
      <c r="J33" s="7">
        <f>E33*Parameters!$F$14*(1-Parameters!$F$15)</f>
        <v>6785.219704101852</v>
      </c>
      <c r="K33" s="7">
        <f>H33*Parameters!$F$29</f>
        <v>0.0</v>
      </c>
      <c r="L33" s="7">
        <f>I33*Parameters!$F$24</f>
        <v>0.0</v>
      </c>
      <c r="M33" s="7">
        <f>J33+K33+L33</f>
        <v>6785.219704101852</v>
      </c>
      <c r="N33" s="7">
        <f>C33*Parameters!$F$17+D33*Parameters!$F$18+E33*Parameters!$F$16+I33*Parameters!$F$25+G33*Parameters!$F$30</f>
        <v>1497.6788624263406</v>
      </c>
      <c r="O33" s="7">
        <f>B33*Parameters!$F$19</f>
        <v>4000</v>
      </c>
      <c r="P33" s="7">
        <f>M33-N33-O33</f>
        <v>1287.5408416755108</v>
      </c>
      <c r="Q33" s="7">
        <f>Parameters!$F$21</f>
        <v>1000</v>
      </c>
      <c r="R33" s="7">
        <f>P33-Q33</f>
        <v>287.5408416755108</v>
      </c>
      <c r="S33" s="7">
        <f>IF(A33&lt;1+Parameters!$F$31,0,INDEX($M$5:$M$40,A33-Parameters!$F$31))</f>
        <v>6785.027366808126</v>
      </c>
      <c r="T33" s="7">
        <f>T32+M33-S33</f>
        <v>6785.219704101852</v>
      </c>
      <c r="U33" s="7">
        <f>S33-N33-O33-Q33</f>
        <v>287.34850438178546</v>
      </c>
      <c r="V33" s="7">
        <f>V32+U33</f>
        <v>-9956.497779229787</v>
      </c>
      <c r="W33" s="7">
        <f>(1-Parameters!$F$7)*(C33-E33)+(1-Parameters!$F$8)*(D33+E33)</f>
        <v>998.4525749508934</v>
      </c>
      <c r="X33" s="7">
        <f>Parameters!$F$7*(C33-E33)+Parameters!$F$8*Parameters!$F$9*(D33+E33)</f>
        <v>2571.2411510280704</v>
      </c>
      <c r="Y33" s="7">
        <f>Parameters!$F$8*(1-Parameters!$F$9)*(D33+E33)</f>
        <v>1422.5691487755046</v>
      </c>
      <c r="Z33" s="7">
        <f>POWER(1/(1+Parameters!$F$32),A33-1)*(M33-N33)</f>
        <v>4001.798978530888</v>
      </c>
    </row>
    <row r="34" spans="1:26">
      <c r="A34" s="7">
        <v>30</v>
      </c>
      <c r="B34" s="7">
        <f>Parameters!$F$20</f>
        <v>1000</v>
      </c>
      <c r="C34" s="7">
        <f>X33+B34</f>
        <v>3571.2411510280704</v>
      </c>
      <c r="D34" s="7">
        <f>Y33</f>
        <v>1422.5691487755046</v>
      </c>
      <c r="E34" s="7">
        <f>Parameters!$F$6*C34</f>
        <v>357.1241151028071</v>
      </c>
      <c r="F34" s="7">
        <f>IF(Parameters!$F$5=1,E34,0)</f>
        <v>0.0</v>
      </c>
      <c r="G34" s="7">
        <f>Parameters!$F$27*G33+F34</f>
        <v>0.0</v>
      </c>
      <c r="H34" s="7">
        <f>IF(AND(Parameters!$F$5=1,Parameters!$F$26=1),SUMPRODUCT(--($A$5:A34&lt;A34),--(MOD(A34-$A$5:A34,Parameters!$F$28)=0),$F$5:F34,POWER(Parameters!$F$27,IF(A34-$A$5:A34=0,1,A34-$A$5:A34))),0)</f>
        <v>0.0</v>
      </c>
      <c r="I34" s="7">
        <f>Parameters!$F$23*I33+B34*Parameters!$F$22</f>
        <v>0.0</v>
      </c>
      <c r="J34" s="7">
        <f>E34*Parameters!$F$14*(1-Parameters!$F$15)</f>
        <v>6785.358186953335</v>
      </c>
      <c r="K34" s="7">
        <f>H34*Parameters!$F$29</f>
        <v>0.0</v>
      </c>
      <c r="L34" s="7">
        <f>I34*Parameters!$F$24</f>
        <v>0.0</v>
      </c>
      <c r="M34" s="7">
        <f>J34+K34+L34</f>
        <v>6785.358186953335</v>
      </c>
      <c r="N34" s="7">
        <f>C34*Parameters!$F$17+D34*Parameters!$F$18+E34*Parameters!$F$16+I34*Parameters!$F$25+G34*Parameters!$F$30</f>
        <v>1498.1430899410725</v>
      </c>
      <c r="O34" s="7">
        <f>B34*Parameters!$F$19</f>
        <v>4000</v>
      </c>
      <c r="P34" s="7">
        <f>M34-N34-O34</f>
        <v>1287.215097012262</v>
      </c>
      <c r="Q34" s="7">
        <f>Parameters!$F$21</f>
        <v>1000</v>
      </c>
      <c r="R34" s="7">
        <f>P34-Q34</f>
        <v>287.21509701226205</v>
      </c>
      <c r="S34" s="7">
        <f>IF(A34&lt;1+Parameters!$F$31,0,INDEX($M$5:$M$40,A34-Parameters!$F$31))</f>
        <v>6785.219704101852</v>
      </c>
      <c r="T34" s="7">
        <f>T33+M34-S34</f>
        <v>6785.358186953335</v>
      </c>
      <c r="U34" s="7">
        <f>S34-N34-O34-Q34</f>
        <v>287.0766141607792</v>
      </c>
      <c r="V34" s="7">
        <f>V33+U34</f>
        <v>-9669.421165069009</v>
      </c>
      <c r="W34" s="7">
        <f>(1-Parameters!$F$7)*(C34-E34)+(1-Parameters!$F$8)*(D34+E34)</f>
        <v>998.7620599607149</v>
      </c>
      <c r="X34" s="7">
        <f>Parameters!$F$7*(C34-E34)+Parameters!$F$8*Parameters!$F$9*(D34+E34)</f>
        <v>2571.293628740211</v>
      </c>
      <c r="Y34" s="7">
        <f>Parameters!$F$8*(1-Parameters!$F$9)*(D34+E34)</f>
        <v>1423.7546111026495</v>
      </c>
      <c r="Z34" s="7">
        <f>POWER(1/(1+Parameters!$F$32),A34-1)*(M34-N34)</f>
        <v>3961.9331122609046</v>
      </c>
    </row>
    <row r="35" spans="1:26">
      <c r="A35" s="7">
        <v>31</v>
      </c>
      <c r="B35" s="7">
        <f>Parameters!$F$20</f>
        <v>1000</v>
      </c>
      <c r="C35" s="7">
        <f>X34+B35</f>
        <v>3571.2936287402113</v>
      </c>
      <c r="D35" s="7">
        <f>Y34</f>
        <v>1423.7546111026493</v>
      </c>
      <c r="E35" s="7">
        <f>Parameters!$F$6*C35</f>
        <v>357.1293628740211</v>
      </c>
      <c r="F35" s="7">
        <f>IF(Parameters!$F$5=1,E35,0)</f>
        <v>0.0</v>
      </c>
      <c r="G35" s="7">
        <f>Parameters!$F$27*G34+F35</f>
        <v>0.0</v>
      </c>
      <c r="H35" s="7">
        <f>IF(AND(Parameters!$F$5=1,Parameters!$F$26=1),SUMPRODUCT(--($A$5:A35&lt;A35),--(MOD(A35-$A$5:A35,Parameters!$F$28)=0),$F$5:F35,POWER(Parameters!$F$27,IF(A35-$A$5:A35=0,1,A35-$A$5:A35))),0)</f>
        <v>0.0</v>
      </c>
      <c r="I35" s="7">
        <f>Parameters!$F$23*I34+B35*Parameters!$F$22</f>
        <v>0.0</v>
      </c>
      <c r="J35" s="7">
        <f>E35*Parameters!$F$14*(1-Parameters!$F$15)</f>
        <v>6785.457894606401</v>
      </c>
      <c r="K35" s="7">
        <f>H35*Parameters!$F$29</f>
        <v>0.0</v>
      </c>
      <c r="L35" s="7">
        <f>I35*Parameters!$F$24</f>
        <v>0.0</v>
      </c>
      <c r="M35" s="7">
        <f>J35+K35+L35</f>
        <v>6785.457894606401</v>
      </c>
      <c r="N35" s="7">
        <f>C35*Parameters!$F$17+D35*Parameters!$F$18+E35*Parameters!$F$16+I35*Parameters!$F$25+G35*Parameters!$F$30</f>
        <v>1498.5144719528582</v>
      </c>
      <c r="O35" s="7">
        <f>B35*Parameters!$F$19</f>
        <v>4000</v>
      </c>
      <c r="P35" s="7">
        <f>M35-N35-O35</f>
        <v>1286.9434226535432</v>
      </c>
      <c r="Q35" s="7">
        <f>Parameters!$F$21</f>
        <v>1000</v>
      </c>
      <c r="R35" s="7">
        <f>P35-Q35</f>
        <v>286.94342265354317</v>
      </c>
      <c r="S35" s="7">
        <f>IF(A35&lt;1+Parameters!$F$31,0,INDEX($M$5:$M$40,A35-Parameters!$F$31))</f>
        <v>6785.358186953335</v>
      </c>
      <c r="T35" s="7">
        <f>T34+M35-S35</f>
        <v>6785.457894606401</v>
      </c>
      <c r="U35" s="7">
        <f>S35-N35-O35-Q35</f>
        <v>286.84371500047655</v>
      </c>
      <c r="V35" s="7">
        <f>V34+U35</f>
        <v>-9382.577450068533</v>
      </c>
      <c r="W35" s="7">
        <f>(1-Parameters!$F$7)*(C35-E35)+(1-Parameters!$F$8)*(D35+E35)</f>
        <v>999.0096479685719</v>
      </c>
      <c r="X35" s="7">
        <f>Parameters!$F$7*(C35-E35)+Parameters!$F$8*Parameters!$F$9*(D35+E35)</f>
        <v>2571.3314126929527</v>
      </c>
      <c r="Y35" s="7">
        <f>Parameters!$F$8*(1-Parameters!$F$9)*(D35+E35)</f>
        <v>1424.7071791813364</v>
      </c>
      <c r="Z35" s="7">
        <f>POWER(1/(1+Parameters!$F$32),A35-1)*(M35-N35)</f>
        <v>3922.504490310561</v>
      </c>
    </row>
    <row r="36" spans="1:26">
      <c r="A36" s="7">
        <v>32</v>
      </c>
      <c r="B36" s="7">
        <f>Parameters!$F$20</f>
        <v>1000</v>
      </c>
      <c r="C36" s="7">
        <f>X35+B36</f>
        <v>3571.331412692952</v>
      </c>
      <c r="D36" s="7">
        <f>Y35</f>
        <v>1424.7071791813364</v>
      </c>
      <c r="E36" s="7">
        <f>Parameters!$F$6*C36</f>
        <v>357.13314126929527</v>
      </c>
      <c r="F36" s="7">
        <f>IF(Parameters!$F$5=1,E36,0)</f>
        <v>0.0</v>
      </c>
      <c r="G36" s="7">
        <f>Parameters!$F$27*G35+F36</f>
        <v>0.0</v>
      </c>
      <c r="H36" s="7">
        <f>IF(AND(Parameters!$F$5=1,Parameters!$F$26=1),SUMPRODUCT(--($A$5:A36&lt;A36),--(MOD(A36-$A$5:A36,Parameters!$F$28)=0),$F$5:F36,POWER(Parameters!$F$27,IF(A36-$A$5:A36=0,1,A36-$A$5:A36))),0)</f>
        <v>0.0</v>
      </c>
      <c r="I36" s="7">
        <f>Parameters!$F$23*I35+B36*Parameters!$F$22</f>
        <v>0.0</v>
      </c>
      <c r="J36" s="7">
        <f>E36*Parameters!$F$14*(1-Parameters!$F$15)</f>
        <v>6785.52968411661</v>
      </c>
      <c r="K36" s="7">
        <f>H36*Parameters!$F$29</f>
        <v>0.0</v>
      </c>
      <c r="L36" s="7">
        <f>I36*Parameters!$F$24</f>
        <v>0.0</v>
      </c>
      <c r="M36" s="7">
        <f>J36+K36+L36</f>
        <v>6785.52968411661</v>
      </c>
      <c r="N36" s="7">
        <f>C36*Parameters!$F$17+D36*Parameters!$F$18+E36*Parameters!$F$16+I36*Parameters!$F$25+G36*Parameters!$F$30</f>
        <v>1498.8115775622866</v>
      </c>
      <c r="O36" s="7">
        <f>B36*Parameters!$F$19</f>
        <v>4000</v>
      </c>
      <c r="P36" s="7">
        <f>M36-N36-O36</f>
        <v>1286.7181065543236</v>
      </c>
      <c r="Q36" s="7">
        <f>Parameters!$F$21</f>
        <v>1000</v>
      </c>
      <c r="R36" s="7">
        <f>P36-Q36</f>
        <v>286.71810655432364</v>
      </c>
      <c r="S36" s="7">
        <f>IF(A36&lt;1+Parameters!$F$31,0,INDEX($M$5:$M$40,A36-Parameters!$F$31))</f>
        <v>6785.457894606401</v>
      </c>
      <c r="T36" s="7">
        <f>T35+M36-S36</f>
        <v>6785.52968411661</v>
      </c>
      <c r="U36" s="7">
        <f>S36-N36-O36-Q36</f>
        <v>286.64631704411477</v>
      </c>
      <c r="V36" s="7">
        <f>V35+U36</f>
        <v>-9095.931133024418</v>
      </c>
      <c r="W36" s="7">
        <f>(1-Parameters!$F$7)*(C36-E36)+(1-Parameters!$F$8)*(D36+E36)</f>
        <v>999.2077183748576</v>
      </c>
      <c r="X36" s="7">
        <f>Parameters!$F$7*(C36-E36)+Parameters!$F$8*Parameters!$F$9*(D36+E36)</f>
        <v>2571.3586171389256</v>
      </c>
      <c r="Y36" s="7">
        <f>Parameters!$F$8*(1-Parameters!$F$9)*(D36+E36)</f>
        <v>1425.4722563605055</v>
      </c>
      <c r="Z36" s="7">
        <f>POWER(1/(1+Parameters!$F$32),A36-1)*(M36-N36)</f>
        <v>3883.502300131489</v>
      </c>
    </row>
    <row r="37" spans="1:26">
      <c r="A37" s="7">
        <v>33</v>
      </c>
      <c r="B37" s="7">
        <f>Parameters!$F$20</f>
        <v>1000</v>
      </c>
      <c r="C37" s="7">
        <f>X36+B37</f>
        <v>3571.358617138926</v>
      </c>
      <c r="D37" s="7">
        <f>Y36</f>
        <v>1425.4722563605055</v>
      </c>
      <c r="E37" s="7">
        <f>Parameters!$F$6*C37</f>
        <v>357.1358617138926</v>
      </c>
      <c r="F37" s="7">
        <f>IF(Parameters!$F$5=1,E37,0)</f>
        <v>0.0</v>
      </c>
      <c r="G37" s="7">
        <f>Parameters!$F$27*G36+F37</f>
        <v>0.0</v>
      </c>
      <c r="H37" s="7">
        <f>IF(AND(Parameters!$F$5=1,Parameters!$F$26=1),SUMPRODUCT(--($A$5:A37&lt;A37),--(MOD(A37-$A$5:A37,Parameters!$F$28)=0),$F$5:F37,POWER(Parameters!$F$27,IF(A37-$A$5:A37=0,1,A37-$A$5:A37))),0)</f>
        <v>0.0</v>
      </c>
      <c r="I37" s="7">
        <f>Parameters!$F$23*I36+B37*Parameters!$F$22</f>
        <v>0.0</v>
      </c>
      <c r="J37" s="7">
        <f>E37*Parameters!$F$14*(1-Parameters!$F$15)</f>
        <v>6785.581372563959</v>
      </c>
      <c r="K37" s="7">
        <f>H37*Parameters!$F$29</f>
        <v>0.0</v>
      </c>
      <c r="L37" s="7">
        <f>I37*Parameters!$F$24</f>
        <v>0.0</v>
      </c>
      <c r="M37" s="7">
        <f>J37+K37+L37</f>
        <v>6785.581372563959</v>
      </c>
      <c r="N37" s="7">
        <f>C37*Parameters!$F$17+D37*Parameters!$F$18+E37*Parameters!$F$16+I37*Parameters!$F$25+G37*Parameters!$F$30</f>
        <v>1499.0492620498294</v>
      </c>
      <c r="O37" s="7">
        <f>B37*Parameters!$F$19</f>
        <v>4000</v>
      </c>
      <c r="P37" s="7">
        <f>M37-N37-O37</f>
        <v>1286.5321105141302</v>
      </c>
      <c r="Q37" s="7">
        <f>Parameters!$F$21</f>
        <v>1000</v>
      </c>
      <c r="R37" s="7">
        <f>P37-Q37</f>
        <v>286.5321105141302</v>
      </c>
      <c r="S37" s="7">
        <f>IF(A37&lt;1+Parameters!$F$31,0,INDEX($M$5:$M$40,A37-Parameters!$F$31))</f>
        <v>6785.52968411661</v>
      </c>
      <c r="T37" s="7">
        <f>T36+M37-S37</f>
        <v>6785.581372563959</v>
      </c>
      <c r="U37" s="7">
        <f>S37-N37-O37-Q37</f>
        <v>286.4804220667811</v>
      </c>
      <c r="V37" s="7">
        <f>V36+U37</f>
        <v>-8809.450710957637</v>
      </c>
      <c r="W37" s="7">
        <f>(1-Parameters!$F$7)*(C37-E37)+(1-Parameters!$F$8)*(D37+E37)</f>
        <v>999.3661746998861</v>
      </c>
      <c r="X37" s="7">
        <f>Parameters!$F$7*(C37-E37)+Parameters!$F$8*Parameters!$F$9*(D37+E37)</f>
        <v>2571.378204340027</v>
      </c>
      <c r="Y37" s="7">
        <f>Parameters!$F$8*(1-Parameters!$F$9)*(D37+E37)</f>
        <v>1426.0864944595187</v>
      </c>
      <c r="Z37" s="7">
        <f>POWER(1/(1+Parameters!$F$32),A37-1)*(M37-N37)</f>
        <v>3844.916506624808</v>
      </c>
    </row>
    <row r="38" spans="1:26">
      <c r="A38" s="7">
        <v>34</v>
      </c>
      <c r="B38" s="7">
        <f>Parameters!$F$20</f>
        <v>1000</v>
      </c>
      <c r="C38" s="7">
        <f>X37+B38</f>
        <v>3571.378204340027</v>
      </c>
      <c r="D38" s="7">
        <f>Y37</f>
        <v>1426.0864944595185</v>
      </c>
      <c r="E38" s="7">
        <f>Parameters!$F$6*C38</f>
        <v>357.1378204340027</v>
      </c>
      <c r="F38" s="7">
        <f>IF(Parameters!$F$5=1,E38,0)</f>
        <v>0.0</v>
      </c>
      <c r="G38" s="7">
        <f>Parameters!$F$27*G37+F38</f>
        <v>0.0</v>
      </c>
      <c r="H38" s="7">
        <f>IF(AND(Parameters!$F$5=1,Parameters!$F$26=1),SUMPRODUCT(--($A$5:A38&lt;A38),--(MOD(A38-$A$5:A38,Parameters!$F$28)=0),$F$5:F38,POWER(Parameters!$F$27,IF(A38-$A$5:A38=0,1,A38-$A$5:A38))),0)</f>
        <v>0.0</v>
      </c>
      <c r="I38" s="7">
        <f>Parameters!$F$23*I37+B38*Parameters!$F$22</f>
        <v>0.0</v>
      </c>
      <c r="J38" s="7">
        <f>E38*Parameters!$F$14*(1-Parameters!$F$15)</f>
        <v>6785.618588246051</v>
      </c>
      <c r="K38" s="7">
        <f>H38*Parameters!$F$29</f>
        <v>0.0</v>
      </c>
      <c r="L38" s="7">
        <f>I38*Parameters!$F$24</f>
        <v>0.0</v>
      </c>
      <c r="M38" s="7">
        <f>J38+K38+L38</f>
        <v>6785.618588246051</v>
      </c>
      <c r="N38" s="7">
        <f>C38*Parameters!$F$17+D38*Parameters!$F$18+E38*Parameters!$F$16+I38*Parameters!$F$25+G38*Parameters!$F$30</f>
        <v>1499.2394096398639</v>
      </c>
      <c r="O38" s="7">
        <f>B38*Parameters!$F$19</f>
        <v>4000</v>
      </c>
      <c r="P38" s="7">
        <f>M38-N38-O38</f>
        <v>1286.3791786061875</v>
      </c>
      <c r="Q38" s="7">
        <f>Parameters!$F$21</f>
        <v>1000</v>
      </c>
      <c r="R38" s="7">
        <f>P38-Q38</f>
        <v>286.37917860618745</v>
      </c>
      <c r="S38" s="7">
        <f>IF(A38&lt;1+Parameters!$F$31,0,INDEX($M$5:$M$40,A38-Parameters!$F$31))</f>
        <v>6785.581372563959</v>
      </c>
      <c r="T38" s="7">
        <f>T37+M38-S38</f>
        <v>6785.618588246051</v>
      </c>
      <c r="U38" s="7">
        <f>S38-N38-O38-Q38</f>
        <v>286.34196292409524</v>
      </c>
      <c r="V38" s="7">
        <f>V37+U38</f>
        <v>-8523.10874803354</v>
      </c>
      <c r="W38" s="7">
        <f>(1-Parameters!$F$7)*(C38-E38)+(1-Parameters!$F$8)*(D38+E38)</f>
        <v>999.492939759909</v>
      </c>
      <c r="X38" s="7">
        <f>Parameters!$F$7*(C38-E38)+Parameters!$F$8*Parameters!$F$9*(D38+E38)</f>
        <v>2571.3923071248196</v>
      </c>
      <c r="Y38" s="7">
        <f>Parameters!$F$8*(1-Parameters!$F$9)*(D38+E38)</f>
        <v>1426.5794519148171</v>
      </c>
      <c r="Z38" s="7">
        <f>POWER(1/(1+Parameters!$F$32),A38-1)*(M38-N38)</f>
        <v>3806.7378996240936</v>
      </c>
    </row>
    <row r="39" spans="1:26">
      <c r="A39" s="7">
        <v>35</v>
      </c>
      <c r="B39" s="7">
        <f>Parameters!$F$20</f>
        <v>1000</v>
      </c>
      <c r="C39" s="7">
        <f>X38+B39</f>
        <v>3571.3923071248196</v>
      </c>
      <c r="D39" s="7">
        <f>Y38</f>
        <v>1426.5794519148171</v>
      </c>
      <c r="E39" s="7">
        <f>Parameters!$F$6*C39</f>
        <v>357.139230712482</v>
      </c>
      <c r="F39" s="7">
        <f>IF(Parameters!$F$5=1,E39,0)</f>
        <v>0.0</v>
      </c>
      <c r="G39" s="7">
        <f>Parameters!$F$27*G38+F39</f>
        <v>0.0</v>
      </c>
      <c r="H39" s="7">
        <f>IF(AND(Parameters!$F$5=1,Parameters!$F$26=1),SUMPRODUCT(--($A$5:A39&lt;A39),--(MOD(A39-$A$5:A39,Parameters!$F$28)=0),$F$5:F39,POWER(Parameters!$F$27,IF(A39-$A$5:A39=0,1,A39-$A$5:A39))),0)</f>
        <v>0.0</v>
      </c>
      <c r="I39" s="7">
        <f>Parameters!$F$23*I38+B39*Parameters!$F$22</f>
        <v>0.0</v>
      </c>
      <c r="J39" s="7">
        <f>E39*Parameters!$F$14*(1-Parameters!$F$15)</f>
        <v>6785.645383537158</v>
      </c>
      <c r="K39" s="7">
        <f>H39*Parameters!$F$29</f>
        <v>0.0</v>
      </c>
      <c r="L39" s="7">
        <f>I39*Parameters!$F$24</f>
        <v>0.0</v>
      </c>
      <c r="M39" s="7">
        <f>J39+K39+L39</f>
        <v>6785.645383537158</v>
      </c>
      <c r="N39" s="7">
        <f>C39*Parameters!$F$17+D39*Parameters!$F$18+E39*Parameters!$F$16+I39*Parameters!$F$25+G39*Parameters!$F$30</f>
        <v>1499.391527711891</v>
      </c>
      <c r="O39" s="7">
        <f>B39*Parameters!$F$19</f>
        <v>4000</v>
      </c>
      <c r="P39" s="7">
        <f>M39-N39-O39</f>
        <v>1286.2538558252663</v>
      </c>
      <c r="Q39" s="7">
        <f>Parameters!$F$21</f>
        <v>1000</v>
      </c>
      <c r="R39" s="7">
        <f>P39-Q39</f>
        <v>286.2538558252663</v>
      </c>
      <c r="S39" s="7">
        <f>IF(A39&lt;1+Parameters!$F$31,0,INDEX($M$5:$M$40,A39-Parameters!$F$31))</f>
        <v>6785.618588246051</v>
      </c>
      <c r="T39" s="7">
        <f>T38+M39-S39</f>
        <v>6785.645383537158</v>
      </c>
      <c r="U39" s="7">
        <f>S39-N39-O39-Q39</f>
        <v>286.22706053416005</v>
      </c>
      <c r="V39" s="7">
        <f>V38+U39</f>
        <v>-8236.88168749938</v>
      </c>
      <c r="W39" s="7">
        <f>(1-Parameters!$F$7)*(C39-E39)+(1-Parameters!$F$8)*(D39+E39)</f>
        <v>999.5943518079272</v>
      </c>
      <c r="X39" s="7">
        <f>Parameters!$F$7*(C39-E39)+Parameters!$F$8*Parameters!$F$9*(D39+E39)</f>
        <v>2571.40246112987</v>
      </c>
      <c r="Y39" s="7">
        <f>Parameters!$F$8*(1-Parameters!$F$9)*(D39+E39)</f>
        <v>1426.9749461018394</v>
      </c>
      <c r="Z39" s="7">
        <f>POWER(1/(1+Parameters!$F$32),A39-1)*(M39-N39)</f>
        <v>3768.958073568558</v>
      </c>
    </row>
    <row r="40" spans="1:26">
      <c r="A40" s="7">
        <v>36</v>
      </c>
      <c r="B40" s="7">
        <f>Parameters!$F$20</f>
        <v>1000</v>
      </c>
      <c r="C40" s="7">
        <f>X39+B40</f>
        <v>3571.4024611298705</v>
      </c>
      <c r="D40" s="7">
        <f>Y39</f>
        <v>1426.9749461018394</v>
      </c>
      <c r="E40" s="7">
        <f>Parameters!$F$6*C40</f>
        <v>357.1402461129871</v>
      </c>
      <c r="F40" s="7">
        <f>IF(Parameters!$F$5=1,E40,0)</f>
        <v>0.0</v>
      </c>
      <c r="G40" s="7">
        <f>Parameters!$F$27*G39+F40</f>
        <v>0.0</v>
      </c>
      <c r="H40" s="7">
        <f>IF(AND(Parameters!$F$5=1,Parameters!$F$26=1),SUMPRODUCT(--($A$5:A40&lt;A40),--(MOD(A40-$A$5:A40,Parameters!$F$28)=0),$F$5:F40,POWER(Parameters!$F$27,IF(A40-$A$5:A40=0,1,A40-$A$5:A40))),0)</f>
        <v>0.0</v>
      </c>
      <c r="I40" s="7">
        <f>Parameters!$F$23*I39+B40*Parameters!$F$22</f>
        <v>0.0</v>
      </c>
      <c r="J40" s="7">
        <f>E40*Parameters!$F$14*(1-Parameters!$F$15)</f>
        <v>6785.664676146755</v>
      </c>
      <c r="K40" s="7">
        <f>H40*Parameters!$F$29</f>
        <v>0.0</v>
      </c>
      <c r="L40" s="7">
        <f>I40*Parameters!$F$24</f>
        <v>0.0</v>
      </c>
      <c r="M40" s="7">
        <f>J40+K40+L40</f>
        <v>6785.664676146755</v>
      </c>
      <c r="N40" s="7">
        <f>C40*Parameters!$F$17+D40*Parameters!$F$18+E40*Parameters!$F$16+I40*Parameters!$F$25+G40*Parameters!$F$30</f>
        <v>1499.513222169513</v>
      </c>
      <c r="O40" s="7">
        <f>B40*Parameters!$F$19</f>
        <v>4000</v>
      </c>
      <c r="P40" s="7">
        <f>M40-N40-O40</f>
        <v>1286.1514539772415</v>
      </c>
      <c r="Q40" s="7">
        <f>Parameters!$F$21</f>
        <v>1000</v>
      </c>
      <c r="R40" s="7">
        <f>P40-Q40</f>
        <v>286.15145397724154</v>
      </c>
      <c r="S40" s="7">
        <f>IF(A40&lt;1+Parameters!$F$31,0,INDEX($M$5:$M$40,A40-Parameters!$F$31))</f>
        <v>6785.645383537158</v>
      </c>
      <c r="T40" s="7">
        <f>T39+M40-S40</f>
        <v>6785.664676146755</v>
      </c>
      <c r="U40" s="7">
        <f>S40-N40-O40-Q40</f>
        <v>286.1321613676446</v>
      </c>
      <c r="V40" s="7">
        <f>V39+U40</f>
        <v>-7950.749526131736</v>
      </c>
      <c r="W40" s="7">
        <f>(1-Parameters!$F$7)*(C40-E40)+(1-Parameters!$F$8)*(D40+E40)</f>
        <v>999.6754814463418</v>
      </c>
      <c r="X40" s="7">
        <f>Parameters!$F$7*(C40-E40)+Parameters!$F$8*Parameters!$F$9*(D40+E40)</f>
        <v>2571.409772013507</v>
      </c>
      <c r="Y40" s="7">
        <f>Parameters!$F$8*(1-Parameters!$F$9)*(D40+E40)</f>
        <v>1427.2921537718612</v>
      </c>
      <c r="Z40" s="7">
        <f>POWER(1/(1+Parameters!$F$32),A40-1)*(M40-N40)</f>
        <v>3731.5693700800352</v>
      </c>
    </row>
    <row r="43" spans="1:26">
      <c r="A43" s="1" t="s">
        <v>185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160</v>
      </c>
      <c r="B44" s="4" t="s">
        <v>161</v>
      </c>
      <c r="C44" s="4" t="s">
        <v>162</v>
      </c>
      <c r="D44" s="4" t="s">
        <v>163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4" t="s">
        <v>169</v>
      </c>
      <c r="K44" s="4" t="s">
        <v>170</v>
      </c>
      <c r="L44" s="4" t="s">
        <v>171</v>
      </c>
      <c r="M44" s="4" t="s">
        <v>172</v>
      </c>
      <c r="N44" s="4" t="s">
        <v>173</v>
      </c>
      <c r="O44" s="4" t="s">
        <v>95</v>
      </c>
      <c r="P44" s="4" t="s">
        <v>174</v>
      </c>
      <c r="Q44" s="4" t="s">
        <v>175</v>
      </c>
      <c r="R44" s="4" t="s">
        <v>176</v>
      </c>
      <c r="S44" s="4" t="s">
        <v>177</v>
      </c>
      <c r="T44" s="4" t="s">
        <v>178</v>
      </c>
      <c r="U44" s="4" t="s">
        <v>179</v>
      </c>
      <c r="V44" s="4" t="s">
        <v>180</v>
      </c>
      <c r="W44" s="4" t="s">
        <v>181</v>
      </c>
      <c r="X44" s="4" t="s">
        <v>182</v>
      </c>
      <c r="Y44" s="4" t="s">
        <v>183</v>
      </c>
      <c r="Z44" s="4" t="s">
        <v>184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Parameters!$F$6*C45</f>
        <v>0.1</v>
      </c>
      <c r="F45" s="7">
        <f>IF(Parameters!$F$5=1,E45,0)</f>
        <v>0.0</v>
      </c>
      <c r="G45" s="7">
        <f>F45</f>
        <v>0.0</v>
      </c>
      <c r="H45" s="7">
        <f>IF(AND(Parameters!$F$5=1,Parameters!$F$26=1),SUMPRODUCT(--($A$45:A45&lt;A45),--(MOD(A45-$A$45:A45,Parameters!$F$28)=0),$F$45:F45,POWER(Parameters!$F$27,IF(A45-$A$45:A45=0,1,A45-$A$45:A45))),0)</f>
        <v>0.0</v>
      </c>
      <c r="I45" s="7">
        <f>B45*Parameters!$F$22</f>
        <v>0.0</v>
      </c>
      <c r="J45" s="7">
        <f>E45*Parameters!$F$14*(1-Parameters!$F$15)</f>
        <v>1.9</v>
      </c>
      <c r="K45" s="7">
        <f>H45*Parameters!$F$29</f>
        <v>0.0</v>
      </c>
      <c r="L45" s="7">
        <f>I45*Parameters!$F$24</f>
        <v>0.0</v>
      </c>
      <c r="M45" s="7">
        <f>J45+K45+L45</f>
        <v>1.9</v>
      </c>
      <c r="N45" s="7">
        <f>C45*Parameters!$F$17+D45*Parameters!$F$18+E45*Parameters!$F$16+I45*Parameters!$F$25+G45*Parameters!$F$30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IF(A45&lt;1+Parameters!$F$31,0,INDEX($M$45:$M$80,A45-Parameters!$F$31))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(1-Parameters!$F$7)*(C45-E45)+(1-Parameters!$F$8)*(D45+E45)</f>
        <v>0.19999999999999996</v>
      </c>
      <c r="X45" s="7">
        <f>Parameters!$F$7*(C45-E45)+Parameters!$F$8*Parameters!$F$9*(D45+E45)</f>
        <v>0.7200000000000001</v>
      </c>
      <c r="Y45" s="7">
        <f>Parameters!$F$8*(1-Parameters!$F$9)*(D45+E45)</f>
        <v>0.08000000000000002</v>
      </c>
      <c r="Z45" s="7">
        <f>POWER(1/(1+Parameters!$F$32),A45-1)*(M45-N45)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0.7200000000000001</v>
      </c>
      <c r="D46" s="7">
        <f>Y45</f>
        <v>0.08000000000000002</v>
      </c>
      <c r="E46" s="7">
        <f>Parameters!$F$6*C46</f>
        <v>0.07200000000000001</v>
      </c>
      <c r="F46" s="7">
        <f>IF(Parameters!$F$5=1,E46,0)</f>
        <v>0.0</v>
      </c>
      <c r="G46" s="7">
        <f>Parameters!$F$27*G45+F46</f>
        <v>0.0</v>
      </c>
      <c r="H46" s="7">
        <f>IF(AND(Parameters!$F$5=1,Parameters!$F$26=1),SUMPRODUCT(--($A$45:A46&lt;A46),--(MOD(A46-$A$45:A46,Parameters!$F$28)=0),$F$45:F46,POWER(Parameters!$F$27,IF(A46-$A$45:A46=0,1,A46-$A$45:A46))),0)</f>
        <v>0.0</v>
      </c>
      <c r="I46" s="7">
        <f>Parameters!$F$23*I45+B46*Parameters!$F$22</f>
        <v>0.0</v>
      </c>
      <c r="J46" s="7">
        <f>E46*Parameters!$F$14*(1-Parameters!$F$15)</f>
        <v>1.368</v>
      </c>
      <c r="K46" s="7">
        <f>H46*Parameters!$F$29</f>
        <v>0.0</v>
      </c>
      <c r="L46" s="7">
        <f>I46*Parameters!$F$24</f>
        <v>0.0</v>
      </c>
      <c r="M46" s="7">
        <f>J46+K46+L46</f>
        <v>1.368</v>
      </c>
      <c r="N46" s="7">
        <f>C46*Parameters!$F$17+D46*Parameters!$F$18+E46*Parameters!$F$16+I46*Parameters!$F$25+G46*Parameters!$F$30</f>
        <v>0.24000000000000002</v>
      </c>
      <c r="O46" s="7">
        <f>0</f>
        <v>0</v>
      </c>
      <c r="P46" s="7">
        <f>M46-N46-O46</f>
        <v>1.1280000000000001</v>
      </c>
      <c r="Q46" s="7">
        <f>0</f>
        <v>0</v>
      </c>
      <c r="R46" s="7">
        <f>P46-Q46</f>
        <v>1.1280000000000001</v>
      </c>
      <c r="S46" s="7">
        <f>IF(A46&lt;1+Parameters!$F$31,0,INDEX($M$45:$M$80,A46-Parameters!$F$31))</f>
        <v>1.9</v>
      </c>
      <c r="T46" s="7">
        <f>T45+M46-S46</f>
        <v>1.368</v>
      </c>
      <c r="U46" s="7">
        <f>S46-N46-O46-Q46</f>
        <v>1.66</v>
      </c>
      <c r="V46" s="7">
        <f>V45+U46</f>
        <v>1.3599999999999999</v>
      </c>
      <c r="W46" s="7">
        <f>(1-Parameters!$F$7)*(C46-E46)+(1-Parameters!$F$8)*(D46+E46)</f>
        <v>0.15999999999999998</v>
      </c>
      <c r="X46" s="7">
        <f>Parameters!$F$7*(C46-E46)+Parameters!$F$8*Parameters!$F$9*(D46+E46)</f>
        <v>0.5184000000000001</v>
      </c>
      <c r="Y46" s="7">
        <f>Parameters!$F$8*(1-Parameters!$F$9)*(D46+E46)</f>
        <v>0.12160000000000003</v>
      </c>
      <c r="Z46" s="7">
        <f>POWER(1/(1+Parameters!$F$32),A46-1)*(M46-N46)</f>
        <v>1.116831683168317</v>
      </c>
    </row>
    <row r="47" spans="1:26">
      <c r="A47" s="7">
        <v>3</v>
      </c>
      <c r="B47" s="7">
        <f>0</f>
        <v>0</v>
      </c>
      <c r="C47" s="7">
        <f>X46+B47</f>
        <v>0.5184000000000001</v>
      </c>
      <c r="D47" s="7">
        <f>Y46</f>
        <v>0.12160000000000004</v>
      </c>
      <c r="E47" s="7">
        <f>Parameters!$F$6*C47</f>
        <v>0.05184000000000001</v>
      </c>
      <c r="F47" s="7">
        <f>IF(Parameters!$F$5=1,E47,0)</f>
        <v>0.0</v>
      </c>
      <c r="G47" s="7">
        <f>Parameters!$F$27*G46+F47</f>
        <v>0.0</v>
      </c>
      <c r="H47" s="7">
        <f>IF(AND(Parameters!$F$5=1,Parameters!$F$26=1),SUMPRODUCT(--($A$45:A47&lt;A47),--(MOD(A47-$A$45:A47,Parameters!$F$28)=0),$F$45:F47,POWER(Parameters!$F$27,IF(A47-$A$45:A47=0,1,A47-$A$45:A47))),0)</f>
        <v>0.0</v>
      </c>
      <c r="I47" s="7">
        <f>Parameters!$F$23*I46+B47*Parameters!$F$22</f>
        <v>0.0</v>
      </c>
      <c r="J47" s="7">
        <f>E47*Parameters!$F$14*(1-Parameters!$F$15)</f>
        <v>0.9849600000000001</v>
      </c>
      <c r="K47" s="7">
        <f>H47*Parameters!$F$29</f>
        <v>0.0</v>
      </c>
      <c r="L47" s="7">
        <f>I47*Parameters!$F$24</f>
        <v>0.0</v>
      </c>
      <c r="M47" s="7">
        <f>J47+K47+L47</f>
        <v>0.9849600000000001</v>
      </c>
      <c r="N47" s="7">
        <f>C47*Parameters!$F$17+D47*Parameters!$F$18+E47*Parameters!$F$16+I47*Parameters!$F$25+G47*Parameters!$F$30</f>
        <v>0.19200000000000006</v>
      </c>
      <c r="O47" s="7">
        <f>0</f>
        <v>0</v>
      </c>
      <c r="P47" s="7">
        <f>M47-N47-O47</f>
        <v>0.79296</v>
      </c>
      <c r="Q47" s="7">
        <f>0</f>
        <v>0</v>
      </c>
      <c r="R47" s="7">
        <f>P47-Q47</f>
        <v>0.79296</v>
      </c>
      <c r="S47" s="7">
        <f>IF(A47&lt;1+Parameters!$F$31,0,INDEX($M$45:$M$80,A47-Parameters!$F$31))</f>
        <v>1.368</v>
      </c>
      <c r="T47" s="7">
        <f>T46+M47-S47</f>
        <v>0.9849600000000001</v>
      </c>
      <c r="U47" s="7">
        <f>S47-N47-O47-Q47</f>
        <v>1.1760000000000002</v>
      </c>
      <c r="V47" s="7">
        <f>V46+U47</f>
        <v>2.536</v>
      </c>
      <c r="W47" s="7">
        <f>(1-Parameters!$F$7)*(C47-E47)+(1-Parameters!$F$8)*(D47+E47)</f>
        <v>0.128</v>
      </c>
      <c r="X47" s="7">
        <f>Parameters!$F$7*(C47-E47)+Parameters!$F$8*Parameters!$F$9*(D47+E47)</f>
        <v>0.3732480000000001</v>
      </c>
      <c r="Y47" s="7">
        <f>Parameters!$F$8*(1-Parameters!$F$9)*(D47+E47)</f>
        <v>0.13875200000000004</v>
      </c>
      <c r="Z47" s="7">
        <f>POWER(1/(1+Parameters!$F$32),A47-1)*(M47-N47)</f>
        <v>0.7773355553377119</v>
      </c>
    </row>
    <row r="48" spans="1:26">
      <c r="A48" s="7">
        <v>4</v>
      </c>
      <c r="B48" s="7">
        <f>0</f>
        <v>0</v>
      </c>
      <c r="C48" s="7">
        <f>X47+B48</f>
        <v>0.3732480000000001</v>
      </c>
      <c r="D48" s="7">
        <f>Y47</f>
        <v>0.13875200000000004</v>
      </c>
      <c r="E48" s="7">
        <f>Parameters!$F$6*C48</f>
        <v>0.03732480000000001</v>
      </c>
      <c r="F48" s="7">
        <f>IF(Parameters!$F$5=1,E48,0)</f>
        <v>0.0</v>
      </c>
      <c r="G48" s="7">
        <f>Parameters!$F$27*G47+F48</f>
        <v>0.0</v>
      </c>
      <c r="H48" s="7">
        <f>IF(AND(Parameters!$F$5=1,Parameters!$F$26=1),SUMPRODUCT(--($A$45:A48&lt;A48),--(MOD(A48-$A$45:A48,Parameters!$F$28)=0),$F$45:F48,POWER(Parameters!$F$27,IF(A48-$A$45:A48=0,1,A48-$A$45:A48))),0)</f>
        <v>0.0</v>
      </c>
      <c r="I48" s="7">
        <f>Parameters!$F$23*I47+B48*Parameters!$F$22</f>
        <v>0.0</v>
      </c>
      <c r="J48" s="7">
        <f>E48*Parameters!$F$14*(1-Parameters!$F$15)</f>
        <v>0.7091712000000002</v>
      </c>
      <c r="K48" s="7">
        <f>H48*Parameters!$F$29</f>
        <v>0.0</v>
      </c>
      <c r="L48" s="7">
        <f>I48*Parameters!$F$24</f>
        <v>0.0</v>
      </c>
      <c r="M48" s="7">
        <f>J48+K48+L48</f>
        <v>0.7091712000000002</v>
      </c>
      <c r="N48" s="7">
        <f>C48*Parameters!$F$17+D48*Parameters!$F$18+E48*Parameters!$F$16+I48*Parameters!$F$25+G48*Parameters!$F$30</f>
        <v>0.15360000000000004</v>
      </c>
      <c r="O48" s="7">
        <f>0</f>
        <v>0</v>
      </c>
      <c r="P48" s="7">
        <f>M48-N48-O48</f>
        <v>0.5555712000000002</v>
      </c>
      <c r="Q48" s="7">
        <f>0</f>
        <v>0</v>
      </c>
      <c r="R48" s="7">
        <f>P48-Q48</f>
        <v>0.5555712000000002</v>
      </c>
      <c r="S48" s="7">
        <f>IF(A48&lt;1+Parameters!$F$31,0,INDEX($M$45:$M$80,A48-Parameters!$F$31))</f>
        <v>0.9849600000000001</v>
      </c>
      <c r="T48" s="7">
        <f>T47+M48-S48</f>
        <v>0.7091712000000002</v>
      </c>
      <c r="U48" s="7">
        <f>S48-N48-O48-Q48</f>
        <v>0.83136</v>
      </c>
      <c r="V48" s="7">
        <f>V47+U48</f>
        <v>3.36736</v>
      </c>
      <c r="W48" s="7">
        <f>(1-Parameters!$F$7)*(C48-E48)+(1-Parameters!$F$8)*(D48+E48)</f>
        <v>0.1024</v>
      </c>
      <c r="X48" s="7">
        <f>Parameters!$F$7*(C48-E48)+Parameters!$F$8*Parameters!$F$9*(D48+E48)</f>
        <v>0.26873856000000007</v>
      </c>
      <c r="Y48" s="7">
        <f>Parameters!$F$8*(1-Parameters!$F$9)*(D48+E48)</f>
        <v>0.14086144000000006</v>
      </c>
      <c r="Z48" s="7">
        <f>POWER(1/(1+Parameters!$F$32),A48-1)*(M48-N48)</f>
        <v>0.5392319331923391</v>
      </c>
    </row>
    <row r="49" spans="1:26">
      <c r="A49" s="7">
        <v>5</v>
      </c>
      <c r="B49" s="7">
        <f>0</f>
        <v>0</v>
      </c>
      <c r="C49" s="7">
        <f>X48+B49</f>
        <v>0.26873856000000007</v>
      </c>
      <c r="D49" s="7">
        <f>Y48</f>
        <v>0.14086144000000006</v>
      </c>
      <c r="E49" s="7">
        <f>Parameters!$F$6*C49</f>
        <v>0.02687385600000001</v>
      </c>
      <c r="F49" s="7">
        <f>IF(Parameters!$F$5=1,E49,0)</f>
        <v>0.0</v>
      </c>
      <c r="G49" s="7">
        <f>Parameters!$F$27*G48+F49</f>
        <v>0.0</v>
      </c>
      <c r="H49" s="7">
        <f>IF(AND(Parameters!$F$5=1,Parameters!$F$26=1),SUMPRODUCT(--($A$45:A49&lt;A49),--(MOD(A49-$A$45:A49,Parameters!$F$28)=0),$F$45:F49,POWER(Parameters!$F$27,IF(A49-$A$45:A49=0,1,A49-$A$45:A49))),0)</f>
        <v>0.0</v>
      </c>
      <c r="I49" s="7">
        <f>Parameters!$F$23*I48+B49*Parameters!$F$22</f>
        <v>0.0</v>
      </c>
      <c r="J49" s="7">
        <f>E49*Parameters!$F$14*(1-Parameters!$F$15)</f>
        <v>0.5106032640000001</v>
      </c>
      <c r="K49" s="7">
        <f>H49*Parameters!$F$29</f>
        <v>0.0</v>
      </c>
      <c r="L49" s="7">
        <f>I49*Parameters!$F$24</f>
        <v>0.0</v>
      </c>
      <c r="M49" s="7">
        <f>J49+K49+L49</f>
        <v>0.5106032640000001</v>
      </c>
      <c r="N49" s="7">
        <f>C49*Parameters!$F$17+D49*Parameters!$F$18+E49*Parameters!$F$16+I49*Parameters!$F$25+G49*Parameters!$F$30</f>
        <v>0.12288000000000004</v>
      </c>
      <c r="O49" s="7">
        <f>0</f>
        <v>0</v>
      </c>
      <c r="P49" s="7">
        <f>M49-N49-O49</f>
        <v>0.38772326400000007</v>
      </c>
      <c r="Q49" s="7">
        <f>0</f>
        <v>0</v>
      </c>
      <c r="R49" s="7">
        <f>P49-Q49</f>
        <v>0.38772326400000007</v>
      </c>
      <c r="S49" s="7">
        <f>IF(A49&lt;1+Parameters!$F$31,0,INDEX($M$45:$M$80,A49-Parameters!$F$31))</f>
        <v>0.7091712000000002</v>
      </c>
      <c r="T49" s="7">
        <f>T48+M49-S49</f>
        <v>0.5106032640000001</v>
      </c>
      <c r="U49" s="7">
        <f>S49-N49-O49-Q49</f>
        <v>0.5862912000000002</v>
      </c>
      <c r="V49" s="7">
        <f>V48+U49</f>
        <v>3.9536512000000004</v>
      </c>
      <c r="W49" s="7">
        <f>(1-Parameters!$F$7)*(C49-E49)+(1-Parameters!$F$8)*(D49+E49)</f>
        <v>0.08192</v>
      </c>
      <c r="X49" s="7">
        <f>Parameters!$F$7*(C49-E49)+Parameters!$F$8*Parameters!$F$9*(D49+E49)</f>
        <v>0.19349176320000006</v>
      </c>
      <c r="Y49" s="7">
        <f>Parameters!$F$8*(1-Parameters!$F$9)*(D49+E49)</f>
        <v>0.13418823680000005</v>
      </c>
      <c r="Z49" s="7">
        <f>POWER(1/(1+Parameters!$F$32),A49-1)*(M49-N49)</f>
        <v>0.37259443580272195</v>
      </c>
    </row>
    <row r="50" spans="1:26">
      <c r="A50" s="7">
        <v>6</v>
      </c>
      <c r="B50" s="7">
        <f>0</f>
        <v>0</v>
      </c>
      <c r="C50" s="7">
        <f>X49+B50</f>
        <v>0.19349176320000008</v>
      </c>
      <c r="D50" s="7">
        <f>Y49</f>
        <v>0.13418823680000005</v>
      </c>
      <c r="E50" s="7">
        <f>Parameters!$F$6*C50</f>
        <v>0.01934917632000001</v>
      </c>
      <c r="F50" s="7">
        <f>IF(Parameters!$F$5=1,E50,0)</f>
        <v>0.0</v>
      </c>
      <c r="G50" s="7">
        <f>Parameters!$F$27*G49+F50</f>
        <v>0.0</v>
      </c>
      <c r="H50" s="7">
        <f>IF(AND(Parameters!$F$5=1,Parameters!$F$26=1),SUMPRODUCT(--($A$45:A50&lt;A50),--(MOD(A50-$A$45:A50,Parameters!$F$28)=0),$F$45:F50,POWER(Parameters!$F$27,IF(A50-$A$45:A50=0,1,A50-$A$45:A50))),0)</f>
        <v>0.0</v>
      </c>
      <c r="I50" s="7">
        <f>Parameters!$F$23*I49+B50*Parameters!$F$22</f>
        <v>0.0</v>
      </c>
      <c r="J50" s="7">
        <f>E50*Parameters!$F$14*(1-Parameters!$F$15)</f>
        <v>0.3676343500800001</v>
      </c>
      <c r="K50" s="7">
        <f>H50*Parameters!$F$29</f>
        <v>0.0</v>
      </c>
      <c r="L50" s="7">
        <f>I50*Parameters!$F$24</f>
        <v>0.0</v>
      </c>
      <c r="M50" s="7">
        <f>J50+K50+L50</f>
        <v>0.3676343500800001</v>
      </c>
      <c r="N50" s="7">
        <f>C50*Parameters!$F$17+D50*Parameters!$F$18+E50*Parameters!$F$16+I50*Parameters!$F$25+G50*Parameters!$F$30</f>
        <v>0.09830400000000004</v>
      </c>
      <c r="O50" s="7">
        <f>0</f>
        <v>0</v>
      </c>
      <c r="P50" s="7">
        <f>M50-N50-O50</f>
        <v>0.26933035008000006</v>
      </c>
      <c r="Q50" s="7">
        <f>0</f>
        <v>0</v>
      </c>
      <c r="R50" s="7">
        <f>P50-Q50</f>
        <v>0.26933035008000006</v>
      </c>
      <c r="S50" s="7">
        <f>IF(A50&lt;1+Parameters!$F$31,0,INDEX($M$45:$M$80,A50-Parameters!$F$31))</f>
        <v>0.5106032640000001</v>
      </c>
      <c r="T50" s="7">
        <f>T49+M50-S50</f>
        <v>0.3676343500800001</v>
      </c>
      <c r="U50" s="7">
        <f>S50-N50-O50-Q50</f>
        <v>0.41229926400000005</v>
      </c>
      <c r="V50" s="7">
        <f>V49+U50</f>
        <v>4.365950464000001</v>
      </c>
      <c r="W50" s="7">
        <f>(1-Parameters!$F$7)*(C50-E50)+(1-Parameters!$F$8)*(D50+E50)</f>
        <v>0.06553600000000001</v>
      </c>
      <c r="X50" s="7">
        <f>Parameters!$F$7*(C50-E50)+Parameters!$F$8*Parameters!$F$9*(D50+E50)</f>
        <v>0.13931406950400005</v>
      </c>
      <c r="Y50" s="7">
        <f>Parameters!$F$8*(1-Parameters!$F$9)*(D50+E50)</f>
        <v>0.12282993049600006</v>
      </c>
      <c r="Z50" s="7">
        <f>POWER(1/(1+Parameters!$F$32),A50-1)*(M50-N50)</f>
        <v>0.2562585867322336</v>
      </c>
    </row>
    <row r="51" spans="1:26">
      <c r="A51" s="7">
        <v>7</v>
      </c>
      <c r="B51" s="7">
        <f>0</f>
        <v>0</v>
      </c>
      <c r="C51" s="7">
        <f>X50+B51</f>
        <v>0.13931406950400008</v>
      </c>
      <c r="D51" s="7">
        <f>Y50</f>
        <v>0.12282993049600005</v>
      </c>
      <c r="E51" s="7">
        <f>Parameters!$F$6*C51</f>
        <v>0.013931406950400009</v>
      </c>
      <c r="F51" s="7">
        <f>IF(Parameters!$F$5=1,E51,0)</f>
        <v>0.0</v>
      </c>
      <c r="G51" s="7">
        <f>Parameters!$F$27*G50+F51</f>
        <v>0.0</v>
      </c>
      <c r="H51" s="7">
        <f>IF(AND(Parameters!$F$5=1,Parameters!$F$26=1),SUMPRODUCT(--($A$45:A51&lt;A51),--(MOD(A51-$A$45:A51,Parameters!$F$28)=0),$F$45:F51,POWER(Parameters!$F$27,IF(A51-$A$45:A51=0,1,A51-$A$45:A51))),0)</f>
        <v>0.0</v>
      </c>
      <c r="I51" s="7">
        <f>Parameters!$F$23*I50+B51*Parameters!$F$22</f>
        <v>0.0</v>
      </c>
      <c r="J51" s="7">
        <f>E51*Parameters!$F$14*(1-Parameters!$F$15)</f>
        <v>0.2646967320576002</v>
      </c>
      <c r="K51" s="7">
        <f>H51*Parameters!$F$29</f>
        <v>0.0</v>
      </c>
      <c r="L51" s="7">
        <f>I51*Parameters!$F$24</f>
        <v>0.0</v>
      </c>
      <c r="M51" s="7">
        <f>J51+K51+L51</f>
        <v>0.2646967320576002</v>
      </c>
      <c r="N51" s="7">
        <f>C51*Parameters!$F$17+D51*Parameters!$F$18+E51*Parameters!$F$16+I51*Parameters!$F$25+G51*Parameters!$F$30</f>
        <v>0.07864320000000005</v>
      </c>
      <c r="O51" s="7">
        <f>0</f>
        <v>0</v>
      </c>
      <c r="P51" s="7">
        <f>M51-N51-O51</f>
        <v>0.18605353205760014</v>
      </c>
      <c r="Q51" s="7">
        <f>0</f>
        <v>0</v>
      </c>
      <c r="R51" s="7">
        <f>P51-Q51</f>
        <v>0.18605353205760014</v>
      </c>
      <c r="S51" s="7">
        <f>IF(A51&lt;1+Parameters!$F$31,0,INDEX($M$45:$M$80,A51-Parameters!$F$31))</f>
        <v>0.3676343500800001</v>
      </c>
      <c r="T51" s="7">
        <f>T50+M51-S51</f>
        <v>0.2646967320576002</v>
      </c>
      <c r="U51" s="7">
        <f>S51-N51-O51-Q51</f>
        <v>0.2889911500800001</v>
      </c>
      <c r="V51" s="7">
        <f>V50+U51</f>
        <v>4.654941614080001</v>
      </c>
      <c r="W51" s="7">
        <f>(1-Parameters!$F$7)*(C51-E51)+(1-Parameters!$F$8)*(D51+E51)</f>
        <v>0.05242880000000001</v>
      </c>
      <c r="X51" s="7">
        <f>Parameters!$F$7*(C51-E51)+Parameters!$F$8*Parameters!$F$9*(D51+E51)</f>
        <v>0.10030613004288005</v>
      </c>
      <c r="Y51" s="7">
        <f>Parameters!$F$8*(1-Parameters!$F$9)*(D51+E51)</f>
        <v>0.10940906995712006</v>
      </c>
      <c r="Z51" s="7">
        <f>POWER(1/(1+Parameters!$F$32),A51-1)*(M51-N51)</f>
        <v>0.17527084337707802</v>
      </c>
    </row>
    <row r="52" spans="1:26">
      <c r="A52" s="7">
        <v>8</v>
      </c>
      <c r="B52" s="7">
        <f>0</f>
        <v>0</v>
      </c>
      <c r="C52" s="7">
        <f>X51+B52</f>
        <v>0.10030613004288007</v>
      </c>
      <c r="D52" s="7">
        <f>Y51</f>
        <v>0.10940906995712005</v>
      </c>
      <c r="E52" s="7">
        <f>Parameters!$F$6*C52</f>
        <v>0.010030613004288008</v>
      </c>
      <c r="F52" s="7">
        <f>IF(Parameters!$F$5=1,E52,0)</f>
        <v>0.0</v>
      </c>
      <c r="G52" s="7">
        <f>Parameters!$F$27*G51+F52</f>
        <v>0.0</v>
      </c>
      <c r="H52" s="7">
        <f>IF(AND(Parameters!$F$5=1,Parameters!$F$26=1),SUMPRODUCT(--($A$45:A52&lt;A52),--(MOD(A52-$A$45:A52,Parameters!$F$28)=0),$F$45:F52,POWER(Parameters!$F$27,IF(A52-$A$45:A52=0,1,A52-$A$45:A52))),0)</f>
        <v>0.0</v>
      </c>
      <c r="I52" s="7">
        <f>Parameters!$F$23*I51+B52*Parameters!$F$22</f>
        <v>0.0</v>
      </c>
      <c r="J52" s="7">
        <f>E52*Parameters!$F$14*(1-Parameters!$F$15)</f>
        <v>0.19058164708147216</v>
      </c>
      <c r="K52" s="7">
        <f>H52*Parameters!$F$29</f>
        <v>0.0</v>
      </c>
      <c r="L52" s="7">
        <f>I52*Parameters!$F$24</f>
        <v>0.0</v>
      </c>
      <c r="M52" s="7">
        <f>J52+K52+L52</f>
        <v>0.19058164708147216</v>
      </c>
      <c r="N52" s="7">
        <f>C52*Parameters!$F$17+D52*Parameters!$F$18+E52*Parameters!$F$16+I52*Parameters!$F$25+G52*Parameters!$F$30</f>
        <v>0.06291456000000004</v>
      </c>
      <c r="O52" s="7">
        <f>0</f>
        <v>0</v>
      </c>
      <c r="P52" s="7">
        <f>M52-N52-O52</f>
        <v>0.12766708708147212</v>
      </c>
      <c r="Q52" s="7">
        <f>0</f>
        <v>0</v>
      </c>
      <c r="R52" s="7">
        <f>P52-Q52</f>
        <v>0.12766708708147212</v>
      </c>
      <c r="S52" s="7">
        <f>IF(A52&lt;1+Parameters!$F$31,0,INDEX($M$45:$M$80,A52-Parameters!$F$31))</f>
        <v>0.2646967320576002</v>
      </c>
      <c r="T52" s="7">
        <f>T51+M52-S52</f>
        <v>0.19058164708147216</v>
      </c>
      <c r="U52" s="7">
        <f>S52-N52-O52-Q52</f>
        <v>0.20178217205760016</v>
      </c>
      <c r="V52" s="7">
        <f>V51+U52</f>
        <v>4.856723786137601</v>
      </c>
      <c r="W52" s="7">
        <f>(1-Parameters!$F$7)*(C52-E52)+(1-Parameters!$F$8)*(D52+E52)</f>
        <v>0.041943040000000015</v>
      </c>
      <c r="X52" s="7">
        <f>Parameters!$F$7*(C52-E52)+Parameters!$F$8*Parameters!$F$9*(D52+E52)</f>
        <v>0.07222041363087366</v>
      </c>
      <c r="Y52" s="7">
        <f>Parameters!$F$8*(1-Parameters!$F$9)*(D52+E52)</f>
        <v>0.09555174636912644</v>
      </c>
      <c r="Z52" s="7">
        <f>POWER(1/(1+Parameters!$F$32),A52-1)*(M52-N52)</f>
        <v>0.11907739711275712</v>
      </c>
    </row>
    <row r="53" spans="1:26">
      <c r="A53" s="7">
        <v>9</v>
      </c>
      <c r="B53" s="7">
        <f>0</f>
        <v>0</v>
      </c>
      <c r="C53" s="7">
        <f>X52+B53</f>
        <v>0.07222041363087366</v>
      </c>
      <c r="D53" s="7">
        <f>Y52</f>
        <v>0.09555174636912646</v>
      </c>
      <c r="E53" s="7">
        <f>Parameters!$F$6*C53</f>
        <v>0.007222041363087366</v>
      </c>
      <c r="F53" s="7">
        <f>IF(Parameters!$F$5=1,E53,0)</f>
        <v>0.0</v>
      </c>
      <c r="G53" s="7">
        <f>Parameters!$F$27*G52+F53</f>
        <v>0.0</v>
      </c>
      <c r="H53" s="7">
        <f>IF(AND(Parameters!$F$5=1,Parameters!$F$26=1),SUMPRODUCT(--($A$45:A53&lt;A53),--(MOD(A53-$A$45:A53,Parameters!$F$28)=0),$F$45:F53,POWER(Parameters!$F$27,IF(A53-$A$45:A53=0,1,A53-$A$45:A53))),0)</f>
        <v>0.0</v>
      </c>
      <c r="I53" s="7">
        <f>Parameters!$F$23*I52+B53*Parameters!$F$22</f>
        <v>0.0</v>
      </c>
      <c r="J53" s="7">
        <f>E53*Parameters!$F$14*(1-Parameters!$F$15)</f>
        <v>0.13721878589865993</v>
      </c>
      <c r="K53" s="7">
        <f>H53*Parameters!$F$29</f>
        <v>0.0</v>
      </c>
      <c r="L53" s="7">
        <f>I53*Parameters!$F$24</f>
        <v>0.0</v>
      </c>
      <c r="M53" s="7">
        <f>J53+K53+L53</f>
        <v>0.13721878589865993</v>
      </c>
      <c r="N53" s="7">
        <f>C53*Parameters!$F$17+D53*Parameters!$F$18+E53*Parameters!$F$16+I53*Parameters!$F$25+G53*Parameters!$F$30</f>
        <v>0.050331648000000034</v>
      </c>
      <c r="O53" s="7">
        <f>0</f>
        <v>0</v>
      </c>
      <c r="P53" s="7">
        <f>M53-N53-O53</f>
        <v>0.0868871378986599</v>
      </c>
      <c r="Q53" s="7">
        <f>0</f>
        <v>0</v>
      </c>
      <c r="R53" s="7">
        <f>P53-Q53</f>
        <v>0.0868871378986599</v>
      </c>
      <c r="S53" s="7">
        <f>IF(A53&lt;1+Parameters!$F$31,0,INDEX($M$45:$M$80,A53-Parameters!$F$31))</f>
        <v>0.19058164708147216</v>
      </c>
      <c r="T53" s="7">
        <f>T52+M53-S53</f>
        <v>0.13721878589865993</v>
      </c>
      <c r="U53" s="7">
        <f>S53-N53-O53-Q53</f>
        <v>0.14024999908147212</v>
      </c>
      <c r="V53" s="7">
        <f>V52+U53</f>
        <v>4.996973785219073</v>
      </c>
      <c r="W53" s="7">
        <f>(1-Parameters!$F$7)*(C53-E53)+(1-Parameters!$F$8)*(D53+E53)</f>
        <v>0.033554432000000016</v>
      </c>
      <c r="X53" s="7">
        <f>Parameters!$F$7*(C53-E53)+Parameters!$F$8*Parameters!$F$9*(D53+E53)</f>
        <v>0.051998697814229035</v>
      </c>
      <c r="Y53" s="7">
        <f>Parameters!$F$8*(1-Parameters!$F$9)*(D53+E53)</f>
        <v>0.08221903018577106</v>
      </c>
      <c r="Z53" s="7">
        <f>POWER(1/(1+Parameters!$F$32),A53-1)*(M53-N53)</f>
        <v>0.08023881409891948</v>
      </c>
    </row>
    <row r="54" spans="1:26">
      <c r="A54" s="7">
        <v>10</v>
      </c>
      <c r="B54" s="7">
        <f>0</f>
        <v>0</v>
      </c>
      <c r="C54" s="7">
        <f>X53+B54</f>
        <v>0.05199869781422904</v>
      </c>
      <c r="D54" s="7">
        <f>Y53</f>
        <v>0.08221903018577108</v>
      </c>
      <c r="E54" s="7">
        <f>Parameters!$F$6*C54</f>
        <v>0.005199869781422905</v>
      </c>
      <c r="F54" s="7">
        <f>IF(Parameters!$F$5=1,E54,0)</f>
        <v>0.0</v>
      </c>
      <c r="G54" s="7">
        <f>Parameters!$F$27*G53+F54</f>
        <v>0.0</v>
      </c>
      <c r="H54" s="7">
        <f>IF(AND(Parameters!$F$5=1,Parameters!$F$26=1),SUMPRODUCT(--($A$45:A54&lt;A54),--(MOD(A54-$A$45:A54,Parameters!$F$28)=0),$F$45:F54,POWER(Parameters!$F$27,IF(A54-$A$45:A54=0,1,A54-$A$45:A54))),0)</f>
        <v>0.0</v>
      </c>
      <c r="I54" s="7">
        <f>Parameters!$F$23*I53+B54*Parameters!$F$22</f>
        <v>0.0</v>
      </c>
      <c r="J54" s="7">
        <f>E54*Parameters!$F$14*(1-Parameters!$F$15)</f>
        <v>0.09879752584703519</v>
      </c>
      <c r="K54" s="7">
        <f>H54*Parameters!$F$29</f>
        <v>0.0</v>
      </c>
      <c r="L54" s="7">
        <f>I54*Parameters!$F$24</f>
        <v>0.0</v>
      </c>
      <c r="M54" s="7">
        <f>J54+K54+L54</f>
        <v>0.09879752584703519</v>
      </c>
      <c r="N54" s="7">
        <f>C54*Parameters!$F$17+D54*Parameters!$F$18+E54*Parameters!$F$16+I54*Parameters!$F$25+G54*Parameters!$F$30</f>
        <v>0.04026531840000004</v>
      </c>
      <c r="O54" s="7">
        <f>0</f>
        <v>0</v>
      </c>
      <c r="P54" s="7">
        <f>M54-N54-O54</f>
        <v>0.05853220744703515</v>
      </c>
      <c r="Q54" s="7">
        <f>0</f>
        <v>0</v>
      </c>
      <c r="R54" s="7">
        <f>P54-Q54</f>
        <v>0.05853220744703515</v>
      </c>
      <c r="S54" s="7">
        <f>IF(A54&lt;1+Parameters!$F$31,0,INDEX($M$45:$M$80,A54-Parameters!$F$31))</f>
        <v>0.13721878589865993</v>
      </c>
      <c r="T54" s="7">
        <f>T53+M54-S54</f>
        <v>0.09879752584703519</v>
      </c>
      <c r="U54" s="7">
        <f>S54-N54-O54-Q54</f>
        <v>0.09695346749865989</v>
      </c>
      <c r="V54" s="7">
        <f>V53+U54</f>
        <v>5.093927252717734</v>
      </c>
      <c r="W54" s="7">
        <f>(1-Parameters!$F$7)*(C54-E54)+(1-Parameters!$F$8)*(D54+E54)</f>
        <v>0.02684354560000002</v>
      </c>
      <c r="X54" s="7">
        <f>Parameters!$F$7*(C54-E54)+Parameters!$F$8*Parameters!$F$9*(D54+E54)</f>
        <v>0.03743906242624491</v>
      </c>
      <c r="Y54" s="7">
        <f>Parameters!$F$8*(1-Parameters!$F$9)*(D54+E54)</f>
        <v>0.06993511997375519</v>
      </c>
      <c r="Z54" s="7">
        <f>POWER(1/(1+Parameters!$F$32),A54-1)*(M54-N54)</f>
        <v>0.05351832826949624</v>
      </c>
    </row>
    <row r="55" spans="1:26">
      <c r="A55" s="7">
        <v>11</v>
      </c>
      <c r="B55" s="7">
        <f>0</f>
        <v>0</v>
      </c>
      <c r="C55" s="7">
        <f>X54+B55</f>
        <v>0.037439062426244916</v>
      </c>
      <c r="D55" s="7">
        <f>Y54</f>
        <v>0.06993511997375519</v>
      </c>
      <c r="E55" s="7">
        <f>Parameters!$F$6*C55</f>
        <v>0.0037439062426244916</v>
      </c>
      <c r="F55" s="7">
        <f>IF(Parameters!$F$5=1,E55,0)</f>
        <v>0.0</v>
      </c>
      <c r="G55" s="7">
        <f>Parameters!$F$27*G54+F55</f>
        <v>0.0</v>
      </c>
      <c r="H55" s="7">
        <f>IF(AND(Parameters!$F$5=1,Parameters!$F$26=1),SUMPRODUCT(--($A$45:A55&lt;A55),--(MOD(A55-$A$45:A55,Parameters!$F$28)=0),$F$45:F55,POWER(Parameters!$F$27,IF(A55-$A$45:A55=0,1,A55-$A$45:A55))),0)</f>
        <v>0.0</v>
      </c>
      <c r="I55" s="7">
        <f>Parameters!$F$23*I54+B55*Parameters!$F$22</f>
        <v>0.0</v>
      </c>
      <c r="J55" s="7">
        <f>E55*Parameters!$F$14*(1-Parameters!$F$15)</f>
        <v>0.07113421860986534</v>
      </c>
      <c r="K55" s="7">
        <f>H55*Parameters!$F$29</f>
        <v>0.0</v>
      </c>
      <c r="L55" s="7">
        <f>I55*Parameters!$F$24</f>
        <v>0.0</v>
      </c>
      <c r="M55" s="7">
        <f>J55+K55+L55</f>
        <v>0.07113421860986534</v>
      </c>
      <c r="N55" s="7">
        <f>C55*Parameters!$F$17+D55*Parameters!$F$18+E55*Parameters!$F$16+I55*Parameters!$F$25+G55*Parameters!$F$30</f>
        <v>0.03221225472000003</v>
      </c>
      <c r="O55" s="7">
        <f>0</f>
        <v>0</v>
      </c>
      <c r="P55" s="7">
        <f>M55-N55-O55</f>
        <v>0.03892196388986531</v>
      </c>
      <c r="Q55" s="7">
        <f>0</f>
        <v>0</v>
      </c>
      <c r="R55" s="7">
        <f>P55-Q55</f>
        <v>0.03892196388986531</v>
      </c>
      <c r="S55" s="7">
        <f>IF(A55&lt;1+Parameters!$F$31,0,INDEX($M$45:$M$80,A55-Parameters!$F$31))</f>
        <v>0.09879752584703519</v>
      </c>
      <c r="T55" s="7">
        <f>T54+M55-S55</f>
        <v>0.07113421860986534</v>
      </c>
      <c r="U55" s="7">
        <f>S55-N55-O55-Q55</f>
        <v>0.06658527112703516</v>
      </c>
      <c r="V55" s="7">
        <f>V54+U55</f>
        <v>5.160512523844769</v>
      </c>
      <c r="W55" s="7">
        <f>(1-Parameters!$F$7)*(C55-E55)+(1-Parameters!$F$8)*(D55+E55)</f>
        <v>0.021474836480000016</v>
      </c>
      <c r="X55" s="7">
        <f>Parameters!$F$7*(C55-E55)+Parameters!$F$8*Parameters!$F$9*(D55+E55)</f>
        <v>0.026956124946896344</v>
      </c>
      <c r="Y55" s="7">
        <f>Parameters!$F$8*(1-Parameters!$F$9)*(D55+E55)</f>
        <v>0.058943220973103755</v>
      </c>
      <c r="Z55" s="7">
        <f>POWER(1/(1+Parameters!$F$32),A55-1)*(M55-N55)</f>
        <v>0.035235546160526425</v>
      </c>
    </row>
    <row r="56" spans="1:26">
      <c r="A56" s="7">
        <v>12</v>
      </c>
      <c r="B56" s="7">
        <f>0</f>
        <v>0</v>
      </c>
      <c r="C56" s="7">
        <f>X55+B56</f>
        <v>0.026956124946896344</v>
      </c>
      <c r="D56" s="7">
        <f>Y55</f>
        <v>0.058943220973103755</v>
      </c>
      <c r="E56" s="7">
        <f>Parameters!$F$6*C56</f>
        <v>0.0026956124946896347</v>
      </c>
      <c r="F56" s="7">
        <f>IF(Parameters!$F$5=1,E56,0)</f>
        <v>0.0</v>
      </c>
      <c r="G56" s="7">
        <f>Parameters!$F$27*G55+F56</f>
        <v>0.0</v>
      </c>
      <c r="H56" s="7">
        <f>IF(AND(Parameters!$F$5=1,Parameters!$F$26=1),SUMPRODUCT(--($A$45:A56&lt;A56),--(MOD(A56-$A$45:A56,Parameters!$F$28)=0),$F$45:F56,POWER(Parameters!$F$27,IF(A56-$A$45:A56=0,1,A56-$A$45:A56))),0)</f>
        <v>0.0</v>
      </c>
      <c r="I56" s="7">
        <f>Parameters!$F$23*I55+B56*Parameters!$F$22</f>
        <v>0.0</v>
      </c>
      <c r="J56" s="7">
        <f>E56*Parameters!$F$14*(1-Parameters!$F$15)</f>
        <v>0.05121663739910306</v>
      </c>
      <c r="K56" s="7">
        <f>H56*Parameters!$F$29</f>
        <v>0.0</v>
      </c>
      <c r="L56" s="7">
        <f>I56*Parameters!$F$24</f>
        <v>0.0</v>
      </c>
      <c r="M56" s="7">
        <f>J56+K56+L56</f>
        <v>0.05121663739910306</v>
      </c>
      <c r="N56" s="7">
        <f>C56*Parameters!$F$17+D56*Parameters!$F$18+E56*Parameters!$F$16+I56*Parameters!$F$25+G56*Parameters!$F$30</f>
        <v>0.02576980377600003</v>
      </c>
      <c r="O56" s="7">
        <f>0</f>
        <v>0</v>
      </c>
      <c r="P56" s="7">
        <f>M56-N56-O56</f>
        <v>0.02544683362310303</v>
      </c>
      <c r="Q56" s="7">
        <f>0</f>
        <v>0</v>
      </c>
      <c r="R56" s="7">
        <f>P56-Q56</f>
        <v>0.02544683362310303</v>
      </c>
      <c r="S56" s="7">
        <f>IF(A56&lt;1+Parameters!$F$31,0,INDEX($M$45:$M$80,A56-Parameters!$F$31))</f>
        <v>0.07113421860986534</v>
      </c>
      <c r="T56" s="7">
        <f>T55+M56-S56</f>
        <v>0.05121663739910306</v>
      </c>
      <c r="U56" s="7">
        <f>S56-N56-O56-Q56</f>
        <v>0.04536441483386531</v>
      </c>
      <c r="V56" s="7">
        <f>V55+U56</f>
        <v>5.205876938678634</v>
      </c>
      <c r="W56" s="7">
        <f>(1-Parameters!$F$7)*(C56-E56)+(1-Parameters!$F$8)*(D56+E56)</f>
        <v>0.017179869184000017</v>
      </c>
      <c r="X56" s="7">
        <f>Parameters!$F$7*(C56-E56)+Parameters!$F$8*Parameters!$F$9*(D56+E56)</f>
        <v>0.019408409961765367</v>
      </c>
      <c r="Y56" s="7">
        <f>Parameters!$F$8*(1-Parameters!$F$9)*(D56+E56)</f>
        <v>0.04931106677423472</v>
      </c>
      <c r="Z56" s="7">
        <f>POWER(1/(1+Parameters!$F$32),A56-1)*(M56-N56)</f>
        <v>0.022808600512116785</v>
      </c>
    </row>
    <row r="57" spans="1:26">
      <c r="A57" s="7">
        <v>13</v>
      </c>
      <c r="B57" s="7">
        <f>0</f>
        <v>0</v>
      </c>
      <c r="C57" s="7">
        <f>X56+B57</f>
        <v>0.01940840996176537</v>
      </c>
      <c r="D57" s="7">
        <f>Y56</f>
        <v>0.04931106677423471</v>
      </c>
      <c r="E57" s="7">
        <f>Parameters!$F$6*C57</f>
        <v>0.0019408409961765372</v>
      </c>
      <c r="F57" s="7">
        <f>IF(Parameters!$F$5=1,E57,0)</f>
        <v>0.0</v>
      </c>
      <c r="G57" s="7">
        <f>Parameters!$F$27*G56+F57</f>
        <v>0.0</v>
      </c>
      <c r="H57" s="7">
        <f>IF(AND(Parameters!$F$5=1,Parameters!$F$26=1),SUMPRODUCT(--($A$45:A57&lt;A57),--(MOD(A57-$A$45:A57,Parameters!$F$28)=0),$F$45:F57,POWER(Parameters!$F$27,IF(A57-$A$45:A57=0,1,A57-$A$45:A57))),0)</f>
        <v>0.0</v>
      </c>
      <c r="I57" s="7">
        <f>Parameters!$F$23*I56+B57*Parameters!$F$22</f>
        <v>0.0</v>
      </c>
      <c r="J57" s="7">
        <f>E57*Parameters!$F$14*(1-Parameters!$F$15)</f>
        <v>0.036875978927354204</v>
      </c>
      <c r="K57" s="7">
        <f>H57*Parameters!$F$29</f>
        <v>0.0</v>
      </c>
      <c r="L57" s="7">
        <f>I57*Parameters!$F$24</f>
        <v>0.0</v>
      </c>
      <c r="M57" s="7">
        <f>J57+K57+L57</f>
        <v>0.036875978927354204</v>
      </c>
      <c r="N57" s="7">
        <f>C57*Parameters!$F$17+D57*Parameters!$F$18+E57*Parameters!$F$16+I57*Parameters!$F$25+G57*Parameters!$F$30</f>
        <v>0.020615843020800023</v>
      </c>
      <c r="O57" s="7">
        <f>0</f>
        <v>0</v>
      </c>
      <c r="P57" s="7">
        <f>M57-N57-O57</f>
        <v>0.01626013590655418</v>
      </c>
      <c r="Q57" s="7">
        <f>0</f>
        <v>0</v>
      </c>
      <c r="R57" s="7">
        <f>P57-Q57</f>
        <v>0.01626013590655418</v>
      </c>
      <c r="S57" s="7">
        <f>IF(A57&lt;1+Parameters!$F$31,0,INDEX($M$45:$M$80,A57-Parameters!$F$31))</f>
        <v>0.05121663739910306</v>
      </c>
      <c r="T57" s="7">
        <f>T56+M57-S57</f>
        <v>0.036875978927354204</v>
      </c>
      <c r="U57" s="7">
        <f>S57-N57-O57-Q57</f>
        <v>0.030600794378303035</v>
      </c>
      <c r="V57" s="7">
        <f>V56+U57</f>
        <v>5.236477733056938</v>
      </c>
      <c r="W57" s="7">
        <f>(1-Parameters!$F$7)*(C57-E57)+(1-Parameters!$F$8)*(D57+E57)</f>
        <v>0.013743895347200013</v>
      </c>
      <c r="X57" s="7">
        <f>Parameters!$F$7*(C57-E57)+Parameters!$F$8*Parameters!$F$9*(D57+E57)</f>
        <v>0.013974055172471068</v>
      </c>
      <c r="Y57" s="7">
        <f>Parameters!$F$8*(1-Parameters!$F$9)*(D57+E57)</f>
        <v>0.041001526216329</v>
      </c>
      <c r="Z57" s="7">
        <f>POWER(1/(1+Parameters!$F$32),A57-1)*(M57-N57)</f>
        <v>0.014430045012977613</v>
      </c>
    </row>
    <row r="58" spans="1:26">
      <c r="A58" s="7">
        <v>14</v>
      </c>
      <c r="B58" s="7">
        <f>0</f>
        <v>0</v>
      </c>
      <c r="C58" s="7">
        <f>X57+B58</f>
        <v>0.013974055172471068</v>
      </c>
      <c r="D58" s="7">
        <f>Y57</f>
        <v>0.04100152621632901</v>
      </c>
      <c r="E58" s="7">
        <f>Parameters!$F$6*C58</f>
        <v>0.001397405517247107</v>
      </c>
      <c r="F58" s="7">
        <f>IF(Parameters!$F$5=1,E58,0)</f>
        <v>0.0</v>
      </c>
      <c r="G58" s="7">
        <f>Parameters!$F$27*G57+F58</f>
        <v>0.0</v>
      </c>
      <c r="H58" s="7">
        <f>IF(AND(Parameters!$F$5=1,Parameters!$F$26=1),SUMPRODUCT(--($A$45:A58&lt;A58),--(MOD(A58-$A$45:A58,Parameters!$F$28)=0),$F$45:F58,POWER(Parameters!$F$27,IF(A58-$A$45:A58=0,1,A58-$A$45:A58))),0)</f>
        <v>0.0</v>
      </c>
      <c r="I58" s="7">
        <f>Parameters!$F$23*I57+B58*Parameters!$F$22</f>
        <v>0.0</v>
      </c>
      <c r="J58" s="7">
        <f>E58*Parameters!$F$14*(1-Parameters!$F$15)</f>
        <v>0.026550704827695032</v>
      </c>
      <c r="K58" s="7">
        <f>H58*Parameters!$F$29</f>
        <v>0.0</v>
      </c>
      <c r="L58" s="7">
        <f>I58*Parameters!$F$24</f>
        <v>0.0</v>
      </c>
      <c r="M58" s="7">
        <f>J58+K58+L58</f>
        <v>0.026550704827695032</v>
      </c>
      <c r="N58" s="7">
        <f>C58*Parameters!$F$17+D58*Parameters!$F$18+E58*Parameters!$F$16+I58*Parameters!$F$25+G58*Parameters!$F$30</f>
        <v>0.016492674416640023</v>
      </c>
      <c r="O58" s="7">
        <f>0</f>
        <v>0</v>
      </c>
      <c r="P58" s="7">
        <f>M58-N58-O58</f>
        <v>0.010058030411055009</v>
      </c>
      <c r="Q58" s="7">
        <f>0</f>
        <v>0</v>
      </c>
      <c r="R58" s="7">
        <f>P58-Q58</f>
        <v>0.010058030411055009</v>
      </c>
      <c r="S58" s="7">
        <f>IF(A58&lt;1+Parameters!$F$31,0,INDEX($M$45:$M$80,A58-Parameters!$F$31))</f>
        <v>0.036875978927354204</v>
      </c>
      <c r="T58" s="7">
        <f>T57+M58-S58</f>
        <v>0.026550704827695032</v>
      </c>
      <c r="U58" s="7">
        <f>S58-N58-O58-Q58</f>
        <v>0.02038330451071418</v>
      </c>
      <c r="V58" s="7">
        <f>V57+U58</f>
        <v>5.256861037567652</v>
      </c>
      <c r="W58" s="7">
        <f>(1-Parameters!$F$7)*(C58-E58)+(1-Parameters!$F$8)*(D58+E58)</f>
        <v>0.010995116277760012</v>
      </c>
      <c r="X58" s="7">
        <f>Parameters!$F$7*(C58-E58)+Parameters!$F$8*Parameters!$F$9*(D58+E58)</f>
        <v>0.010061319724179169</v>
      </c>
      <c r="Y58" s="7">
        <f>Parameters!$F$8*(1-Parameters!$F$9)*(D58+E58)</f>
        <v>0.03391914538686089</v>
      </c>
      <c r="Z58" s="7">
        <f>POWER(1/(1+Parameters!$F$32),A58-1)*(M58-N58)</f>
        <v>0.008837615144538733</v>
      </c>
    </row>
    <row r="59" spans="1:26">
      <c r="A59" s="7">
        <v>15</v>
      </c>
      <c r="B59" s="7">
        <f>0</f>
        <v>0</v>
      </c>
      <c r="C59" s="7">
        <f>X58+B59</f>
        <v>0.01006131972417917</v>
      </c>
      <c r="D59" s="7">
        <f>Y58</f>
        <v>0.03391914538686089</v>
      </c>
      <c r="E59" s="7">
        <f>Parameters!$F$6*C59</f>
        <v>0.0010061319724179172</v>
      </c>
      <c r="F59" s="7">
        <f>IF(Parameters!$F$5=1,E59,0)</f>
        <v>0.0</v>
      </c>
      <c r="G59" s="7">
        <f>Parameters!$F$27*G58+F59</f>
        <v>0.0</v>
      </c>
      <c r="H59" s="7">
        <f>IF(AND(Parameters!$F$5=1,Parameters!$F$26=1),SUMPRODUCT(--($A$45:A59&lt;A59),--(MOD(A59-$A$45:A59,Parameters!$F$28)=0),$F$45:F59,POWER(Parameters!$F$27,IF(A59-$A$45:A59=0,1,A59-$A$45:A59))),0)</f>
        <v>0.0</v>
      </c>
      <c r="I59" s="7">
        <f>Parameters!$F$23*I58+B59*Parameters!$F$22</f>
        <v>0.0</v>
      </c>
      <c r="J59" s="7">
        <f>E59*Parameters!$F$14*(1-Parameters!$F$15)</f>
        <v>0.019116507475940427</v>
      </c>
      <c r="K59" s="7">
        <f>H59*Parameters!$F$29</f>
        <v>0.0</v>
      </c>
      <c r="L59" s="7">
        <f>I59*Parameters!$F$24</f>
        <v>0.0</v>
      </c>
      <c r="M59" s="7">
        <f>J59+K59+L59</f>
        <v>0.019116507475940427</v>
      </c>
      <c r="N59" s="7">
        <f>C59*Parameters!$F$17+D59*Parameters!$F$18+E59*Parameters!$F$16+I59*Parameters!$F$25+G59*Parameters!$F$30</f>
        <v>0.013194139533312018</v>
      </c>
      <c r="O59" s="7">
        <f>0</f>
        <v>0</v>
      </c>
      <c r="P59" s="7">
        <f>M59-N59-O59</f>
        <v>0.005922367942628409</v>
      </c>
      <c r="Q59" s="7">
        <f>0</f>
        <v>0</v>
      </c>
      <c r="R59" s="7">
        <f>P59-Q59</f>
        <v>0.005922367942628409</v>
      </c>
      <c r="S59" s="7">
        <f>IF(A59&lt;1+Parameters!$F$31,0,INDEX($M$45:$M$80,A59-Parameters!$F$31))</f>
        <v>0.026550704827695032</v>
      </c>
      <c r="T59" s="7">
        <f>T58+M59-S59</f>
        <v>0.019116507475940427</v>
      </c>
      <c r="U59" s="7">
        <f>S59-N59-O59-Q59</f>
        <v>0.013356565294383014</v>
      </c>
      <c r="V59" s="7">
        <f>V58+U59</f>
        <v>5.270217602862035</v>
      </c>
      <c r="W59" s="7">
        <f>(1-Parameters!$F$7)*(C59-E59)+(1-Parameters!$F$8)*(D59+E59)</f>
        <v>0.00879609302220801</v>
      </c>
      <c r="X59" s="7">
        <f>Parameters!$F$7*(C59-E59)+Parameters!$F$8*Parameters!$F$9*(D59+E59)</f>
        <v>0.007244150201409003</v>
      </c>
      <c r="Y59" s="7">
        <f>Parameters!$F$8*(1-Parameters!$F$9)*(D59+E59)</f>
        <v>0.027940221887423046</v>
      </c>
      <c r="Z59" s="7">
        <f>POWER(1/(1+Parameters!$F$32),A59-1)*(M59-N59)</f>
        <v>0.00515224080229464</v>
      </c>
    </row>
    <row r="60" spans="1:26">
      <c r="A60" s="7">
        <v>16</v>
      </c>
      <c r="B60" s="7">
        <f>0</f>
        <v>0</v>
      </c>
      <c r="C60" s="7">
        <f>X59+B60</f>
        <v>0.007244150201409004</v>
      </c>
      <c r="D60" s="7">
        <f>Y59</f>
        <v>0.027940221887423046</v>
      </c>
      <c r="E60" s="7">
        <f>Parameters!$F$6*C60</f>
        <v>0.0007244150201409004</v>
      </c>
      <c r="F60" s="7">
        <f>IF(Parameters!$F$5=1,E60,0)</f>
        <v>0.0</v>
      </c>
      <c r="G60" s="7">
        <f>Parameters!$F$27*G59+F60</f>
        <v>0.0</v>
      </c>
      <c r="H60" s="7">
        <f>IF(AND(Parameters!$F$5=1,Parameters!$F$26=1),SUMPRODUCT(--($A$45:A60&lt;A60),--(MOD(A60-$A$45:A60,Parameters!$F$28)=0),$F$45:F60,POWER(Parameters!$F$27,IF(A60-$A$45:A60=0,1,A60-$A$45:A60))),0)</f>
        <v>0.0</v>
      </c>
      <c r="I60" s="7">
        <f>Parameters!$F$23*I59+B60*Parameters!$F$22</f>
        <v>0.0</v>
      </c>
      <c r="J60" s="7">
        <f>E60*Parameters!$F$14*(1-Parameters!$F$15)</f>
        <v>0.013763885382677107</v>
      </c>
      <c r="K60" s="7">
        <f>H60*Parameters!$F$29</f>
        <v>0.0</v>
      </c>
      <c r="L60" s="7">
        <f>I60*Parameters!$F$24</f>
        <v>0.0</v>
      </c>
      <c r="M60" s="7">
        <f>J60+K60+L60</f>
        <v>0.013763885382677107</v>
      </c>
      <c r="N60" s="7">
        <f>C60*Parameters!$F$17+D60*Parameters!$F$18+E60*Parameters!$F$16+I60*Parameters!$F$25+G60*Parameters!$F$30</f>
        <v>0.010555311626649614</v>
      </c>
      <c r="O60" s="7">
        <f>0</f>
        <v>0</v>
      </c>
      <c r="P60" s="7">
        <f>M60-N60-O60</f>
        <v>0.0032085737560274934</v>
      </c>
      <c r="Q60" s="7">
        <f>0</f>
        <v>0</v>
      </c>
      <c r="R60" s="7">
        <f>P60-Q60</f>
        <v>0.0032085737560274934</v>
      </c>
      <c r="S60" s="7">
        <f>IF(A60&lt;1+Parameters!$F$31,0,INDEX($M$45:$M$80,A60-Parameters!$F$31))</f>
        <v>0.019116507475940427</v>
      </c>
      <c r="T60" s="7">
        <f>T59+M60-S60</f>
        <v>0.013763885382677107</v>
      </c>
      <c r="U60" s="7">
        <f>S60-N60-O60-Q60</f>
        <v>0.008561195849290814</v>
      </c>
      <c r="V60" s="7">
        <f>V59+U60</f>
        <v>5.2787787987113255</v>
      </c>
      <c r="W60" s="7">
        <f>(1-Parameters!$F$7)*(C60-E60)+(1-Parameters!$F$8)*(D60+E60)</f>
        <v>0.0070368744177664085</v>
      </c>
      <c r="X60" s="7">
        <f>Parameters!$F$7*(C60-E60)+Parameters!$F$8*Parameters!$F$9*(D60+E60)</f>
        <v>0.005215788145014483</v>
      </c>
      <c r="Y60" s="7">
        <f>Parameters!$F$8*(1-Parameters!$F$9)*(D60+E60)</f>
        <v>0.02293170952605116</v>
      </c>
      <c r="Z60" s="7">
        <f>POWER(1/(1+Parameters!$F$32),A60-1)*(M60-N60)</f>
        <v>0.0027637033197024006</v>
      </c>
    </row>
    <row r="61" spans="1:26">
      <c r="A61" s="7">
        <v>17</v>
      </c>
      <c r="B61" s="7">
        <f>0</f>
        <v>0</v>
      </c>
      <c r="C61" s="7">
        <f>X60+B61</f>
        <v>0.005215788145014483</v>
      </c>
      <c r="D61" s="7">
        <f>Y60</f>
        <v>0.02293170952605116</v>
      </c>
      <c r="E61" s="7">
        <f>Parameters!$F$6*C61</f>
        <v>0.0005215788145014484</v>
      </c>
      <c r="F61" s="7">
        <f>IF(Parameters!$F$5=1,E61,0)</f>
        <v>0.0</v>
      </c>
      <c r="G61" s="7">
        <f>Parameters!$F$27*G60+F61</f>
        <v>0.0</v>
      </c>
      <c r="H61" s="7">
        <f>IF(AND(Parameters!$F$5=1,Parameters!$F$26=1),SUMPRODUCT(--($A$45:A61&lt;A61),--(MOD(A61-$A$45:A61,Parameters!$F$28)=0),$F$45:F61,POWER(Parameters!$F$27,IF(A61-$A$45:A61=0,1,A61-$A$45:A61))),0)</f>
        <v>0.0</v>
      </c>
      <c r="I61" s="7">
        <f>Parameters!$F$23*I60+B61*Parameters!$F$22</f>
        <v>0.0</v>
      </c>
      <c r="J61" s="7">
        <f>E61*Parameters!$F$14*(1-Parameters!$F$15)</f>
        <v>0.009909997475527519</v>
      </c>
      <c r="K61" s="7">
        <f>H61*Parameters!$F$29</f>
        <v>0.0</v>
      </c>
      <c r="L61" s="7">
        <f>I61*Parameters!$F$24</f>
        <v>0.0</v>
      </c>
      <c r="M61" s="7">
        <f>J61+K61+L61</f>
        <v>0.009909997475527519</v>
      </c>
      <c r="N61" s="7">
        <f>C61*Parameters!$F$17+D61*Parameters!$F$18+E61*Parameters!$F$16+I61*Parameters!$F$25+G61*Parameters!$F$30</f>
        <v>0.008444249301319692</v>
      </c>
      <c r="O61" s="7">
        <f>0</f>
        <v>0</v>
      </c>
      <c r="P61" s="7">
        <f>M61-N61-O61</f>
        <v>0.0014657481742078263</v>
      </c>
      <c r="Q61" s="7">
        <f>0</f>
        <v>0</v>
      </c>
      <c r="R61" s="7">
        <f>P61-Q61</f>
        <v>0.0014657481742078263</v>
      </c>
      <c r="S61" s="7">
        <f>IF(A61&lt;1+Parameters!$F$31,0,INDEX($M$45:$M$80,A61-Parameters!$F$31))</f>
        <v>0.013763885382677107</v>
      </c>
      <c r="T61" s="7">
        <f>T60+M61-S61</f>
        <v>0.009909997475527519</v>
      </c>
      <c r="U61" s="7">
        <f>S61-N61-O61-Q61</f>
        <v>0.005319636081357415</v>
      </c>
      <c r="V61" s="7">
        <f>V60+U61</f>
        <v>5.284098434792683</v>
      </c>
      <c r="W61" s="7">
        <f>(1-Parameters!$F$7)*(C61-E61)+(1-Parameters!$F$8)*(D61+E61)</f>
        <v>0.0056294995342131265</v>
      </c>
      <c r="X61" s="7">
        <f>Parameters!$F$7*(C61-E61)+Parameters!$F$8*Parameters!$F$9*(D61+E61)</f>
        <v>0.003755367464410428</v>
      </c>
      <c r="Y61" s="7">
        <f>Parameters!$F$8*(1-Parameters!$F$9)*(D61+E61)</f>
        <v>0.018762630672442087</v>
      </c>
      <c r="Z61" s="7">
        <f>POWER(1/(1+Parameters!$F$32),A61-1)*(M61-N61)</f>
        <v>0.0012500212080045212</v>
      </c>
    </row>
    <row r="62" spans="1:26">
      <c r="A62" s="7">
        <v>18</v>
      </c>
      <c r="B62" s="7">
        <f>0</f>
        <v>0</v>
      </c>
      <c r="C62" s="7">
        <f>X61+B62</f>
        <v>0.003755367464410428</v>
      </c>
      <c r="D62" s="7">
        <f>Y61</f>
        <v>0.018762630672442087</v>
      </c>
      <c r="E62" s="7">
        <f>Parameters!$F$6*C62</f>
        <v>0.0003755367464410428</v>
      </c>
      <c r="F62" s="7">
        <f>IF(Parameters!$F$5=1,E62,0)</f>
        <v>0.0</v>
      </c>
      <c r="G62" s="7">
        <f>Parameters!$F$27*G61+F62</f>
        <v>0.0</v>
      </c>
      <c r="H62" s="7">
        <f>IF(AND(Parameters!$F$5=1,Parameters!$F$26=1),SUMPRODUCT(--($A$45:A62&lt;A62),--(MOD(A62-$A$45:A62,Parameters!$F$28)=0),$F$45:F62,POWER(Parameters!$F$27,IF(A62-$A$45:A62=0,1,A62-$A$45:A62))),0)</f>
        <v>0.0</v>
      </c>
      <c r="I62" s="7">
        <f>Parameters!$F$23*I61+B62*Parameters!$F$22</f>
        <v>0.0</v>
      </c>
      <c r="J62" s="7">
        <f>E62*Parameters!$F$14*(1-Parameters!$F$15)</f>
        <v>0.007135198182379813</v>
      </c>
      <c r="K62" s="7">
        <f>H62*Parameters!$F$29</f>
        <v>0.0</v>
      </c>
      <c r="L62" s="7">
        <f>I62*Parameters!$F$24</f>
        <v>0.0</v>
      </c>
      <c r="M62" s="7">
        <f>J62+K62+L62</f>
        <v>0.007135198182379813</v>
      </c>
      <c r="N62" s="7">
        <f>C62*Parameters!$F$17+D62*Parameters!$F$18+E62*Parameters!$F$16+I62*Parameters!$F$25+G62*Parameters!$F$30</f>
        <v>0.006755399441055754</v>
      </c>
      <c r="O62" s="7">
        <f>0</f>
        <v>0</v>
      </c>
      <c r="P62" s="7">
        <f>M62-N62-O62</f>
        <v>0.0003797987413240592</v>
      </c>
      <c r="Q62" s="7">
        <f>0</f>
        <v>0</v>
      </c>
      <c r="R62" s="7">
        <f>P62-Q62</f>
        <v>0.0003797987413240592</v>
      </c>
      <c r="S62" s="7">
        <f>IF(A62&lt;1+Parameters!$F$31,0,INDEX($M$45:$M$80,A62-Parameters!$F$31))</f>
        <v>0.009909997475527519</v>
      </c>
      <c r="T62" s="7">
        <f>T61+M62-S62</f>
        <v>0.007135198182379813</v>
      </c>
      <c r="U62" s="7">
        <f>S62-N62-O62-Q62</f>
        <v>0.0031545980344717646</v>
      </c>
      <c r="V62" s="7">
        <f>V61+U62</f>
        <v>5.287253032827155</v>
      </c>
      <c r="W62" s="7">
        <f>(1-Parameters!$F$7)*(C62-E62)+(1-Parameters!$F$8)*(D62+E62)</f>
        <v>0.0045035996273705015</v>
      </c>
      <c r="X62" s="7">
        <f>Parameters!$F$7*(C62-E62)+Parameters!$F$8*Parameters!$F$9*(D62+E62)</f>
        <v>0.0027038645743755084</v>
      </c>
      <c r="Y62" s="7">
        <f>Parameters!$F$8*(1-Parameters!$F$9)*(D62+E62)</f>
        <v>0.015310533935106506</v>
      </c>
      <c r="Z62" s="7">
        <f>POWER(1/(1+Parameters!$F$32),A62-1)*(M62-N62)</f>
        <v>0.0003206935068914397</v>
      </c>
    </row>
    <row r="63" spans="1:26">
      <c r="A63" s="7">
        <v>19</v>
      </c>
      <c r="B63" s="7">
        <f>0</f>
        <v>0</v>
      </c>
      <c r="C63" s="7">
        <f>X62+B63</f>
        <v>0.0027038645743755084</v>
      </c>
      <c r="D63" s="7">
        <f>Y62</f>
        <v>0.015310533935106506</v>
      </c>
      <c r="E63" s="7">
        <f>Parameters!$F$6*C63</f>
        <v>0.00027038645743755085</v>
      </c>
      <c r="F63" s="7">
        <f>IF(Parameters!$F$5=1,E63,0)</f>
        <v>0.0</v>
      </c>
      <c r="G63" s="7">
        <f>Parameters!$F$27*G62+F63</f>
        <v>0.0</v>
      </c>
      <c r="H63" s="7">
        <f>IF(AND(Parameters!$F$5=1,Parameters!$F$26=1),SUMPRODUCT(--($A$45:A63&lt;A63),--(MOD(A63-$A$45:A63,Parameters!$F$28)=0),$F$45:F63,POWER(Parameters!$F$27,IF(A63-$A$45:A63=0,1,A63-$A$45:A63))),0)</f>
        <v>0.0</v>
      </c>
      <c r="I63" s="7">
        <f>Parameters!$F$23*I62+B63*Parameters!$F$22</f>
        <v>0.0</v>
      </c>
      <c r="J63" s="7">
        <f>E63*Parameters!$F$14*(1-Parameters!$F$15)</f>
        <v>0.005137342691313465</v>
      </c>
      <c r="K63" s="7">
        <f>H63*Parameters!$F$29</f>
        <v>0.0</v>
      </c>
      <c r="L63" s="7">
        <f>I63*Parameters!$F$24</f>
        <v>0.0</v>
      </c>
      <c r="M63" s="7">
        <f>J63+K63+L63</f>
        <v>0.005137342691313465</v>
      </c>
      <c r="N63" s="7">
        <f>C63*Parameters!$F$17+D63*Parameters!$F$18+E63*Parameters!$F$16+I63*Parameters!$F$25+G63*Parameters!$F$30</f>
        <v>0.005404319552844604</v>
      </c>
      <c r="O63" s="7">
        <f>0</f>
        <v>0</v>
      </c>
      <c r="P63" s="7">
        <f>M63-N63-O63</f>
        <v>-0.00026697686153113846</v>
      </c>
      <c r="Q63" s="7">
        <f>0</f>
        <v>0</v>
      </c>
      <c r="R63" s="7">
        <f>P63-Q63</f>
        <v>-0.00026697686153113846</v>
      </c>
      <c r="S63" s="7">
        <f>IF(A63&lt;1+Parameters!$F$31,0,INDEX($M$45:$M$80,A63-Parameters!$F$31))</f>
        <v>0.007135198182379813</v>
      </c>
      <c r="T63" s="7">
        <f>T62+M63-S63</f>
        <v>0.005137342691313465</v>
      </c>
      <c r="U63" s="7">
        <f>S63-N63-O63-Q63</f>
        <v>0.0017308786295352095</v>
      </c>
      <c r="V63" s="7">
        <f>V62+U63</f>
        <v>5.288983911456691</v>
      </c>
      <c r="W63" s="7">
        <f>(1-Parameters!$F$7)*(C63-E63)+(1-Parameters!$F$8)*(D63+E63)</f>
        <v>0.003602879701896402</v>
      </c>
      <c r="X63" s="7">
        <f>Parameters!$F$7*(C63-E63)+Parameters!$F$8*Parameters!$F$9*(D63+E63)</f>
        <v>0.001946782493550366</v>
      </c>
      <c r="Y63" s="7">
        <f>Parameters!$F$8*(1-Parameters!$F$9)*(D63+E63)</f>
        <v>0.012464736314035246</v>
      </c>
      <c r="Z63" s="7">
        <f>POWER(1/(1+Parameters!$F$32),A63-1)*(M63-N63)</f>
        <v>-0.00022319727872842493</v>
      </c>
    </row>
    <row r="64" spans="1:26">
      <c r="A64" s="7">
        <v>20</v>
      </c>
      <c r="B64" s="7">
        <f>0</f>
        <v>0</v>
      </c>
      <c r="C64" s="7">
        <f>X63+B64</f>
        <v>0.0019467824935503661</v>
      </c>
      <c r="D64" s="7">
        <f>Y63</f>
        <v>0.012464736314035246</v>
      </c>
      <c r="E64" s="7">
        <f>Parameters!$F$6*C64</f>
        <v>0.00019467824935503661</v>
      </c>
      <c r="F64" s="7">
        <f>IF(Parameters!$F$5=1,E64,0)</f>
        <v>0.0</v>
      </c>
      <c r="G64" s="7">
        <f>Parameters!$F$27*G63+F64</f>
        <v>0.0</v>
      </c>
      <c r="H64" s="7">
        <f>IF(AND(Parameters!$F$5=1,Parameters!$F$26=1),SUMPRODUCT(--($A$45:A64&lt;A64),--(MOD(A64-$A$45:A64,Parameters!$F$28)=0),$F$45:F64,POWER(Parameters!$F$27,IF(A64-$A$45:A64=0,1,A64-$A$45:A64))),0)</f>
        <v>0.0</v>
      </c>
      <c r="I64" s="7">
        <f>Parameters!$F$23*I63+B64*Parameters!$F$22</f>
        <v>0.0</v>
      </c>
      <c r="J64" s="7">
        <f>E64*Parameters!$F$14*(1-Parameters!$F$15)</f>
        <v>0.0036988867377456955</v>
      </c>
      <c r="K64" s="7">
        <f>H64*Parameters!$F$29</f>
        <v>0.0</v>
      </c>
      <c r="L64" s="7">
        <f>I64*Parameters!$F$24</f>
        <v>0.0</v>
      </c>
      <c r="M64" s="7">
        <f>J64+K64+L64</f>
        <v>0.0036988867377456955</v>
      </c>
      <c r="N64" s="7">
        <f>C64*Parameters!$F$17+D64*Parameters!$F$18+E64*Parameters!$F$16+I64*Parameters!$F$25+G64*Parameters!$F$30</f>
        <v>0.004323455642275684</v>
      </c>
      <c r="O64" s="7">
        <f>0</f>
        <v>0</v>
      </c>
      <c r="P64" s="7">
        <f>M64-N64-O64</f>
        <v>-0.0006245689045299889</v>
      </c>
      <c r="Q64" s="7">
        <f>0</f>
        <v>0</v>
      </c>
      <c r="R64" s="7">
        <f>P64-Q64</f>
        <v>-0.0006245689045299889</v>
      </c>
      <c r="S64" s="7">
        <f>IF(A64&lt;1+Parameters!$F$31,0,INDEX($M$45:$M$80,A64-Parameters!$F$31))</f>
        <v>0.005137342691313465</v>
      </c>
      <c r="T64" s="7">
        <f>T63+M64-S64</f>
        <v>0.0036988867377456955</v>
      </c>
      <c r="U64" s="7">
        <f>S64-N64-O64-Q64</f>
        <v>0.0008138870490377809</v>
      </c>
      <c r="V64" s="7">
        <f>V63+U64</f>
        <v>5.289797798505728</v>
      </c>
      <c r="W64" s="7">
        <f>(1-Parameters!$F$7)*(C64-E64)+(1-Parameters!$F$8)*(D64+E64)</f>
        <v>0.002882303761517122</v>
      </c>
      <c r="X64" s="7">
        <f>Parameters!$F$7*(C64-E64)+Parameters!$F$8*Parameters!$F$9*(D64+E64)</f>
        <v>0.0014016833953562637</v>
      </c>
      <c r="Y64" s="7">
        <f>Parameters!$F$8*(1-Parameters!$F$9)*(D64+E64)</f>
        <v>0.010127531650712228</v>
      </c>
      <c r="Z64" s="7">
        <f>POWER(1/(1+Parameters!$F$32),A64-1)*(M64-N64)</f>
        <v>-0.0005169806119726964</v>
      </c>
    </row>
    <row r="65" spans="1:26">
      <c r="A65" s="7">
        <v>21</v>
      </c>
      <c r="B65" s="7">
        <f>0</f>
        <v>0</v>
      </c>
      <c r="C65" s="7">
        <f>X64+B65</f>
        <v>0.0014016833953562637</v>
      </c>
      <c r="D65" s="7">
        <f>Y64</f>
        <v>0.010127531650712226</v>
      </c>
      <c r="E65" s="7">
        <f>Parameters!$F$6*C65</f>
        <v>0.00014016833953562637</v>
      </c>
      <c r="F65" s="7">
        <f>IF(Parameters!$F$5=1,E65,0)</f>
        <v>0.0</v>
      </c>
      <c r="G65" s="7">
        <f>Parameters!$F$27*G64+F65</f>
        <v>0.0</v>
      </c>
      <c r="H65" s="7">
        <f>IF(AND(Parameters!$F$5=1,Parameters!$F$26=1),SUMPRODUCT(--($A$45:A65&lt;A65),--(MOD(A65-$A$45:A65,Parameters!$F$28)=0),$F$45:F65,POWER(Parameters!$F$27,IF(A65-$A$45:A65=0,1,A65-$A$45:A65))),0)</f>
        <v>0.0</v>
      </c>
      <c r="I65" s="7">
        <f>Parameters!$F$23*I64+B65*Parameters!$F$22</f>
        <v>0.0</v>
      </c>
      <c r="J65" s="7">
        <f>E65*Parameters!$F$14*(1-Parameters!$F$15)</f>
        <v>0.002663198451176901</v>
      </c>
      <c r="K65" s="7">
        <f>H65*Parameters!$F$29</f>
        <v>0.0</v>
      </c>
      <c r="L65" s="7">
        <f>I65*Parameters!$F$24</f>
        <v>0.0</v>
      </c>
      <c r="M65" s="7">
        <f>J65+K65+L65</f>
        <v>0.002663198451176901</v>
      </c>
      <c r="N65" s="7">
        <f>C65*Parameters!$F$17+D65*Parameters!$F$18+E65*Parameters!$F$16+I65*Parameters!$F$25+G65*Parameters!$F$30</f>
        <v>0.0034587645138205465</v>
      </c>
      <c r="O65" s="7">
        <f>0</f>
        <v>0</v>
      </c>
      <c r="P65" s="7">
        <f>M65-N65-O65</f>
        <v>-0.0007955660626436456</v>
      </c>
      <c r="Q65" s="7">
        <f>0</f>
        <v>0</v>
      </c>
      <c r="R65" s="7">
        <f>P65-Q65</f>
        <v>-0.0007955660626436456</v>
      </c>
      <c r="S65" s="7">
        <f>IF(A65&lt;1+Parameters!$F$31,0,INDEX($M$45:$M$80,A65-Parameters!$F$31))</f>
        <v>0.0036988867377456955</v>
      </c>
      <c r="T65" s="7">
        <f>T64+M65-S65</f>
        <v>0.002663198451176901</v>
      </c>
      <c r="U65" s="7">
        <f>S65-N65-O65-Q65</f>
        <v>0.000240122223925149</v>
      </c>
      <c r="V65" s="7">
        <f>V64+U65</f>
        <v>5.290037920729653</v>
      </c>
      <c r="W65" s="7">
        <f>(1-Parameters!$F$7)*(C65-E65)+(1-Parameters!$F$8)*(D65+E65)</f>
        <v>0.0023058430092136976</v>
      </c>
      <c r="X65" s="7">
        <f>Parameters!$F$7*(C65-E65)+Parameters!$F$8*Parameters!$F$9*(D65+E65)</f>
        <v>0.0010092120446565098</v>
      </c>
      <c r="Y65" s="7">
        <f>Parameters!$F$8*(1-Parameters!$F$9)*(D65+E65)</f>
        <v>0.008214159992198282</v>
      </c>
      <c r="Z65" s="7">
        <f>POWER(1/(1+Parameters!$F$32),A65-1)*(M65-N65)</f>
        <v>-0.0006520017674276141</v>
      </c>
    </row>
    <row r="66" spans="1:26">
      <c r="A66" s="7">
        <v>22</v>
      </c>
      <c r="B66" s="7">
        <f>0</f>
        <v>0</v>
      </c>
      <c r="C66" s="7">
        <f>X65+B66</f>
        <v>0.00100921204465651</v>
      </c>
      <c r="D66" s="7">
        <f>Y65</f>
        <v>0.008214159992198282</v>
      </c>
      <c r="E66" s="7">
        <f>Parameters!$F$6*C66</f>
        <v>0.00010092120446565101</v>
      </c>
      <c r="F66" s="7">
        <f>IF(Parameters!$F$5=1,E66,0)</f>
        <v>0.0</v>
      </c>
      <c r="G66" s="7">
        <f>Parameters!$F$27*G65+F66</f>
        <v>0.0</v>
      </c>
      <c r="H66" s="7">
        <f>IF(AND(Parameters!$F$5=1,Parameters!$F$26=1),SUMPRODUCT(--($A$45:A66&lt;A66),--(MOD(A66-$A$45:A66,Parameters!$F$28)=0),$F$45:F66,POWER(Parameters!$F$27,IF(A66-$A$45:A66=0,1,A66-$A$45:A66))),0)</f>
        <v>0.0</v>
      </c>
      <c r="I66" s="7">
        <f>Parameters!$F$23*I65+B66*Parameters!$F$22</f>
        <v>0.0</v>
      </c>
      <c r="J66" s="7">
        <f>E66*Parameters!$F$14*(1-Parameters!$F$15)</f>
        <v>0.001917502884847369</v>
      </c>
      <c r="K66" s="7">
        <f>H66*Parameters!$F$29</f>
        <v>0.0</v>
      </c>
      <c r="L66" s="7">
        <f>I66*Parameters!$F$24</f>
        <v>0.0</v>
      </c>
      <c r="M66" s="7">
        <f>J66+K66+L66</f>
        <v>0.001917502884847369</v>
      </c>
      <c r="N66" s="7">
        <f>C66*Parameters!$F$17+D66*Parameters!$F$18+E66*Parameters!$F$16+I66*Parameters!$F$25+G66*Parameters!$F$30</f>
        <v>0.0027670116110564374</v>
      </c>
      <c r="O66" s="7">
        <f>0</f>
        <v>0</v>
      </c>
      <c r="P66" s="7">
        <f>M66-N66-O66</f>
        <v>-0.0008495087262090685</v>
      </c>
      <c r="Q66" s="7">
        <f>0</f>
        <v>0</v>
      </c>
      <c r="R66" s="7">
        <f>P66-Q66</f>
        <v>-0.0008495087262090685</v>
      </c>
      <c r="S66" s="7">
        <f>IF(A66&lt;1+Parameters!$F$31,0,INDEX($M$45:$M$80,A66-Parameters!$F$31))</f>
        <v>0.002663198451176901</v>
      </c>
      <c r="T66" s="7">
        <f>T65+M66-S66</f>
        <v>0.001917502884847369</v>
      </c>
      <c r="U66" s="7">
        <f>S66-N66-O66-Q66</f>
        <v>-0.0001038131598795366</v>
      </c>
      <c r="V66" s="7">
        <f>V65+U66</f>
        <v>5.289934107569774</v>
      </c>
      <c r="W66" s="7">
        <f>(1-Parameters!$F$7)*(C66-E66)+(1-Parameters!$F$8)*(D66+E66)</f>
        <v>0.001844674407370958</v>
      </c>
      <c r="X66" s="7">
        <f>Parameters!$F$7*(C66-E66)+Parameters!$F$8*Parameters!$F$9*(D66+E66)</f>
        <v>0.0007266326721526873</v>
      </c>
      <c r="Y66" s="7">
        <f>Parameters!$F$8*(1-Parameters!$F$9)*(D66+E66)</f>
        <v>0.006652064957331148</v>
      </c>
      <c r="Z66" s="7">
        <f>POWER(1/(1+Parameters!$F$32),A66-1)*(M66-N66)</f>
        <v>-0.0006893170089781401</v>
      </c>
    </row>
    <row r="67" spans="1:26">
      <c r="A67" s="7">
        <v>23</v>
      </c>
      <c r="B67" s="7">
        <f>0</f>
        <v>0</v>
      </c>
      <c r="C67" s="7">
        <f>X66+B67</f>
        <v>0.0007266326721526873</v>
      </c>
      <c r="D67" s="7">
        <f>Y66</f>
        <v>0.006652064957331147</v>
      </c>
      <c r="E67" s="7">
        <f>Parameters!$F$6*C67</f>
        <v>7.266326721526873e-05</v>
      </c>
      <c r="F67" s="7">
        <f>IF(Parameters!$F$5=1,E67,0)</f>
        <v>0.0</v>
      </c>
      <c r="G67" s="7">
        <f>Parameters!$F$27*G66+F67</f>
        <v>0.0</v>
      </c>
      <c r="H67" s="7">
        <f>IF(AND(Parameters!$F$5=1,Parameters!$F$26=1),SUMPRODUCT(--($A$45:A67&lt;A67),--(MOD(A67-$A$45:A67,Parameters!$F$28)=0),$F$45:F67,POWER(Parameters!$F$27,IF(A67-$A$45:A67=0,1,A67-$A$45:A67))),0)</f>
        <v>0.0</v>
      </c>
      <c r="I67" s="7">
        <f>Parameters!$F$23*I66+B67*Parameters!$F$22</f>
        <v>0.0</v>
      </c>
      <c r="J67" s="7">
        <f>E67*Parameters!$F$14*(1-Parameters!$F$15)</f>
        <v>0.0013806020770901059</v>
      </c>
      <c r="K67" s="7">
        <f>H67*Parameters!$F$29</f>
        <v>0.0</v>
      </c>
      <c r="L67" s="7">
        <f>I67*Parameters!$F$24</f>
        <v>0.0</v>
      </c>
      <c r="M67" s="7">
        <f>J67+K67+L67</f>
        <v>0.0013806020770901059</v>
      </c>
      <c r="N67" s="7">
        <f>C67*Parameters!$F$17+D67*Parameters!$F$18+E67*Parameters!$F$16+I67*Parameters!$F$25+G67*Parameters!$F$30</f>
        <v>0.00221360928884515</v>
      </c>
      <c r="O67" s="7">
        <f>0</f>
        <v>0</v>
      </c>
      <c r="P67" s="7">
        <f>M67-N67-O67</f>
        <v>-0.0008330072117550442</v>
      </c>
      <c r="Q67" s="7">
        <f>0</f>
        <v>0</v>
      </c>
      <c r="R67" s="7">
        <f>P67-Q67</f>
        <v>-0.0008330072117550442</v>
      </c>
      <c r="S67" s="7">
        <f>IF(A67&lt;1+Parameters!$F$31,0,INDEX($M$45:$M$80,A67-Parameters!$F$31))</f>
        <v>0.001917502884847369</v>
      </c>
      <c r="T67" s="7">
        <f>T66+M67-S67</f>
        <v>0.0013806020770901059</v>
      </c>
      <c r="U67" s="7">
        <f>S67-N67-O67-Q67</f>
        <v>-0.00029610640399778117</v>
      </c>
      <c r="V67" s="7">
        <f>V66+U67</f>
        <v>5.289638001165776</v>
      </c>
      <c r="W67" s="7">
        <f>(1-Parameters!$F$7)*(C67-E67)+(1-Parameters!$F$8)*(D67+E67)</f>
        <v>0.0014757395258967665</v>
      </c>
      <c r="X67" s="7">
        <f>Parameters!$F$7*(C67-E67)+Parameters!$F$8*Parameters!$F$9*(D67+E67)</f>
        <v>0.0005231755239499348</v>
      </c>
      <c r="Y67" s="7">
        <f>Parameters!$F$8*(1-Parameters!$F$9)*(D67+E67)</f>
        <v>0.005379782579637133</v>
      </c>
      <c r="Z67" s="7">
        <f>POWER(1/(1+Parameters!$F$32),A67-1)*(M67-N67)</f>
        <v>-0.0006692348339818988</v>
      </c>
    </row>
    <row r="68" spans="1:26">
      <c r="A68" s="7">
        <v>24</v>
      </c>
      <c r="B68" s="7">
        <f>0</f>
        <v>0</v>
      </c>
      <c r="C68" s="7">
        <f>X67+B68</f>
        <v>0.0005231755239499349</v>
      </c>
      <c r="D68" s="7">
        <f>Y67</f>
        <v>0.005379782579637133</v>
      </c>
      <c r="E68" s="7">
        <f>Parameters!$F$6*C68</f>
        <v>5.23175523949935e-05</v>
      </c>
      <c r="F68" s="7">
        <f>IF(Parameters!$F$5=1,E68,0)</f>
        <v>0.0</v>
      </c>
      <c r="G68" s="7">
        <f>Parameters!$F$27*G67+F68</f>
        <v>0.0</v>
      </c>
      <c r="H68" s="7">
        <f>IF(AND(Parameters!$F$5=1,Parameters!$F$26=1),SUMPRODUCT(--($A$45:A68&lt;A68),--(MOD(A68-$A$45:A68,Parameters!$F$28)=0),$F$45:F68,POWER(Parameters!$F$27,IF(A68-$A$45:A68=0,1,A68-$A$45:A68))),0)</f>
        <v>0.0</v>
      </c>
      <c r="I68" s="7">
        <f>Parameters!$F$23*I67+B68*Parameters!$F$22</f>
        <v>0.0</v>
      </c>
      <c r="J68" s="7">
        <f>E68*Parameters!$F$14*(1-Parameters!$F$15)</f>
        <v>0.0009940334955048763</v>
      </c>
      <c r="K68" s="7">
        <f>H68*Parameters!$F$29</f>
        <v>0.0</v>
      </c>
      <c r="L68" s="7">
        <f>I68*Parameters!$F$24</f>
        <v>0.0</v>
      </c>
      <c r="M68" s="7">
        <f>J68+K68+L68</f>
        <v>0.0009940334955048763</v>
      </c>
      <c r="N68" s="7">
        <f>C68*Parameters!$F$17+D68*Parameters!$F$18+E68*Parameters!$F$16+I68*Parameters!$F$25+G68*Parameters!$F$30</f>
        <v>0.0017708874310761204</v>
      </c>
      <c r="O68" s="7">
        <f>0</f>
        <v>0</v>
      </c>
      <c r="P68" s="7">
        <f>M68-N68-O68</f>
        <v>-0.000776853935571244</v>
      </c>
      <c r="Q68" s="7">
        <f>0</f>
        <v>0</v>
      </c>
      <c r="R68" s="7">
        <f>P68-Q68</f>
        <v>-0.000776853935571244</v>
      </c>
      <c r="S68" s="7">
        <f>IF(A68&lt;1+Parameters!$F$31,0,INDEX($M$45:$M$80,A68-Parameters!$F$31))</f>
        <v>0.0013806020770901059</v>
      </c>
      <c r="T68" s="7">
        <f>T67+M68-S68</f>
        <v>0.0009940334955048763</v>
      </c>
      <c r="U68" s="7">
        <f>S68-N68-O68-Q68</f>
        <v>-0.0003902853539860145</v>
      </c>
      <c r="V68" s="7">
        <f>V67+U68</f>
        <v>5.28924771581179</v>
      </c>
      <c r="W68" s="7">
        <f>(1-Parameters!$F$7)*(C68-E68)+(1-Parameters!$F$8)*(D68+E68)</f>
        <v>0.0011805916207174134</v>
      </c>
      <c r="X68" s="7">
        <f>Parameters!$F$7*(C68-E68)+Parameters!$F$8*Parameters!$F$9*(D68+E68)</f>
        <v>0.0003766863772439532</v>
      </c>
      <c r="Y68" s="7">
        <f>Parameters!$F$8*(1-Parameters!$F$9)*(D68+E68)</f>
        <v>0.004345680105625701</v>
      </c>
      <c r="Z68" s="7">
        <f>POWER(1/(1+Parameters!$F$32),A68-1)*(M68-N68)</f>
        <v>-0.0006179420840678391</v>
      </c>
    </row>
    <row r="69" spans="1:26">
      <c r="A69" s="7">
        <v>25</v>
      </c>
      <c r="B69" s="7">
        <f>0</f>
        <v>0</v>
      </c>
      <c r="C69" s="7">
        <f>X68+B69</f>
        <v>0.0003766863772439532</v>
      </c>
      <c r="D69" s="7">
        <f>Y68</f>
        <v>0.004345680105625702</v>
      </c>
      <c r="E69" s="7">
        <f>Parameters!$F$6*C69</f>
        <v>3.7668637724395324e-05</v>
      </c>
      <c r="F69" s="7">
        <f>IF(Parameters!$F$5=1,E69,0)</f>
        <v>0.0</v>
      </c>
      <c r="G69" s="7">
        <f>Parameters!$F$27*G68+F69</f>
        <v>0.0</v>
      </c>
      <c r="H69" s="7">
        <f>IF(AND(Parameters!$F$5=1,Parameters!$F$26=1),SUMPRODUCT(--($A$45:A69&lt;A69),--(MOD(A69-$A$45:A69,Parameters!$F$28)=0),$F$45:F69,POWER(Parameters!$F$27,IF(A69-$A$45:A69=0,1,A69-$A$45:A69))),0)</f>
        <v>0.0</v>
      </c>
      <c r="I69" s="7">
        <f>Parameters!$F$23*I68+B69*Parameters!$F$22</f>
        <v>0.0</v>
      </c>
      <c r="J69" s="7">
        <f>E69*Parameters!$F$14*(1-Parameters!$F$15)</f>
        <v>0.0007157041167635111</v>
      </c>
      <c r="K69" s="7">
        <f>H69*Parameters!$F$29</f>
        <v>0.0</v>
      </c>
      <c r="L69" s="7">
        <f>I69*Parameters!$F$24</f>
        <v>0.0</v>
      </c>
      <c r="M69" s="7">
        <f>J69+K69+L69</f>
        <v>0.0007157041167635111</v>
      </c>
      <c r="N69" s="7">
        <f>C69*Parameters!$F$17+D69*Parameters!$F$18+E69*Parameters!$F$16+I69*Parameters!$F$25+G69*Parameters!$F$30</f>
        <v>0.0014167099448608965</v>
      </c>
      <c r="O69" s="7">
        <f>0</f>
        <v>0</v>
      </c>
      <c r="P69" s="7">
        <f>M69-N69-O69</f>
        <v>-0.0007010058280973854</v>
      </c>
      <c r="Q69" s="7">
        <f>0</f>
        <v>0</v>
      </c>
      <c r="R69" s="7">
        <f>P69-Q69</f>
        <v>-0.0007010058280973854</v>
      </c>
      <c r="S69" s="7">
        <f>IF(A69&lt;1+Parameters!$F$31,0,INDEX($M$45:$M$80,A69-Parameters!$F$31))</f>
        <v>0.0009940334955048763</v>
      </c>
      <c r="T69" s="7">
        <f>T68+M69-S69</f>
        <v>0.0007157041167635111</v>
      </c>
      <c r="U69" s="7">
        <f>S69-N69-O69-Q69</f>
        <v>-0.00042267644935602014</v>
      </c>
      <c r="V69" s="7">
        <f>V68+U69</f>
        <v>5.288825039362433</v>
      </c>
      <c r="W69" s="7">
        <f>(1-Parameters!$F$7)*(C69-E69)+(1-Parameters!$F$8)*(D69+E69)</f>
        <v>0.0009444732965739308</v>
      </c>
      <c r="X69" s="7">
        <f>Parameters!$F$7*(C69-E69)+Parameters!$F$8*Parameters!$F$9*(D69+E69)</f>
        <v>0.0002712141916156463</v>
      </c>
      <c r="Y69" s="7">
        <f>Parameters!$F$8*(1-Parameters!$F$9)*(D69+E69)</f>
        <v>0.003506678994680078</v>
      </c>
      <c r="Z69" s="7">
        <f>POWER(1/(1+Parameters!$F$32),A69-1)*(M69-N69)</f>
        <v>-0.0005520884453361167</v>
      </c>
    </row>
    <row r="70" spans="1:26">
      <c r="A70" s="7">
        <v>26</v>
      </c>
      <c r="B70" s="7">
        <f>0</f>
        <v>0</v>
      </c>
      <c r="C70" s="7">
        <f>X69+B70</f>
        <v>0.00027121419161564635</v>
      </c>
      <c r="D70" s="7">
        <f>Y69</f>
        <v>0.003506678994680078</v>
      </c>
      <c r="E70" s="7">
        <f>Parameters!$F$6*C70</f>
        <v>2.7121419161564636e-05</v>
      </c>
      <c r="F70" s="7">
        <f>IF(Parameters!$F$5=1,E70,0)</f>
        <v>0.0</v>
      </c>
      <c r="G70" s="7">
        <f>Parameters!$F$27*G69+F70</f>
        <v>0.0</v>
      </c>
      <c r="H70" s="7">
        <f>IF(AND(Parameters!$F$5=1,Parameters!$F$26=1),SUMPRODUCT(--($A$45:A70&lt;A70),--(MOD(A70-$A$45:A70,Parameters!$F$28)=0),$F$45:F70,POWER(Parameters!$F$27,IF(A70-$A$45:A70=0,1,A70-$A$45:A70))),0)</f>
        <v>0.0</v>
      </c>
      <c r="I70" s="7">
        <f>Parameters!$F$23*I69+B70*Parameters!$F$22</f>
        <v>0.0</v>
      </c>
      <c r="J70" s="7">
        <f>E70*Parameters!$F$14*(1-Parameters!$F$15)</f>
        <v>0.000515306964069728</v>
      </c>
      <c r="K70" s="7">
        <f>H70*Parameters!$F$29</f>
        <v>0.0</v>
      </c>
      <c r="L70" s="7">
        <f>I70*Parameters!$F$24</f>
        <v>0.0</v>
      </c>
      <c r="M70" s="7">
        <f>J70+K70+L70</f>
        <v>0.000515306964069728</v>
      </c>
      <c r="N70" s="7">
        <f>C70*Parameters!$F$17+D70*Parameters!$F$18+E70*Parameters!$F$16+I70*Parameters!$F$25+G70*Parameters!$F$30</f>
        <v>0.0011333679558887173</v>
      </c>
      <c r="O70" s="7">
        <f>0</f>
        <v>0</v>
      </c>
      <c r="P70" s="7">
        <f>M70-N70-O70</f>
        <v>-0.0006180609918189893</v>
      </c>
      <c r="Q70" s="7">
        <f>0</f>
        <v>0</v>
      </c>
      <c r="R70" s="7">
        <f>P70-Q70</f>
        <v>-0.0006180609918189893</v>
      </c>
      <c r="S70" s="7">
        <f>IF(A70&lt;1+Parameters!$F$31,0,INDEX($M$45:$M$80,A70-Parameters!$F$31))</f>
        <v>0.0007157041167635111</v>
      </c>
      <c r="T70" s="7">
        <f>T69+M70-S70</f>
        <v>0.000515306964069728</v>
      </c>
      <c r="U70" s="7">
        <f>S70-N70-O70-Q70</f>
        <v>-0.00041766383912520614</v>
      </c>
      <c r="V70" s="7">
        <f>V69+U70</f>
        <v>5.288407375523308</v>
      </c>
      <c r="W70" s="7">
        <f>(1-Parameters!$F$7)*(C70-E70)+(1-Parameters!$F$8)*(D70+E70)</f>
        <v>0.0007555786372591448</v>
      </c>
      <c r="X70" s="7">
        <f>Parameters!$F$7*(C70-E70)+Parameters!$F$8*Parameters!$F$9*(D70+E70)</f>
        <v>0.00019527421796326538</v>
      </c>
      <c r="Y70" s="7">
        <f>Parameters!$F$8*(1-Parameters!$F$9)*(D70+E70)</f>
        <v>0.002827040331073314</v>
      </c>
      <c r="Z70" s="7">
        <f>POWER(1/(1+Parameters!$F$32),A70-1)*(M70-N70)</f>
        <v>-0.00048194445726588677</v>
      </c>
    </row>
    <row r="71" spans="1:26">
      <c r="A71" s="7">
        <v>27</v>
      </c>
      <c r="B71" s="7">
        <f>0</f>
        <v>0</v>
      </c>
      <c r="C71" s="7">
        <f>X70+B71</f>
        <v>0.00019527421796326538</v>
      </c>
      <c r="D71" s="7">
        <f>Y70</f>
        <v>0.0028270403310733144</v>
      </c>
      <c r="E71" s="7">
        <f>Parameters!$F$6*C71</f>
        <v>1.952742179632654e-05</v>
      </c>
      <c r="F71" s="7">
        <f>IF(Parameters!$F$5=1,E71,0)</f>
        <v>0.0</v>
      </c>
      <c r="G71" s="7">
        <f>Parameters!$F$27*G70+F71</f>
        <v>0.0</v>
      </c>
      <c r="H71" s="7">
        <f>IF(AND(Parameters!$F$5=1,Parameters!$F$26=1),SUMPRODUCT(--($A$45:A71&lt;A71),--(MOD(A71-$A$45:A71,Parameters!$F$28)=0),$F$45:F71,POWER(Parameters!$F$27,IF(A71-$A$45:A71=0,1,A71-$A$45:A71))),0)</f>
        <v>0.0</v>
      </c>
      <c r="I71" s="7">
        <f>Parameters!$F$23*I70+B71*Parameters!$F$22</f>
        <v>0.0</v>
      </c>
      <c r="J71" s="7">
        <f>E71*Parameters!$F$14*(1-Parameters!$F$15)</f>
        <v>0.0003710210141302042</v>
      </c>
      <c r="K71" s="7">
        <f>H71*Parameters!$F$29</f>
        <v>0.0</v>
      </c>
      <c r="L71" s="7">
        <f>I71*Parameters!$F$24</f>
        <v>0.0</v>
      </c>
      <c r="M71" s="7">
        <f>J71+K71+L71</f>
        <v>0.0003710210141302042</v>
      </c>
      <c r="N71" s="7">
        <f>C71*Parameters!$F$17+D71*Parameters!$F$18+E71*Parameters!$F$16+I71*Parameters!$F$25+G71*Parameters!$F$30</f>
        <v>0.000906694364710974</v>
      </c>
      <c r="O71" s="7">
        <f>0</f>
        <v>0</v>
      </c>
      <c r="P71" s="7">
        <f>M71-N71-O71</f>
        <v>-0.0005356733505807698</v>
      </c>
      <c r="Q71" s="7">
        <f>0</f>
        <v>0</v>
      </c>
      <c r="R71" s="7">
        <f>P71-Q71</f>
        <v>-0.0005356733505807698</v>
      </c>
      <c r="S71" s="7">
        <f>IF(A71&lt;1+Parameters!$F$31,0,INDEX($M$45:$M$80,A71-Parameters!$F$31))</f>
        <v>0.000515306964069728</v>
      </c>
      <c r="T71" s="7">
        <f>T70+M71-S71</f>
        <v>0.0003710210141302042</v>
      </c>
      <c r="U71" s="7">
        <f>S71-N71-O71-Q71</f>
        <v>-0.00039138740064124597</v>
      </c>
      <c r="V71" s="7">
        <f>V70+U71</f>
        <v>5.288015988122667</v>
      </c>
      <c r="W71" s="7">
        <f>(1-Parameters!$F$7)*(C71-E71)+(1-Parameters!$F$8)*(D71+E71)</f>
        <v>0.0006044629098073159</v>
      </c>
      <c r="X71" s="7">
        <f>Parameters!$F$7*(C71-E71)+Parameters!$F$8*Parameters!$F$9*(D71+E71)</f>
        <v>0.00014059743693355106</v>
      </c>
      <c r="Y71" s="7">
        <f>Parameters!$F$8*(1-Parameters!$F$9)*(D71+E71)</f>
        <v>0.002277254202295713</v>
      </c>
      <c r="Z71" s="7">
        <f>POWER(1/(1+Parameters!$F$32),A71-1)*(M71-N71)</f>
        <v>-0.00041356551934220787</v>
      </c>
    </row>
    <row r="72" spans="1:26">
      <c r="A72" s="7">
        <v>28</v>
      </c>
      <c r="B72" s="7">
        <f>0</f>
        <v>0</v>
      </c>
      <c r="C72" s="7">
        <f>X71+B72</f>
        <v>0.0001405974369335511</v>
      </c>
      <c r="D72" s="7">
        <f>Y71</f>
        <v>0.0022772542022957126</v>
      </c>
      <c r="E72" s="7">
        <f>Parameters!$F$6*C72</f>
        <v>1.405974369335511e-05</v>
      </c>
      <c r="F72" s="7">
        <f>IF(Parameters!$F$5=1,E72,0)</f>
        <v>0.0</v>
      </c>
      <c r="G72" s="7">
        <f>Parameters!$F$27*G71+F72</f>
        <v>0.0</v>
      </c>
      <c r="H72" s="7">
        <f>IF(AND(Parameters!$F$5=1,Parameters!$F$26=1),SUMPRODUCT(--($A$45:A72&lt;A72),--(MOD(A72-$A$45:A72,Parameters!$F$28)=0),$F$45:F72,POWER(Parameters!$F$27,IF(A72-$A$45:A72=0,1,A72-$A$45:A72))),0)</f>
        <v>0.0</v>
      </c>
      <c r="I72" s="7">
        <f>Parameters!$F$23*I71+B72*Parameters!$F$22</f>
        <v>0.0</v>
      </c>
      <c r="J72" s="7">
        <f>E72*Parameters!$F$14*(1-Parameters!$F$15)</f>
        <v>0.00026713513017374705</v>
      </c>
      <c r="K72" s="7">
        <f>H72*Parameters!$F$29</f>
        <v>0.0</v>
      </c>
      <c r="L72" s="7">
        <f>I72*Parameters!$F$24</f>
        <v>0.0</v>
      </c>
      <c r="M72" s="7">
        <f>J72+K72+L72</f>
        <v>0.00026713513017374705</v>
      </c>
      <c r="N72" s="7">
        <f>C72*Parameters!$F$17+D72*Parameters!$F$18+E72*Parameters!$F$16+I72*Parameters!$F$25+G72*Parameters!$F$30</f>
        <v>0.0007253554917687791</v>
      </c>
      <c r="O72" s="7">
        <f>0</f>
        <v>0</v>
      </c>
      <c r="P72" s="7">
        <f>M72-N72-O72</f>
        <v>-0.0004582203615950321</v>
      </c>
      <c r="Q72" s="7">
        <f>0</f>
        <v>0</v>
      </c>
      <c r="R72" s="7">
        <f>P72-Q72</f>
        <v>-0.0004582203615950321</v>
      </c>
      <c r="S72" s="7">
        <f>IF(A72&lt;1+Parameters!$F$31,0,INDEX($M$45:$M$80,A72-Parameters!$F$31))</f>
        <v>0.0003710210141302042</v>
      </c>
      <c r="T72" s="7">
        <f>T71+M72-S72</f>
        <v>0.00026713513017374705</v>
      </c>
      <c r="U72" s="7">
        <f>S72-N72-O72-Q72</f>
        <v>-0.00035433447763857494</v>
      </c>
      <c r="V72" s="7">
        <f>V71+U72</f>
        <v>5.287661653645029</v>
      </c>
      <c r="W72" s="7">
        <f>(1-Parameters!$F$7)*(C72-E72)+(1-Parameters!$F$8)*(D72+E72)</f>
        <v>0.0004835703278458526</v>
      </c>
      <c r="X72" s="7">
        <f>Parameters!$F$7*(C72-E72)+Parameters!$F$8*Parameters!$F$9*(D72+E72)</f>
        <v>0.00010123015459215679</v>
      </c>
      <c r="Y72" s="7">
        <f>Parameters!$F$8*(1-Parameters!$F$9)*(D72+E72)</f>
        <v>0.001833051156791254</v>
      </c>
      <c r="Z72" s="7">
        <f>POWER(1/(1+Parameters!$F$32),A72-1)*(M72-N72)</f>
        <v>-0.0003502654425144659</v>
      </c>
    </row>
    <row r="73" spans="1:26">
      <c r="A73" s="7">
        <v>29</v>
      </c>
      <c r="B73" s="7">
        <f>0</f>
        <v>0</v>
      </c>
      <c r="C73" s="7">
        <f>X72+B73</f>
        <v>0.0001012301545921568</v>
      </c>
      <c r="D73" s="7">
        <f>Y72</f>
        <v>0.0018330511567912543</v>
      </c>
      <c r="E73" s="7">
        <f>Parameters!$F$6*C73</f>
        <v>1.012301545921568e-05</v>
      </c>
      <c r="F73" s="7">
        <f>IF(Parameters!$F$5=1,E73,0)</f>
        <v>0.0</v>
      </c>
      <c r="G73" s="7">
        <f>Parameters!$F$27*G72+F73</f>
        <v>0.0</v>
      </c>
      <c r="H73" s="7">
        <f>IF(AND(Parameters!$F$5=1,Parameters!$F$26=1),SUMPRODUCT(--($A$45:A73&lt;A73),--(MOD(A73-$A$45:A73,Parameters!$F$28)=0),$F$45:F73,POWER(Parameters!$F$27,IF(A73-$A$45:A73=0,1,A73-$A$45:A73))),0)</f>
        <v>0.0</v>
      </c>
      <c r="I73" s="7">
        <f>Parameters!$F$23*I72+B73*Parameters!$F$22</f>
        <v>0.0</v>
      </c>
      <c r="J73" s="7">
        <f>E73*Parameters!$F$14*(1-Parameters!$F$15)</f>
        <v>0.00019233729372509793</v>
      </c>
      <c r="K73" s="7">
        <f>H73*Parameters!$F$29</f>
        <v>0.0</v>
      </c>
      <c r="L73" s="7">
        <f>I73*Parameters!$F$24</f>
        <v>0.0</v>
      </c>
      <c r="M73" s="7">
        <f>J73+K73+L73</f>
        <v>0.00019233729372509793</v>
      </c>
      <c r="N73" s="7">
        <f>C73*Parameters!$F$17+D73*Parameters!$F$18+E73*Parameters!$F$16+I73*Parameters!$F$25+G73*Parameters!$F$30</f>
        <v>0.0005802843934150234</v>
      </c>
      <c r="O73" s="7">
        <f>0</f>
        <v>0</v>
      </c>
      <c r="P73" s="7">
        <f>M73-N73-O73</f>
        <v>-0.0003879470996899254</v>
      </c>
      <c r="Q73" s="7">
        <f>0</f>
        <v>0</v>
      </c>
      <c r="R73" s="7">
        <f>P73-Q73</f>
        <v>-0.0003879470996899254</v>
      </c>
      <c r="S73" s="7">
        <f>IF(A73&lt;1+Parameters!$F$31,0,INDEX($M$45:$M$80,A73-Parameters!$F$31))</f>
        <v>0.00026713513017374705</v>
      </c>
      <c r="T73" s="7">
        <f>T72+M73-S73</f>
        <v>0.00019233729372509793</v>
      </c>
      <c r="U73" s="7">
        <f>S73-N73-O73-Q73</f>
        <v>-0.0003131492632412763</v>
      </c>
      <c r="V73" s="7">
        <f>V72+U73</f>
        <v>5.287348504381788</v>
      </c>
      <c r="W73" s="7">
        <f>(1-Parameters!$F$7)*(C73-E73)+(1-Parameters!$F$8)*(D73+E73)</f>
        <v>0.0003868562622766821</v>
      </c>
      <c r="X73" s="7">
        <f>Parameters!$F$7*(C73-E73)+Parameters!$F$8*Parameters!$F$9*(D73+E73)</f>
        <v>7.288571130635291e-05</v>
      </c>
      <c r="Y73" s="7">
        <f>Parameters!$F$8*(1-Parameters!$F$9)*(D73+E73)</f>
        <v>0.001474539337800376</v>
      </c>
      <c r="Z73" s="7">
        <f>POWER(1/(1+Parameters!$F$32),A73-1)*(M73-N73)</f>
        <v>-0.0002936121637163967</v>
      </c>
    </row>
    <row r="74" spans="1:26">
      <c r="A74" s="7">
        <v>30</v>
      </c>
      <c r="B74" s="7">
        <f>0</f>
        <v>0</v>
      </c>
      <c r="C74" s="7">
        <f>X73+B74</f>
        <v>7.288571130635291e-05</v>
      </c>
      <c r="D74" s="7">
        <f>Y73</f>
        <v>0.001474539337800376</v>
      </c>
      <c r="E74" s="7">
        <f>Parameters!$F$6*C74</f>
        <v>7.288571130635291e-06</v>
      </c>
      <c r="F74" s="7">
        <f>IF(Parameters!$F$5=1,E74,0)</f>
        <v>0.0</v>
      </c>
      <c r="G74" s="7">
        <f>Parameters!$F$27*G73+F74</f>
        <v>0.0</v>
      </c>
      <c r="H74" s="7">
        <f>IF(AND(Parameters!$F$5=1,Parameters!$F$26=1),SUMPRODUCT(--($A$45:A74&lt;A74),--(MOD(A74-$A$45:A74,Parameters!$F$28)=0),$F$45:F74,POWER(Parameters!$F$27,IF(A74-$A$45:A74=0,1,A74-$A$45:A74))),0)</f>
        <v>0.0</v>
      </c>
      <c r="I74" s="7">
        <f>Parameters!$F$23*I73+B74*Parameters!$F$22</f>
        <v>0.0</v>
      </c>
      <c r="J74" s="7">
        <f>E74*Parameters!$F$14*(1-Parameters!$F$15)</f>
        <v>0.00013848285148207053</v>
      </c>
      <c r="K74" s="7">
        <f>H74*Parameters!$F$29</f>
        <v>0.0</v>
      </c>
      <c r="L74" s="7">
        <f>I74*Parameters!$F$24</f>
        <v>0.0</v>
      </c>
      <c r="M74" s="7">
        <f>J74+K74+L74</f>
        <v>0.00013848285148207053</v>
      </c>
      <c r="N74" s="7">
        <f>C74*Parameters!$F$17+D74*Parameters!$F$18+E74*Parameters!$F$16+I74*Parameters!$F$25+G74*Parameters!$F$30</f>
        <v>0.0004642275147320186</v>
      </c>
      <c r="O74" s="7">
        <f>0</f>
        <v>0</v>
      </c>
      <c r="P74" s="7">
        <f>M74-N74-O74</f>
        <v>-0.0003257446632499481</v>
      </c>
      <c r="Q74" s="7">
        <f>0</f>
        <v>0</v>
      </c>
      <c r="R74" s="7">
        <f>P74-Q74</f>
        <v>-0.0003257446632499481</v>
      </c>
      <c r="S74" s="7">
        <f>IF(A74&lt;1+Parameters!$F$31,0,INDEX($M$45:$M$80,A74-Parameters!$F$31))</f>
        <v>0.00019233729372509793</v>
      </c>
      <c r="T74" s="7">
        <f>T73+M74-S74</f>
        <v>0.00013848285148207053</v>
      </c>
      <c r="U74" s="7">
        <f>S74-N74-O74-Q74</f>
        <v>-0.00027189022100692066</v>
      </c>
      <c r="V74" s="7">
        <f>V73+U74</f>
        <v>5.287076614160781</v>
      </c>
      <c r="W74" s="7">
        <f>(1-Parameters!$F$7)*(C74-E74)+(1-Parameters!$F$8)*(D74+E74)</f>
        <v>0.0003094850098213457</v>
      </c>
      <c r="X74" s="7">
        <f>Parameters!$F$7*(C74-E74)+Parameters!$F$8*Parameters!$F$9*(D74+E74)</f>
        <v>5.2477712140574096e-05</v>
      </c>
      <c r="Y74" s="7">
        <f>Parameters!$F$8*(1-Parameters!$F$9)*(D74+E74)</f>
        <v>0.001185462327144809</v>
      </c>
      <c r="Z74" s="7">
        <f>POWER(1/(1+Parameters!$F$32),A74-1)*(M74-N74)</f>
        <v>-0.00024409420532210555</v>
      </c>
    </row>
    <row r="75" spans="1:26">
      <c r="A75" s="7">
        <v>31</v>
      </c>
      <c r="B75" s="7">
        <f>0</f>
        <v>0</v>
      </c>
      <c r="C75" s="7">
        <f>X74+B75</f>
        <v>5.2477712140574096e-05</v>
      </c>
      <c r="D75" s="7">
        <f>Y74</f>
        <v>0.001185462327144809</v>
      </c>
      <c r="E75" s="7">
        <f>Parameters!$F$6*C75</f>
        <v>5.24777121405741e-06</v>
      </c>
      <c r="F75" s="7">
        <f>IF(Parameters!$F$5=1,E75,0)</f>
        <v>0.0</v>
      </c>
      <c r="G75" s="7">
        <f>Parameters!$F$27*G74+F75</f>
        <v>0.0</v>
      </c>
      <c r="H75" s="7">
        <f>IF(AND(Parameters!$F$5=1,Parameters!$F$26=1),SUMPRODUCT(--($A$45:A75&lt;A75),--(MOD(A75-$A$45:A75,Parameters!$F$28)=0),$F$45:F75,POWER(Parameters!$F$27,IF(A75-$A$45:A75=0,1,A75-$A$45:A75))),0)</f>
        <v>0.0</v>
      </c>
      <c r="I75" s="7">
        <f>Parameters!$F$23*I74+B75*Parameters!$F$22</f>
        <v>0.0</v>
      </c>
      <c r="J75" s="7">
        <f>E75*Parameters!$F$14*(1-Parameters!$F$15)</f>
        <v>9.970765306709079e-05</v>
      </c>
      <c r="K75" s="7">
        <f>H75*Parameters!$F$29</f>
        <v>0.0</v>
      </c>
      <c r="L75" s="7">
        <f>I75*Parameters!$F$24</f>
        <v>0.0</v>
      </c>
      <c r="M75" s="7">
        <f>J75+K75+L75</f>
        <v>9.970765306709079e-05</v>
      </c>
      <c r="N75" s="7">
        <f>C75*Parameters!$F$17+D75*Parameters!$F$18+E75*Parameters!$F$16+I75*Parameters!$F$25+G75*Parameters!$F$30</f>
        <v>0.0003713820117856149</v>
      </c>
      <c r="O75" s="7">
        <f>0</f>
        <v>0</v>
      </c>
      <c r="P75" s="7">
        <f>M75-N75-O75</f>
        <v>-0.00027167435871852414</v>
      </c>
      <c r="Q75" s="7">
        <f>0</f>
        <v>0</v>
      </c>
      <c r="R75" s="7">
        <f>P75-Q75</f>
        <v>-0.00027167435871852414</v>
      </c>
      <c r="S75" s="7">
        <f>IF(A75&lt;1+Parameters!$F$31,0,INDEX($M$45:$M$80,A75-Parameters!$F$31))</f>
        <v>0.00013848285148207053</v>
      </c>
      <c r="T75" s="7">
        <f>T74+M75-S75</f>
        <v>9.970765306709079e-05</v>
      </c>
      <c r="U75" s="7">
        <f>S75-N75-O75-Q75</f>
        <v>-0.0002328991603035444</v>
      </c>
      <c r="V75" s="7">
        <f>V74+U75</f>
        <v>5.286843715000478</v>
      </c>
      <c r="W75" s="7">
        <f>(1-Parameters!$F$7)*(C75-E75)+(1-Parameters!$F$8)*(D75+E75)</f>
        <v>0.00024758800785707656</v>
      </c>
      <c r="X75" s="7">
        <f>Parameters!$F$7*(C75-E75)+Parameters!$F$8*Parameters!$F$9*(D75+E75)</f>
        <v>3.778395274121335e-05</v>
      </c>
      <c r="Y75" s="7">
        <f>Parameters!$F$8*(1-Parameters!$F$9)*(D75+E75)</f>
        <v>0.0009525680786870932</v>
      </c>
      <c r="Z75" s="7">
        <f>POWER(1/(1+Parameters!$F$32),A75-1)*(M75-N75)</f>
        <v>-0.00020156143290839322</v>
      </c>
    </row>
    <row r="76" spans="1:26">
      <c r="A76" s="7">
        <v>32</v>
      </c>
      <c r="B76" s="7">
        <f>0</f>
        <v>0</v>
      </c>
      <c r="C76" s="7">
        <f>X75+B76</f>
        <v>3.7783952741213356e-05</v>
      </c>
      <c r="D76" s="7">
        <f>Y75</f>
        <v>0.0009525680786870932</v>
      </c>
      <c r="E76" s="7">
        <f>Parameters!$F$6*C76</f>
        <v>3.778395274121336e-06</v>
      </c>
      <c r="F76" s="7">
        <f>IF(Parameters!$F$5=1,E76,0)</f>
        <v>0.0</v>
      </c>
      <c r="G76" s="7">
        <f>Parameters!$F$27*G75+F76</f>
        <v>0.0</v>
      </c>
      <c r="H76" s="7">
        <f>IF(AND(Parameters!$F$5=1,Parameters!$F$26=1),SUMPRODUCT(--($A$45:A76&lt;A76),--(MOD(A76-$A$45:A76,Parameters!$F$28)=0),$F$45:F76,POWER(Parameters!$F$27,IF(A76-$A$45:A76=0,1,A76-$A$45:A76))),0)</f>
        <v>0.0</v>
      </c>
      <c r="I76" s="7">
        <f>Parameters!$F$23*I75+B76*Parameters!$F$22</f>
        <v>0.0</v>
      </c>
      <c r="J76" s="7">
        <f>E76*Parameters!$F$14*(1-Parameters!$F$15)</f>
        <v>7.178951020830537e-05</v>
      </c>
      <c r="K76" s="7">
        <f>H76*Parameters!$F$29</f>
        <v>0.0</v>
      </c>
      <c r="L76" s="7">
        <f>I76*Parameters!$F$24</f>
        <v>0.0</v>
      </c>
      <c r="M76" s="7">
        <f>J76+K76+L76</f>
        <v>7.178951020830537e-05</v>
      </c>
      <c r="N76" s="7">
        <f>C76*Parameters!$F$17+D76*Parameters!$F$18+E76*Parameters!$F$16+I76*Parameters!$F$25+G76*Parameters!$F$30</f>
        <v>0.000297105609428492</v>
      </c>
      <c r="O76" s="7">
        <f>0</f>
        <v>0</v>
      </c>
      <c r="P76" s="7">
        <f>M76-N76-O76</f>
        <v>-0.0002253160992201866</v>
      </c>
      <c r="Q76" s="7">
        <f>0</f>
        <v>0</v>
      </c>
      <c r="R76" s="7">
        <f>P76-Q76</f>
        <v>-0.0002253160992201866</v>
      </c>
      <c r="S76" s="7">
        <f>IF(A76&lt;1+Parameters!$F$31,0,INDEX($M$45:$M$80,A76-Parameters!$F$31))</f>
        <v>9.970765306709079e-05</v>
      </c>
      <c r="T76" s="7">
        <f>T75+M76-S76</f>
        <v>7.178951020830537e-05</v>
      </c>
      <c r="U76" s="7">
        <f>S76-N76-O76-Q76</f>
        <v>-0.00019739795636140119</v>
      </c>
      <c r="V76" s="7">
        <f>V75+U76</f>
        <v>5.2866463170441165</v>
      </c>
      <c r="W76" s="7">
        <f>(1-Parameters!$F$7)*(C76-E76)+(1-Parameters!$F$8)*(D76+E76)</f>
        <v>0.00019807040628566126</v>
      </c>
      <c r="X76" s="7">
        <f>Parameters!$F$7*(C76-E76)+Parameters!$F$8*Parameters!$F$9*(D76+E76)</f>
        <v>2.720444597367362e-05</v>
      </c>
      <c r="Y76" s="7">
        <f>Parameters!$F$8*(1-Parameters!$F$9)*(D76+E76)</f>
        <v>0.0007650771791689716</v>
      </c>
      <c r="Z76" s="7">
        <f>POWER(1/(1+Parameters!$F$32),A76-1)*(M76-N76)</f>
        <v>-0.00016551205718599407</v>
      </c>
    </row>
    <row r="77" spans="1:26">
      <c r="A77" s="7">
        <v>33</v>
      </c>
      <c r="B77" s="7">
        <f>0</f>
        <v>0</v>
      </c>
      <c r="C77" s="7">
        <f>X76+B77</f>
        <v>2.720444597367362e-05</v>
      </c>
      <c r="D77" s="7">
        <f>Y76</f>
        <v>0.0007650771791689716</v>
      </c>
      <c r="E77" s="7">
        <f>Parameters!$F$6*C77</f>
        <v>2.720444597367362e-06</v>
      </c>
      <c r="F77" s="7">
        <f>IF(Parameters!$F$5=1,E77,0)</f>
        <v>0.0</v>
      </c>
      <c r="G77" s="7">
        <f>Parameters!$F$27*G76+F77</f>
        <v>0.0</v>
      </c>
      <c r="H77" s="7">
        <f>IF(AND(Parameters!$F$5=1,Parameters!$F$26=1),SUMPRODUCT(--($A$45:A77&lt;A77),--(MOD(A77-$A$45:A77,Parameters!$F$28)=0),$F$45:F77,POWER(Parameters!$F$27,IF(A77-$A$45:A77=0,1,A77-$A$45:A77))),0)</f>
        <v>0.0</v>
      </c>
      <c r="I77" s="7">
        <f>Parameters!$F$23*I76+B77*Parameters!$F$22</f>
        <v>0.0</v>
      </c>
      <c r="J77" s="7">
        <f>E77*Parameters!$F$14*(1-Parameters!$F$15)</f>
        <v>5.168844734997988e-05</v>
      </c>
      <c r="K77" s="7">
        <f>H77*Parameters!$F$29</f>
        <v>0.0</v>
      </c>
      <c r="L77" s="7">
        <f>I77*Parameters!$F$24</f>
        <v>0.0</v>
      </c>
      <c r="M77" s="7">
        <f>J77+K77+L77</f>
        <v>5.168844734997988e-05</v>
      </c>
      <c r="N77" s="7">
        <f>C77*Parameters!$F$17+D77*Parameters!$F$18+E77*Parameters!$F$16+I77*Parameters!$F$25+G77*Parameters!$F$30</f>
        <v>0.00023768448754279354</v>
      </c>
      <c r="O77" s="7">
        <f>0</f>
        <v>0</v>
      </c>
      <c r="P77" s="7">
        <f>M77-N77-O77</f>
        <v>-0.00018599604019281366</v>
      </c>
      <c r="Q77" s="7">
        <f>0</f>
        <v>0</v>
      </c>
      <c r="R77" s="7">
        <f>P77-Q77</f>
        <v>-0.00018599604019281366</v>
      </c>
      <c r="S77" s="7">
        <f>IF(A77&lt;1+Parameters!$F$31,0,INDEX($M$45:$M$80,A77-Parameters!$F$31))</f>
        <v>7.178951020830537e-05</v>
      </c>
      <c r="T77" s="7">
        <f>T76+M77-S77</f>
        <v>5.168844734997988e-05</v>
      </c>
      <c r="U77" s="7">
        <f>S77-N77-O77-Q77</f>
        <v>-0.00016589497733448817</v>
      </c>
      <c r="V77" s="7">
        <f>V76+U77</f>
        <v>5.286480422066782</v>
      </c>
      <c r="W77" s="7">
        <f>(1-Parameters!$F$7)*(C77-E77)+(1-Parameters!$F$8)*(D77+E77)</f>
        <v>0.00015845632502852904</v>
      </c>
      <c r="X77" s="7">
        <f>Parameters!$F$7*(C77-E77)+Parameters!$F$8*Parameters!$F$9*(D77+E77)</f>
        <v>1.9587201101045007e-05</v>
      </c>
      <c r="Y77" s="7">
        <f>Parameters!$F$8*(1-Parameters!$F$9)*(D77+E77)</f>
        <v>0.0006142380990130712</v>
      </c>
      <c r="Z77" s="7">
        <f>POWER(1/(1+Parameters!$F$32),A77-1)*(M77-N77)</f>
        <v>-0.00013527568359641558</v>
      </c>
    </row>
    <row r="78" spans="1:26">
      <c r="A78" s="7">
        <v>34</v>
      </c>
      <c r="B78" s="7">
        <f>0</f>
        <v>0</v>
      </c>
      <c r="C78" s="7">
        <f>X77+B78</f>
        <v>1.9587201101045007e-05</v>
      </c>
      <c r="D78" s="7">
        <f>Y77</f>
        <v>0.0006142380990130713</v>
      </c>
      <c r="E78" s="7">
        <f>Parameters!$F$6*C78</f>
        <v>1.958720110104501e-06</v>
      </c>
      <c r="F78" s="7">
        <f>IF(Parameters!$F$5=1,E78,0)</f>
        <v>0.0</v>
      </c>
      <c r="G78" s="7">
        <f>Parameters!$F$27*G77+F78</f>
        <v>0.0</v>
      </c>
      <c r="H78" s="7">
        <f>IF(AND(Parameters!$F$5=1,Parameters!$F$26=1),SUMPRODUCT(--($A$45:A78&lt;A78),--(MOD(A78-$A$45:A78,Parameters!$F$28)=0),$F$45:F78,POWER(Parameters!$F$27,IF(A78-$A$45:A78=0,1,A78-$A$45:A78))),0)</f>
        <v>0.0</v>
      </c>
      <c r="I78" s="7">
        <f>Parameters!$F$23*I77+B78*Parameters!$F$22</f>
        <v>0.0</v>
      </c>
      <c r="J78" s="7">
        <f>E78*Parameters!$F$14*(1-Parameters!$F$15)</f>
        <v>3.7215682091985516e-05</v>
      </c>
      <c r="K78" s="7">
        <f>H78*Parameters!$F$29</f>
        <v>0.0</v>
      </c>
      <c r="L78" s="7">
        <f>I78*Parameters!$F$24</f>
        <v>0.0</v>
      </c>
      <c r="M78" s="7">
        <f>J78+K78+L78</f>
        <v>3.7215682091985516e-05</v>
      </c>
      <c r="N78" s="7">
        <f>C78*Parameters!$F$17+D78*Parameters!$F$18+E78*Parameters!$F$16+I78*Parameters!$F$25+G78*Parameters!$F$30</f>
        <v>0.0001901475900342349</v>
      </c>
      <c r="O78" s="7">
        <f>0</f>
        <v>0</v>
      </c>
      <c r="P78" s="7">
        <f>M78-N78-O78</f>
        <v>-0.00015293190794224938</v>
      </c>
      <c r="Q78" s="7">
        <f>0</f>
        <v>0</v>
      </c>
      <c r="R78" s="7">
        <f>P78-Q78</f>
        <v>-0.00015293190794224938</v>
      </c>
      <c r="S78" s="7">
        <f>IF(A78&lt;1+Parameters!$F$31,0,INDEX($M$45:$M$80,A78-Parameters!$F$31))</f>
        <v>5.168844734997988e-05</v>
      </c>
      <c r="T78" s="7">
        <f>T77+M78-S78</f>
        <v>3.7215682091985516e-05</v>
      </c>
      <c r="U78" s="7">
        <f>S78-N78-O78-Q78</f>
        <v>-0.00013845914268425502</v>
      </c>
      <c r="V78" s="7">
        <f>V77+U78</f>
        <v>5.286341962924097</v>
      </c>
      <c r="W78" s="7">
        <f>(1-Parameters!$F$7)*(C78-E78)+(1-Parameters!$F$8)*(D78+E78)</f>
        <v>0.00012676506002282323</v>
      </c>
      <c r="X78" s="7">
        <f>Parameters!$F$7*(C78-E78)+Parameters!$F$8*Parameters!$F$9*(D78+E78)</f>
        <v>1.4102784792752406e-05</v>
      </c>
      <c r="Y78" s="7">
        <f>Parameters!$F$8*(1-Parameters!$F$9)*(D78+E78)</f>
        <v>0.0004929574552985407</v>
      </c>
      <c r="Z78" s="7">
        <f>POWER(1/(1+Parameters!$F$32),A78-1)*(M78-N78)</f>
        <v>-0.00011012673710232789</v>
      </c>
    </row>
    <row r="79" spans="1:26">
      <c r="A79" s="7">
        <v>35</v>
      </c>
      <c r="B79" s="7">
        <f>0</f>
        <v>0</v>
      </c>
      <c r="C79" s="7">
        <f>X78+B79</f>
        <v>1.4102784792752407e-05</v>
      </c>
      <c r="D79" s="7">
        <f>Y78</f>
        <v>0.0004929574552985407</v>
      </c>
      <c r="E79" s="7">
        <f>Parameters!$F$6*C79</f>
        <v>1.4102784792752409e-06</v>
      </c>
      <c r="F79" s="7">
        <f>IF(Parameters!$F$5=1,E79,0)</f>
        <v>0.0</v>
      </c>
      <c r="G79" s="7">
        <f>Parameters!$F$27*G78+F79</f>
        <v>0.0</v>
      </c>
      <c r="H79" s="7">
        <f>IF(AND(Parameters!$F$5=1,Parameters!$F$26=1),SUMPRODUCT(--($A$45:A79&lt;A79),--(MOD(A79-$A$45:A79,Parameters!$F$28)=0),$F$45:F79,POWER(Parameters!$F$27,IF(A79-$A$45:A79=0,1,A79-$A$45:A79))),0)</f>
        <v>0.0</v>
      </c>
      <c r="I79" s="7">
        <f>Parameters!$F$23*I78+B79*Parameters!$F$22</f>
        <v>0.0</v>
      </c>
      <c r="J79" s="7">
        <f>E79*Parameters!$F$14*(1-Parameters!$F$15)</f>
        <v>2.6795291106229576e-05</v>
      </c>
      <c r="K79" s="7">
        <f>H79*Parameters!$F$29</f>
        <v>0.0</v>
      </c>
      <c r="L79" s="7">
        <f>I79*Parameters!$F$24</f>
        <v>0.0</v>
      </c>
      <c r="M79" s="7">
        <f>J79+K79+L79</f>
        <v>2.6795291106229576e-05</v>
      </c>
      <c r="N79" s="7">
        <f>C79*Parameters!$F$17+D79*Parameters!$F$18+E79*Parameters!$F$16+I79*Parameters!$F$25+G79*Parameters!$F$30</f>
        <v>0.0001521180720273879</v>
      </c>
      <c r="O79" s="7">
        <f>0</f>
        <v>0</v>
      </c>
      <c r="P79" s="7">
        <f>M79-N79-O79</f>
        <v>-0.00012532278092115834</v>
      </c>
      <c r="Q79" s="7">
        <f>0</f>
        <v>0</v>
      </c>
      <c r="R79" s="7">
        <f>P79-Q79</f>
        <v>-0.00012532278092115834</v>
      </c>
      <c r="S79" s="7">
        <f>IF(A79&lt;1+Parameters!$F$31,0,INDEX($M$45:$M$80,A79-Parameters!$F$31))</f>
        <v>3.7215682091985516e-05</v>
      </c>
      <c r="T79" s="7">
        <f>T78+M79-S79</f>
        <v>2.6795291106229576e-05</v>
      </c>
      <c r="U79" s="7">
        <f>S79-N79-O79-Q79</f>
        <v>-0.00011490238993540239</v>
      </c>
      <c r="V79" s="7">
        <f>V78+U79</f>
        <v>5.286227060534162</v>
      </c>
      <c r="W79" s="7">
        <f>(1-Parameters!$F$7)*(C79-E79)+(1-Parameters!$F$8)*(D79+E79)</f>
        <v>0.00010141204801825858</v>
      </c>
      <c r="X79" s="7">
        <f>Parameters!$F$7*(C79-E79)+Parameters!$F$8*Parameters!$F$9*(D79+E79)</f>
        <v>1.0154005050781734e-05</v>
      </c>
      <c r="Y79" s="7">
        <f>Parameters!$F$8*(1-Parameters!$F$9)*(D79+E79)</f>
        <v>0.0003954941870222527</v>
      </c>
      <c r="Z79" s="7">
        <f>POWER(1/(1+Parameters!$F$32),A79-1)*(M79-N79)</f>
        <v>-8.93518018311522e-05</v>
      </c>
    </row>
    <row r="80" spans="1:26">
      <c r="A80" s="7">
        <v>36</v>
      </c>
      <c r="B80" s="7">
        <f>0</f>
        <v>0</v>
      </c>
      <c r="C80" s="7">
        <f>X79+B80</f>
        <v>1.0154005050781734e-05</v>
      </c>
      <c r="D80" s="7">
        <f>Y79</f>
        <v>0.00039549418702225275</v>
      </c>
      <c r="E80" s="7">
        <f>Parameters!$F$6*C80</f>
        <v>1.0154005050781734e-06</v>
      </c>
      <c r="F80" s="7">
        <f>IF(Parameters!$F$5=1,E80,0)</f>
        <v>0.0</v>
      </c>
      <c r="G80" s="7">
        <f>Parameters!$F$27*G79+F80</f>
        <v>0.0</v>
      </c>
      <c r="H80" s="7">
        <f>IF(AND(Parameters!$F$5=1,Parameters!$F$26=1),SUMPRODUCT(--($A$45:A80&lt;A80),--(MOD(A80-$A$45:A80,Parameters!$F$28)=0),$F$45:F80,POWER(Parameters!$F$27,IF(A80-$A$45:A80=0,1,A80-$A$45:A80))),0)</f>
        <v>0.0</v>
      </c>
      <c r="I80" s="7">
        <f>Parameters!$F$23*I79+B80*Parameters!$F$22</f>
        <v>0.0</v>
      </c>
      <c r="J80" s="7">
        <f>E80*Parameters!$F$14*(1-Parameters!$F$15)</f>
        <v>1.9292609596485294e-05</v>
      </c>
      <c r="K80" s="7">
        <f>H80*Parameters!$F$29</f>
        <v>0.0</v>
      </c>
      <c r="L80" s="7">
        <f>I80*Parameters!$F$24</f>
        <v>0.0</v>
      </c>
      <c r="M80" s="7">
        <f>J80+K80+L80</f>
        <v>1.9292609596485294e-05</v>
      </c>
      <c r="N80" s="7">
        <f>C80*Parameters!$F$17+D80*Parameters!$F$18+E80*Parameters!$F$16+I80*Parameters!$F$25+G80*Parameters!$F$30</f>
        <v>0.00012169445762191034</v>
      </c>
      <c r="O80" s="7">
        <f>0</f>
        <v>0</v>
      </c>
      <c r="P80" s="7">
        <f>M80-N80-O80</f>
        <v>-0.00010240184802542504</v>
      </c>
      <c r="Q80" s="7">
        <f>0</f>
        <v>0</v>
      </c>
      <c r="R80" s="7">
        <f>P80-Q80</f>
        <v>-0.00010240184802542504</v>
      </c>
      <c r="S80" s="7">
        <f>IF(A80&lt;1+Parameters!$F$31,0,INDEX($M$45:$M$80,A80-Parameters!$F$31))</f>
        <v>2.6795291106229576e-05</v>
      </c>
      <c r="T80" s="7">
        <f>T79+M80-S80</f>
        <v>1.9292609596485294e-05</v>
      </c>
      <c r="U80" s="7">
        <f>S80-N80-O80-Q80</f>
        <v>-9.489916651568076e-05</v>
      </c>
      <c r="V80" s="7">
        <f>V79+U80</f>
        <v>5.286132161367647</v>
      </c>
      <c r="W80" s="7">
        <f>(1-Parameters!$F$7)*(C80-E80)+(1-Parameters!$F$8)*(D80+E80)</f>
        <v>8.112963841460688e-05</v>
      </c>
      <c r="X80" s="7">
        <f>Parameters!$F$7*(C80-E80)+Parameters!$F$8*Parameters!$F$9*(D80+E80)</f>
        <v>7.310883636562849e-06</v>
      </c>
      <c r="Y80" s="7">
        <f>Parameters!$F$8*(1-Parameters!$F$9)*(D80+E80)</f>
        <v>0.0003172076700218647</v>
      </c>
      <c r="Z80" s="7">
        <f>POWER(1/(1+Parameters!$F$32),A80-1)*(M80-N80)</f>
        <v>-7.228691853763749e-05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95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179</v>
      </c>
      <c r="V4" s="4" t="s">
        <v>180</v>
      </c>
      <c r="W4" s="4" t="s">
        <v>181</v>
      </c>
      <c r="X4" s="4" t="s">
        <v>182</v>
      </c>
      <c r="Y4" s="4" t="s">
        <v>183</v>
      </c>
      <c r="Z4" s="4" t="s">
        <v>184</v>
      </c>
    </row>
    <row r="5" spans="1:26">
      <c r="A5" s="7">
        <v>1</v>
      </c>
      <c r="B5" s="7">
        <f>Parameters!$G$20</f>
        <v>1000</v>
      </c>
      <c r="C5" s="7">
        <f>B5</f>
        <v>1000</v>
      </c>
      <c r="D5" s="7">
        <f>0</f>
        <v>0.0</v>
      </c>
      <c r="E5" s="7">
        <f>Parameters!$G$6*C5</f>
        <v>100.0</v>
      </c>
      <c r="F5" s="7">
        <f>IF(Parameters!$G$5=1,E5,0)</f>
        <v>0.0</v>
      </c>
      <c r="G5" s="7">
        <f>F5</f>
        <v>0.0</v>
      </c>
      <c r="H5" s="7">
        <f>IF(AND(Parameters!$G$5=1,Parameters!$G$26=1),SUMPRODUCT(--($A$5:A5&lt;A5),--(MOD(A5-$A$5:A5,Parameters!$G$28)=0),$F$5:F5,POWER(Parameters!$G$27,IF(A5-$A$5:A5=0,1,A5-$A$5:A5))),0)</f>
        <v>0.0</v>
      </c>
      <c r="I5" s="7">
        <f>B5*Parameters!$G$22</f>
        <v>0.0</v>
      </c>
      <c r="J5" s="7">
        <f>E5*Parameters!$G$14*(1-Parameters!$G$15)</f>
        <v>1900.0</v>
      </c>
      <c r="K5" s="7">
        <f>H5*Parameters!$G$29</f>
        <v>0.0</v>
      </c>
      <c r="L5" s="7">
        <f>I5*Parameters!$G$24</f>
        <v>0.0</v>
      </c>
      <c r="M5" s="7">
        <f>J5+K5+L5</f>
        <v>1900.0</v>
      </c>
      <c r="N5" s="7">
        <f>C5*Parameters!$G$17+D5*Parameters!$G$18+E5*Parameters!$G$16+I5*Parameters!$G$25+G5*Parameters!$G$30</f>
        <v>300.0</v>
      </c>
      <c r="O5" s="7">
        <f>B5*Parameters!$G$19</f>
        <v>4000</v>
      </c>
      <c r="P5" s="7">
        <f>M5-N5-O5</f>
        <v>-2400.0</v>
      </c>
      <c r="Q5" s="7">
        <f>Parameters!$G$21</f>
        <v>1000</v>
      </c>
      <c r="R5" s="7">
        <f>P5-Q5</f>
        <v>-3400.0</v>
      </c>
      <c r="S5" s="7">
        <f>IF(A5&lt;1+Parameters!$G$31,0,INDEX($M$5:$M$40,A5-Parameters!$G$31))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(1-Parameters!$G$7)*(C5-E5)+(1-Parameters!$G$8)*(D5+E5)</f>
        <v>199.99999999999997</v>
      </c>
      <c r="X5" s="7">
        <f>Parameters!$G$7*(C5-E5)+Parameters!$G$8*Parameters!$G$9*(D5+E5)</f>
        <v>728.0</v>
      </c>
      <c r="Y5" s="7">
        <f>Parameters!$G$8*(1-Parameters!$G$9)*(D5+E5)</f>
        <v>72.00000000000001</v>
      </c>
      <c r="Z5" s="7">
        <f>POWER(1/(1+Parameters!$G$32),A5-1)*(M5-N5)</f>
        <v>1600.0</v>
      </c>
    </row>
    <row r="6" spans="1:26">
      <c r="A6" s="7">
        <v>2</v>
      </c>
      <c r="B6" s="7">
        <f>Parameters!$G$20</f>
        <v>1000</v>
      </c>
      <c r="C6" s="7">
        <f>X5+B6</f>
        <v>1728.0</v>
      </c>
      <c r="D6" s="7">
        <f>Y5</f>
        <v>72.00000000000001</v>
      </c>
      <c r="E6" s="7">
        <f>Parameters!$G$6*C6</f>
        <v>172.8</v>
      </c>
      <c r="F6" s="7">
        <f>IF(Parameters!$G$5=1,E6,0)</f>
        <v>0.0</v>
      </c>
      <c r="G6" s="7">
        <f>Parameters!$G$27*G5+F6</f>
        <v>0.0</v>
      </c>
      <c r="H6" s="7">
        <f>IF(AND(Parameters!$G$5=1,Parameters!$G$26=1),SUMPRODUCT(--($A$5:A6&lt;A6),--(MOD(A6-$A$5:A6,Parameters!$G$28)=0),$F$5:F6,POWER(Parameters!$G$27,IF(A6-$A$5:A6=0,1,A6-$A$5:A6))),0)</f>
        <v>0.0</v>
      </c>
      <c r="I6" s="7">
        <f>Parameters!$G$23*I5+B6*Parameters!$G$22</f>
        <v>0.0</v>
      </c>
      <c r="J6" s="7">
        <f>E6*Parameters!$G$14*(1-Parameters!$G$15)</f>
        <v>3283.2</v>
      </c>
      <c r="K6" s="7">
        <f>H6*Parameters!$G$29</f>
        <v>0.0</v>
      </c>
      <c r="L6" s="7">
        <f>I6*Parameters!$G$24</f>
        <v>0.0</v>
      </c>
      <c r="M6" s="7">
        <f>J6+K6+L6</f>
        <v>3283.2</v>
      </c>
      <c r="N6" s="7">
        <f>C6*Parameters!$G$17+D6*Parameters!$G$18+E6*Parameters!$G$16+I6*Parameters!$G$25+G6*Parameters!$G$30</f>
        <v>540.0</v>
      </c>
      <c r="O6" s="7">
        <f>B6*Parameters!$G$19</f>
        <v>4000</v>
      </c>
      <c r="P6" s="7">
        <f>M6-N6-O6</f>
        <v>-1256.8000000000002</v>
      </c>
      <c r="Q6" s="7">
        <f>Parameters!$G$21</f>
        <v>1000</v>
      </c>
      <c r="R6" s="7">
        <f>P6-Q6</f>
        <v>-2256.8</v>
      </c>
      <c r="S6" s="7">
        <f>IF(A6&lt;1+Parameters!$G$31,0,INDEX($M$5:$M$40,A6-Parameters!$G$31))</f>
        <v>1900.0</v>
      </c>
      <c r="T6" s="7">
        <f>T5+M6-S6</f>
        <v>3283.2</v>
      </c>
      <c r="U6" s="7">
        <f>S6-N6-O6-Q6</f>
        <v>-3640.0</v>
      </c>
      <c r="V6" s="7">
        <f>V5+U6</f>
        <v>-8940.0</v>
      </c>
      <c r="W6" s="7">
        <f>(1-Parameters!$G$7)*(C6-E6)+(1-Parameters!$G$8)*(D6+E6)</f>
        <v>360.0</v>
      </c>
      <c r="X6" s="7">
        <f>Parameters!$G$7*(C6-E6)+Parameters!$G$8*Parameters!$G$9*(D6+E6)</f>
        <v>1263.7440000000001</v>
      </c>
      <c r="Y6" s="7">
        <f>Parameters!$G$8*(1-Parameters!$G$9)*(D6+E6)</f>
        <v>176.25600000000003</v>
      </c>
      <c r="Z6" s="7">
        <f>POWER(1/(1+Parameters!$G$32),A6-1)*(M6-N6)</f>
        <v>2716.0396039603957</v>
      </c>
    </row>
    <row r="7" spans="1:26">
      <c r="A7" s="7">
        <v>3</v>
      </c>
      <c r="B7" s="7">
        <f>Parameters!$G$20</f>
        <v>1000</v>
      </c>
      <c r="C7" s="7">
        <f>X6+B7</f>
        <v>2263.744</v>
      </c>
      <c r="D7" s="7">
        <f>Y6</f>
        <v>176.25600000000003</v>
      </c>
      <c r="E7" s="7">
        <f>Parameters!$G$6*C7</f>
        <v>226.37440000000004</v>
      </c>
      <c r="F7" s="7">
        <f>IF(Parameters!$G$5=1,E7,0)</f>
        <v>0.0</v>
      </c>
      <c r="G7" s="7">
        <f>Parameters!$G$27*G6+F7</f>
        <v>0.0</v>
      </c>
      <c r="H7" s="7">
        <f>IF(AND(Parameters!$G$5=1,Parameters!$G$26=1),SUMPRODUCT(--($A$5:A7&lt;A7),--(MOD(A7-$A$5:A7,Parameters!$G$28)=0),$F$5:F7,POWER(Parameters!$G$27,IF(A7-$A$5:A7=0,1,A7-$A$5:A7))),0)</f>
        <v>0.0</v>
      </c>
      <c r="I7" s="7">
        <f>Parameters!$G$23*I6+B7*Parameters!$G$22</f>
        <v>0.0</v>
      </c>
      <c r="J7" s="7">
        <f>E7*Parameters!$G$14*(1-Parameters!$G$15)</f>
        <v>4301.113600000001</v>
      </c>
      <c r="K7" s="7">
        <f>H7*Parameters!$G$29</f>
        <v>0.0</v>
      </c>
      <c r="L7" s="7">
        <f>I7*Parameters!$G$24</f>
        <v>0.0</v>
      </c>
      <c r="M7" s="7">
        <f>J7+K7+L7</f>
        <v>4301.113600000001</v>
      </c>
      <c r="N7" s="7">
        <f>C7*Parameters!$G$17+D7*Parameters!$G$18+E7*Parameters!$G$16+I7*Parameters!$G$25+G7*Parameters!$G$30</f>
        <v>732.0000000000001</v>
      </c>
      <c r="O7" s="7">
        <f>B7*Parameters!$G$19</f>
        <v>4000</v>
      </c>
      <c r="P7" s="7">
        <f>M7-N7-O7</f>
        <v>-430.8863999999994</v>
      </c>
      <c r="Q7" s="7">
        <f>Parameters!$G$21</f>
        <v>1000</v>
      </c>
      <c r="R7" s="7">
        <f>P7-Q7</f>
        <v>-1430.8863999999994</v>
      </c>
      <c r="S7" s="7">
        <f>IF(A7&lt;1+Parameters!$G$31,0,INDEX($M$5:$M$40,A7-Parameters!$G$31))</f>
        <v>3283.2</v>
      </c>
      <c r="T7" s="7">
        <f>T6+M7-S7</f>
        <v>4301.113600000001</v>
      </c>
      <c r="U7" s="7">
        <f>S7-N7-O7-Q7</f>
        <v>-2448.8</v>
      </c>
      <c r="V7" s="7">
        <f>V6+U7</f>
        <v>-11388.8</v>
      </c>
      <c r="W7" s="7">
        <f>(1-Parameters!$G$7)*(C7-E7)+(1-Parameters!$G$8)*(D7+E7)</f>
        <v>488.0</v>
      </c>
      <c r="X7" s="7">
        <f>Parameters!$G$7*(C7-E7)+Parameters!$G$8*Parameters!$G$9*(D7+E7)</f>
        <v>1662.1061120000002</v>
      </c>
      <c r="Y7" s="7">
        <f>Parameters!$G$8*(1-Parameters!$G$9)*(D7+E7)</f>
        <v>289.89388800000006</v>
      </c>
      <c r="Z7" s="7">
        <f>POWER(1/(1+Parameters!$G$32),A7-1)*(M7-N7)</f>
        <v>3498.7879619645137</v>
      </c>
    </row>
    <row r="8" spans="1:26">
      <c r="A8" s="7">
        <v>4</v>
      </c>
      <c r="B8" s="7">
        <f>Parameters!$G$20</f>
        <v>1000</v>
      </c>
      <c r="C8" s="7">
        <f>X7+B8</f>
        <v>2662.1061120000004</v>
      </c>
      <c r="D8" s="7">
        <f>Y7</f>
        <v>289.89388800000006</v>
      </c>
      <c r="E8" s="7">
        <f>Parameters!$G$6*C8</f>
        <v>266.2106112</v>
      </c>
      <c r="F8" s="7">
        <f>IF(Parameters!$G$5=1,E8,0)</f>
        <v>0.0</v>
      </c>
      <c r="G8" s="7">
        <f>Parameters!$G$27*G7+F8</f>
        <v>0.0</v>
      </c>
      <c r="H8" s="7">
        <f>IF(AND(Parameters!$G$5=1,Parameters!$G$26=1),SUMPRODUCT(--($A$5:A8&lt;A8),--(MOD(A8-$A$5:A8,Parameters!$G$28)=0),$F$5:F8,POWER(Parameters!$G$27,IF(A8-$A$5:A8=0,1,A8-$A$5:A8))),0)</f>
        <v>0.0</v>
      </c>
      <c r="I8" s="7">
        <f>Parameters!$G$23*I7+B8*Parameters!$G$22</f>
        <v>0.0</v>
      </c>
      <c r="J8" s="7">
        <f>E8*Parameters!$G$14*(1-Parameters!$G$15)</f>
        <v>5058.001612800001</v>
      </c>
      <c r="K8" s="7">
        <f>H8*Parameters!$G$29</f>
        <v>0.0</v>
      </c>
      <c r="L8" s="7">
        <f>I8*Parameters!$G$24</f>
        <v>0.0</v>
      </c>
      <c r="M8" s="7">
        <f>J8+K8+L8</f>
        <v>5058.001612800001</v>
      </c>
      <c r="N8" s="7">
        <f>C8*Parameters!$G$17+D8*Parameters!$G$18+E8*Parameters!$G$16+I8*Parameters!$G$25+G8*Parameters!$G$30</f>
        <v>885.6000000000001</v>
      </c>
      <c r="O8" s="7">
        <f>B8*Parameters!$G$19</f>
        <v>4000</v>
      </c>
      <c r="P8" s="7">
        <f>M8-N8-O8</f>
        <v>172.4016128000003</v>
      </c>
      <c r="Q8" s="7">
        <f>Parameters!$G$21</f>
        <v>1000</v>
      </c>
      <c r="R8" s="7">
        <f>P8-Q8</f>
        <v>-827.5983871999997</v>
      </c>
      <c r="S8" s="7">
        <f>IF(A8&lt;1+Parameters!$G$31,0,INDEX($M$5:$M$40,A8-Parameters!$G$31))</f>
        <v>4301.113600000001</v>
      </c>
      <c r="T8" s="7">
        <f>T7+M8-S8</f>
        <v>5058.001612800001</v>
      </c>
      <c r="U8" s="7">
        <f>S8-N8-O8-Q8</f>
        <v>-1584.4863999999998</v>
      </c>
      <c r="V8" s="7">
        <f>V7+U8</f>
        <v>-12973.286399999999</v>
      </c>
      <c r="W8" s="7">
        <f>(1-Parameters!$G$7)*(C8-E8)+(1-Parameters!$G$8)*(D8+E8)</f>
        <v>590.4</v>
      </c>
      <c r="X8" s="7">
        <f>Parameters!$G$7*(C8-E8)+Parameters!$G$8*Parameters!$G$9*(D8+E8)</f>
        <v>1961.2047605760004</v>
      </c>
      <c r="Y8" s="7">
        <f>Parameters!$G$8*(1-Parameters!$G$9)*(D8+E8)</f>
        <v>400.3952394240001</v>
      </c>
      <c r="Z8" s="7">
        <f>POWER(1/(1+Parameters!$G$32),A8-1)*(M8-N8)</f>
        <v>4049.6918985810944</v>
      </c>
    </row>
    <row r="9" spans="1:26">
      <c r="A9" s="7">
        <v>5</v>
      </c>
      <c r="B9" s="7">
        <f>Parameters!$G$20</f>
        <v>1000</v>
      </c>
      <c r="C9" s="7">
        <f>X8+B9</f>
        <v>2961.2047605760004</v>
      </c>
      <c r="D9" s="7">
        <f>Y8</f>
        <v>400.3952394240001</v>
      </c>
      <c r="E9" s="7">
        <f>Parameters!$G$6*C9</f>
        <v>296.12047605760006</v>
      </c>
      <c r="F9" s="7">
        <f>IF(Parameters!$G$5=1,E9,0)</f>
        <v>0.0</v>
      </c>
      <c r="G9" s="7">
        <f>Parameters!$G$27*G8+F9</f>
        <v>0.0</v>
      </c>
      <c r="H9" s="7">
        <f>IF(AND(Parameters!$G$5=1,Parameters!$G$26=1),SUMPRODUCT(--($A$5:A9&lt;A9),--(MOD(A9-$A$5:A9,Parameters!$G$28)=0),$F$5:F9,POWER(Parameters!$G$27,IF(A9-$A$5:A9=0,1,A9-$A$5:A9))),0)</f>
        <v>0.0</v>
      </c>
      <c r="I9" s="7">
        <f>Parameters!$G$23*I8+B9*Parameters!$G$22</f>
        <v>0.0</v>
      </c>
      <c r="J9" s="7">
        <f>E9*Parameters!$G$14*(1-Parameters!$G$15)</f>
        <v>5626.289045094401</v>
      </c>
      <c r="K9" s="7">
        <f>H9*Parameters!$G$29</f>
        <v>0.0</v>
      </c>
      <c r="L9" s="7">
        <f>I9*Parameters!$G$24</f>
        <v>0.0</v>
      </c>
      <c r="M9" s="7">
        <f>J9+K9+L9</f>
        <v>5626.289045094401</v>
      </c>
      <c r="N9" s="7">
        <f>C9*Parameters!$G$17+D9*Parameters!$G$18+E9*Parameters!$G$16+I9*Parameters!$G$25+G9*Parameters!$G$30</f>
        <v>1008.4800000000002</v>
      </c>
      <c r="O9" s="7">
        <f>B9*Parameters!$G$19</f>
        <v>4000</v>
      </c>
      <c r="P9" s="7">
        <f>M9-N9-O9</f>
        <v>617.809045094401</v>
      </c>
      <c r="Q9" s="7">
        <f>Parameters!$G$21</f>
        <v>1000</v>
      </c>
      <c r="R9" s="7">
        <f>P9-Q9</f>
        <v>-382.190954905599</v>
      </c>
      <c r="S9" s="7">
        <f>IF(A9&lt;1+Parameters!$G$31,0,INDEX($M$5:$M$40,A9-Parameters!$G$31))</f>
        <v>5058.001612800001</v>
      </c>
      <c r="T9" s="7">
        <f>T8+M9-S9</f>
        <v>5626.289045094401</v>
      </c>
      <c r="U9" s="7">
        <f>S9-N9-O9-Q9</f>
        <v>-950.4783871999998</v>
      </c>
      <c r="V9" s="7">
        <f>V8+U9</f>
        <v>-13923.764787199998</v>
      </c>
      <c r="W9" s="7">
        <f>(1-Parameters!$G$7)*(C9-E9)+(1-Parameters!$G$8)*(D9+E9)</f>
        <v>672.32</v>
      </c>
      <c r="X9" s="7">
        <f>Parameters!$G$7*(C9-E9)+Parameters!$G$8*Parameters!$G$9*(D9+E9)</f>
        <v>2187.788684853248</v>
      </c>
      <c r="Y9" s="7">
        <f>Parameters!$G$8*(1-Parameters!$G$9)*(D9+E9)</f>
        <v>501.4913151467522</v>
      </c>
      <c r="Z9" s="7">
        <f>POWER(1/(1+Parameters!$G$32),A9-1)*(M9-N9)</f>
        <v>4437.623726910682</v>
      </c>
    </row>
    <row r="10" spans="1:26">
      <c r="A10" s="7">
        <v>6</v>
      </c>
      <c r="B10" s="7">
        <f>Parameters!$G$20</f>
        <v>1000</v>
      </c>
      <c r="C10" s="7">
        <f>X9+B10</f>
        <v>3187.7886848532485</v>
      </c>
      <c r="D10" s="7">
        <f>Y9</f>
        <v>501.4913151467522</v>
      </c>
      <c r="E10" s="7">
        <f>Parameters!$G$6*C10</f>
        <v>318.7788684853249</v>
      </c>
      <c r="F10" s="7">
        <f>IF(Parameters!$G$5=1,E10,0)</f>
        <v>0.0</v>
      </c>
      <c r="G10" s="7">
        <f>Parameters!$G$27*G9+F10</f>
        <v>0.0</v>
      </c>
      <c r="H10" s="7">
        <f>IF(AND(Parameters!$G$5=1,Parameters!$G$26=1),SUMPRODUCT(--($A$5:A10&lt;A10),--(MOD(A10-$A$5:A10,Parameters!$G$28)=0),$F$5:F10,POWER(Parameters!$G$27,IF(A10-$A$5:A10=0,1,A10-$A$5:A10))),0)</f>
        <v>0.0</v>
      </c>
      <c r="I10" s="7">
        <f>Parameters!$G$23*I9+B10*Parameters!$G$22</f>
        <v>0.0</v>
      </c>
      <c r="J10" s="7">
        <f>E10*Parameters!$G$14*(1-Parameters!$G$15)</f>
        <v>6056.798501221173</v>
      </c>
      <c r="K10" s="7">
        <f>H10*Parameters!$G$29</f>
        <v>0.0</v>
      </c>
      <c r="L10" s="7">
        <f>I10*Parameters!$G$24</f>
        <v>0.0</v>
      </c>
      <c r="M10" s="7">
        <f>J10+K10+L10</f>
        <v>6056.798501221173</v>
      </c>
      <c r="N10" s="7">
        <f>C10*Parameters!$G$17+D10*Parameters!$G$18+E10*Parameters!$G$16+I10*Parameters!$G$25+G10*Parameters!$G$30</f>
        <v>1106.7840000000003</v>
      </c>
      <c r="O10" s="7">
        <f>B10*Parameters!$G$19</f>
        <v>4000</v>
      </c>
      <c r="P10" s="7">
        <f>M10-N10-O10</f>
        <v>950.0145012211724</v>
      </c>
      <c r="Q10" s="7">
        <f>Parameters!$G$21</f>
        <v>1000</v>
      </c>
      <c r="R10" s="7">
        <f>P10-Q10</f>
        <v>-49.985498778827605</v>
      </c>
      <c r="S10" s="7">
        <f>IF(A10&lt;1+Parameters!$G$31,0,INDEX($M$5:$M$40,A10-Parameters!$G$31))</f>
        <v>5626.289045094401</v>
      </c>
      <c r="T10" s="7">
        <f>T9+M10-S10</f>
        <v>6056.798501221173</v>
      </c>
      <c r="U10" s="7">
        <f>S10-N10-O10-Q10</f>
        <v>-480.4949549055991</v>
      </c>
      <c r="V10" s="7">
        <f>V9+U10</f>
        <v>-14404.259742105598</v>
      </c>
      <c r="W10" s="7">
        <f>(1-Parameters!$G$7)*(C10-E10)+(1-Parameters!$G$8)*(D10+E10)</f>
        <v>737.856</v>
      </c>
      <c r="X10" s="7">
        <f>Parameters!$G$7*(C10-E10)+Parameters!$G$8*Parameters!$G$9*(D10+E10)</f>
        <v>2360.8294677849053</v>
      </c>
      <c r="Y10" s="7">
        <f>Parameters!$G$8*(1-Parameters!$G$9)*(D10+E10)</f>
        <v>590.5945322150956</v>
      </c>
      <c r="Z10" s="7">
        <f>POWER(1/(1+Parameters!$G$32),A10-1)*(M10-N10)</f>
        <v>4709.76895106778</v>
      </c>
    </row>
    <row r="11" spans="1:26">
      <c r="A11" s="7">
        <v>7</v>
      </c>
      <c r="B11" s="7">
        <f>Parameters!$G$20</f>
        <v>1000</v>
      </c>
      <c r="C11" s="7">
        <f>X10+B11</f>
        <v>3360.8294677849053</v>
      </c>
      <c r="D11" s="7">
        <f>Y10</f>
        <v>590.5945322150956</v>
      </c>
      <c r="E11" s="7">
        <f>Parameters!$G$6*C11</f>
        <v>336.08294677849057</v>
      </c>
      <c r="F11" s="7">
        <f>IF(Parameters!$G$5=1,E11,0)</f>
        <v>0.0</v>
      </c>
      <c r="G11" s="7">
        <f>Parameters!$G$27*G10+F11</f>
        <v>0.0</v>
      </c>
      <c r="H11" s="7">
        <f>IF(AND(Parameters!$G$5=1,Parameters!$G$26=1),SUMPRODUCT(--($A$5:A11&lt;A11),--(MOD(A11-$A$5:A11,Parameters!$G$28)=0),$F$5:F11,POWER(Parameters!$G$27,IF(A11-$A$5:A11=0,1,A11-$A$5:A11))),0)</f>
        <v>0.0</v>
      </c>
      <c r="I11" s="7">
        <f>Parameters!$G$23*I10+B11*Parameters!$G$22</f>
        <v>0.0</v>
      </c>
      <c r="J11" s="7">
        <f>E11*Parameters!$G$14*(1-Parameters!$G$15)</f>
        <v>6385.575988791321</v>
      </c>
      <c r="K11" s="7">
        <f>H11*Parameters!$G$29</f>
        <v>0.0</v>
      </c>
      <c r="L11" s="7">
        <f>I11*Parameters!$G$24</f>
        <v>0.0</v>
      </c>
      <c r="M11" s="7">
        <f>J11+K11+L11</f>
        <v>6385.575988791321</v>
      </c>
      <c r="N11" s="7">
        <f>C11*Parameters!$G$17+D11*Parameters!$G$18+E11*Parameters!$G$16+I11*Parameters!$G$25+G11*Parameters!$G$30</f>
        <v>1185.4272000000003</v>
      </c>
      <c r="O11" s="7">
        <f>B11*Parameters!$G$19</f>
        <v>4000</v>
      </c>
      <c r="P11" s="7">
        <f>M11-N11-O11</f>
        <v>1200.1487887913208</v>
      </c>
      <c r="Q11" s="7">
        <f>Parameters!$G$21</f>
        <v>1000</v>
      </c>
      <c r="R11" s="7">
        <f>P11-Q11</f>
        <v>200.14878879132084</v>
      </c>
      <c r="S11" s="7">
        <f>IF(A11&lt;1+Parameters!$G$31,0,INDEX($M$5:$M$40,A11-Parameters!$G$31))</f>
        <v>6056.798501221173</v>
      </c>
      <c r="T11" s="7">
        <f>T10+M11-S11</f>
        <v>6385.575988791321</v>
      </c>
      <c r="U11" s="7">
        <f>S11-N11-O11-Q11</f>
        <v>-128.62869877882713</v>
      </c>
      <c r="V11" s="7">
        <f>V10+U11</f>
        <v>-14532.888440884424</v>
      </c>
      <c r="W11" s="7">
        <f>(1-Parameters!$G$7)*(C11-E11)+(1-Parameters!$G$8)*(D11+E11)</f>
        <v>790.2848000000001</v>
      </c>
      <c r="X11" s="7">
        <f>Parameters!$G$7*(C11-E11)+Parameters!$G$8*Parameters!$G$9*(D11+E11)</f>
        <v>2493.931415124619</v>
      </c>
      <c r="Y11" s="7">
        <f>Parameters!$G$8*(1-Parameters!$G$9)*(D11+E11)</f>
        <v>667.2077848753821</v>
      </c>
      <c r="Z11" s="7">
        <f>POWER(1/(1+Parameters!$G$32),A11-1)*(M11-N11)</f>
        <v>4898.7753890937975</v>
      </c>
    </row>
    <row r="12" spans="1:26">
      <c r="A12" s="7">
        <v>8</v>
      </c>
      <c r="B12" s="7">
        <f>Parameters!$G$20</f>
        <v>1000</v>
      </c>
      <c r="C12" s="7">
        <f>X11+B12</f>
        <v>3493.931415124619</v>
      </c>
      <c r="D12" s="7">
        <f>Y11</f>
        <v>667.207784875382</v>
      </c>
      <c r="E12" s="7">
        <f>Parameters!$G$6*C12</f>
        <v>349.3931415124619</v>
      </c>
      <c r="F12" s="7">
        <f>IF(Parameters!$G$5=1,E12,0)</f>
        <v>0.0</v>
      </c>
      <c r="G12" s="7">
        <f>Parameters!$G$27*G11+F12</f>
        <v>0.0</v>
      </c>
      <c r="H12" s="7">
        <f>IF(AND(Parameters!$G$5=1,Parameters!$G$26=1),SUMPRODUCT(--($A$5:A12&lt;A12),--(MOD(A12-$A$5:A12,Parameters!$G$28)=0),$F$5:F12,POWER(Parameters!$G$27,IF(A12-$A$5:A12=0,1,A12-$A$5:A12))),0)</f>
        <v>0.0</v>
      </c>
      <c r="I12" s="7">
        <f>Parameters!$G$23*I11+B12*Parameters!$G$22</f>
        <v>0.0</v>
      </c>
      <c r="J12" s="7">
        <f>E12*Parameters!$G$14*(1-Parameters!$G$15)</f>
        <v>6638.469688736775</v>
      </c>
      <c r="K12" s="7">
        <f>H12*Parameters!$G$29</f>
        <v>0.0</v>
      </c>
      <c r="L12" s="7">
        <f>I12*Parameters!$G$24</f>
        <v>0.0</v>
      </c>
      <c r="M12" s="7">
        <f>J12+K12+L12</f>
        <v>6638.469688736775</v>
      </c>
      <c r="N12" s="7">
        <f>C12*Parameters!$G$17+D12*Parameters!$G$18+E12*Parameters!$G$16+I12*Parameters!$G$25+G12*Parameters!$G$30</f>
        <v>1248.3417600000002</v>
      </c>
      <c r="O12" s="7">
        <f>B12*Parameters!$G$19</f>
        <v>4000</v>
      </c>
      <c r="P12" s="7">
        <f>M12-N12-O12</f>
        <v>1390.1279287367752</v>
      </c>
      <c r="Q12" s="7">
        <f>Parameters!$G$21</f>
        <v>1000</v>
      </c>
      <c r="R12" s="7">
        <f>P12-Q12</f>
        <v>390.1279287367752</v>
      </c>
      <c r="S12" s="7">
        <f>IF(A12&lt;1+Parameters!$G$31,0,INDEX($M$5:$M$40,A12-Parameters!$G$31))</f>
        <v>6385.575988791321</v>
      </c>
      <c r="T12" s="7">
        <f>T11+M12-S12</f>
        <v>6638.469688736775</v>
      </c>
      <c r="U12" s="7">
        <f>S12-N12-O12-Q12</f>
        <v>137.23422879132067</v>
      </c>
      <c r="V12" s="7">
        <f>V11+U12</f>
        <v>-14395.654212093104</v>
      </c>
      <c r="W12" s="7">
        <f>(1-Parameters!$G$7)*(C12-E12)+(1-Parameters!$G$8)*(D12+E12)</f>
        <v>832.2278400000001</v>
      </c>
      <c r="X12" s="7">
        <f>Parameters!$G$7*(C12-E12)+Parameters!$G$8*Parameters!$G$9*(D12+E12)</f>
        <v>2596.958693000753</v>
      </c>
      <c r="Y12" s="7">
        <f>Parameters!$G$8*(1-Parameters!$G$9)*(D12+E12)</f>
        <v>731.9526669992476</v>
      </c>
      <c r="Z12" s="7">
        <f>POWER(1/(1+Parameters!$G$32),A12-1)*(M12-N12)</f>
        <v>5027.469636313966</v>
      </c>
    </row>
    <row r="13" spans="1:26">
      <c r="A13" s="7">
        <v>9</v>
      </c>
      <c r="B13" s="7">
        <f>Parameters!$G$20</f>
        <v>1000</v>
      </c>
      <c r="C13" s="7">
        <f>X12+B13</f>
        <v>3596.9586930007536</v>
      </c>
      <c r="D13" s="7">
        <f>Y12</f>
        <v>731.9526669992478</v>
      </c>
      <c r="E13" s="7">
        <f>Parameters!$G$6*C13</f>
        <v>359.69586930007534</v>
      </c>
      <c r="F13" s="7">
        <f>IF(Parameters!$G$5=1,E13,0)</f>
        <v>0.0</v>
      </c>
      <c r="G13" s="7">
        <f>Parameters!$G$27*G12+F13</f>
        <v>0.0</v>
      </c>
      <c r="H13" s="7">
        <f>IF(AND(Parameters!$G$5=1,Parameters!$G$26=1),SUMPRODUCT(--($A$5:A13&lt;A13),--(MOD(A13-$A$5:A13,Parameters!$G$28)=0),$F$5:F13,POWER(Parameters!$G$27,IF(A13-$A$5:A13=0,1,A13-$A$5:A13))),0)</f>
        <v>0.0</v>
      </c>
      <c r="I13" s="7">
        <f>Parameters!$G$23*I12+B13*Parameters!$G$22</f>
        <v>0.0</v>
      </c>
      <c r="J13" s="7">
        <f>E13*Parameters!$G$14*(1-Parameters!$G$15)</f>
        <v>6834.221516701431</v>
      </c>
      <c r="K13" s="7">
        <f>H13*Parameters!$G$29</f>
        <v>0.0</v>
      </c>
      <c r="L13" s="7">
        <f>I13*Parameters!$G$24</f>
        <v>0.0</v>
      </c>
      <c r="M13" s="7">
        <f>J13+K13+L13</f>
        <v>6834.221516701431</v>
      </c>
      <c r="N13" s="7">
        <f>C13*Parameters!$G$17+D13*Parameters!$G$18+E13*Parameters!$G$16+I13*Parameters!$G$25+G13*Parameters!$G$30</f>
        <v>1298.6734080000006</v>
      </c>
      <c r="O13" s="7">
        <f>B13*Parameters!$G$19</f>
        <v>4000</v>
      </c>
      <c r="P13" s="7">
        <f>M13-N13-O13</f>
        <v>1535.5481087014305</v>
      </c>
      <c r="Q13" s="7">
        <f>Parameters!$G$21</f>
        <v>1000</v>
      </c>
      <c r="R13" s="7">
        <f>P13-Q13</f>
        <v>535.5481087014305</v>
      </c>
      <c r="S13" s="7">
        <f>IF(A13&lt;1+Parameters!$G$31,0,INDEX($M$5:$M$40,A13-Parameters!$G$31))</f>
        <v>6638.469688736775</v>
      </c>
      <c r="T13" s="7">
        <f>T12+M13-S13</f>
        <v>6834.221516701431</v>
      </c>
      <c r="U13" s="7">
        <f>S13-N13-O13-Q13</f>
        <v>339.79628073677486</v>
      </c>
      <c r="V13" s="7">
        <f>V12+U13</f>
        <v>-14055.85793135633</v>
      </c>
      <c r="W13" s="7">
        <f>(1-Parameters!$G$7)*(C13-E13)+(1-Parameters!$G$8)*(D13+E13)</f>
        <v>865.7822720000001</v>
      </c>
      <c r="X13" s="7">
        <f>Parameters!$G$7*(C13-E13)+Parameters!$G$8*Parameters!$G$9*(D13+E13)</f>
        <v>2677.1421418644886</v>
      </c>
      <c r="Y13" s="7">
        <f>Parameters!$G$8*(1-Parameters!$G$9)*(D13+E13)</f>
        <v>785.9869461355127</v>
      </c>
      <c r="Z13" s="7">
        <f>POWER(1/(1+Parameters!$G$32),A13-1)*(M13-N13)</f>
        <v>5111.985805629465</v>
      </c>
    </row>
    <row r="14" spans="1:26">
      <c r="A14" s="7">
        <v>10</v>
      </c>
      <c r="B14" s="7">
        <f>Parameters!$G$20</f>
        <v>1000</v>
      </c>
      <c r="C14" s="7">
        <f>X13+B14</f>
        <v>3677.1421418644886</v>
      </c>
      <c r="D14" s="7">
        <f>Y13</f>
        <v>785.9869461355127</v>
      </c>
      <c r="E14" s="7">
        <f>Parameters!$G$6*C14</f>
        <v>367.7142141864489</v>
      </c>
      <c r="F14" s="7">
        <f>IF(Parameters!$G$5=1,E14,0)</f>
        <v>0.0</v>
      </c>
      <c r="G14" s="7">
        <f>Parameters!$G$27*G13+F14</f>
        <v>0.0</v>
      </c>
      <c r="H14" s="7">
        <f>IF(AND(Parameters!$G$5=1,Parameters!$G$26=1),SUMPRODUCT(--($A$5:A14&lt;A14),--(MOD(A14-$A$5:A14,Parameters!$G$28)=0),$F$5:F14,POWER(Parameters!$G$27,IF(A14-$A$5:A14=0,1,A14-$A$5:A14))),0)</f>
        <v>0.0</v>
      </c>
      <c r="I14" s="7">
        <f>Parameters!$G$23*I13+B14*Parameters!$G$22</f>
        <v>0.0</v>
      </c>
      <c r="J14" s="7">
        <f>E14*Parameters!$G$14*(1-Parameters!$G$15)</f>
        <v>6986.5700695425285</v>
      </c>
      <c r="K14" s="7">
        <f>H14*Parameters!$G$29</f>
        <v>0.0</v>
      </c>
      <c r="L14" s="7">
        <f>I14*Parameters!$G$24</f>
        <v>0.0</v>
      </c>
      <c r="M14" s="7">
        <f>J14+K14+L14</f>
        <v>6986.5700695425285</v>
      </c>
      <c r="N14" s="7">
        <f>C14*Parameters!$G$17+D14*Parameters!$G$18+E14*Parameters!$G$16+I14*Parameters!$G$25+G14*Parameters!$G$30</f>
        <v>1338.9387264000004</v>
      </c>
      <c r="O14" s="7">
        <f>B14*Parameters!$G$19</f>
        <v>4000</v>
      </c>
      <c r="P14" s="7">
        <f>M14-N14-O14</f>
        <v>1647.6313431425278</v>
      </c>
      <c r="Q14" s="7">
        <f>Parameters!$G$21</f>
        <v>1000</v>
      </c>
      <c r="R14" s="7">
        <f>P14-Q14</f>
        <v>647.6313431425278</v>
      </c>
      <c r="S14" s="7">
        <f>IF(A14&lt;1+Parameters!$G$31,0,INDEX($M$5:$M$40,A14-Parameters!$G$31))</f>
        <v>6834.221516701431</v>
      </c>
      <c r="T14" s="7">
        <f>T13+M14-S14</f>
        <v>6986.5700695425285</v>
      </c>
      <c r="U14" s="7">
        <f>S14-N14-O14-Q14</f>
        <v>495.2827903014304</v>
      </c>
      <c r="V14" s="7">
        <f>V13+U14</f>
        <v>-13560.575141054898</v>
      </c>
      <c r="W14" s="7">
        <f>(1-Parameters!$G$7)*(C14-E14)+(1-Parameters!$G$8)*(D14+E14)</f>
        <v>892.6258176000001</v>
      </c>
      <c r="X14" s="7">
        <f>Parameters!$G$7*(C14-E14)+Parameters!$G$8*Parameters!$G$9*(D14+E14)</f>
        <v>2739.838434968189</v>
      </c>
      <c r="Y14" s="7">
        <f>Parameters!$G$8*(1-Parameters!$G$9)*(D14+E14)</f>
        <v>830.6648354318124</v>
      </c>
      <c r="Z14" s="7">
        <f>POWER(1/(1+Parameters!$G$32),A14-1)*(M14-N14)</f>
        <v>5163.854249660762</v>
      </c>
    </row>
    <row r="15" spans="1:26">
      <c r="A15" s="7">
        <v>11</v>
      </c>
      <c r="B15" s="7">
        <f>Parameters!$G$20</f>
        <v>1000</v>
      </c>
      <c r="C15" s="7">
        <f>X14+B15</f>
        <v>3739.838434968189</v>
      </c>
      <c r="D15" s="7">
        <f>Y14</f>
        <v>830.6648354318124</v>
      </c>
      <c r="E15" s="7">
        <f>Parameters!$G$6*C15</f>
        <v>373.9838434968189</v>
      </c>
      <c r="F15" s="7">
        <f>IF(Parameters!$G$5=1,E15,0)</f>
        <v>0.0</v>
      </c>
      <c r="G15" s="7">
        <f>Parameters!$G$27*G14+F15</f>
        <v>0.0</v>
      </c>
      <c r="H15" s="7">
        <f>IF(AND(Parameters!$G$5=1,Parameters!$G$26=1),SUMPRODUCT(--($A$5:A15&lt;A15),--(MOD(A15-$A$5:A15,Parameters!$G$28)=0),$F$5:F15,POWER(Parameters!$G$27,IF(A15-$A$5:A15=0,1,A15-$A$5:A15))),0)</f>
        <v>0.0</v>
      </c>
      <c r="I15" s="7">
        <f>Parameters!$G$23*I14+B15*Parameters!$G$22</f>
        <v>0.0</v>
      </c>
      <c r="J15" s="7">
        <f>E15*Parameters!$G$14*(1-Parameters!$G$15)</f>
        <v>7105.693026439559</v>
      </c>
      <c r="K15" s="7">
        <f>H15*Parameters!$G$29</f>
        <v>0.0</v>
      </c>
      <c r="L15" s="7">
        <f>I15*Parameters!$G$24</f>
        <v>0.0</v>
      </c>
      <c r="M15" s="7">
        <f>J15+K15+L15</f>
        <v>7105.693026439559</v>
      </c>
      <c r="N15" s="7">
        <f>C15*Parameters!$G$17+D15*Parameters!$G$18+E15*Parameters!$G$16+I15*Parameters!$G$25+G15*Parameters!$G$30</f>
        <v>1371.1509811200006</v>
      </c>
      <c r="O15" s="7">
        <f>B15*Parameters!$G$19</f>
        <v>4000</v>
      </c>
      <c r="P15" s="7">
        <f>M15-N15-O15</f>
        <v>1734.5420453195584</v>
      </c>
      <c r="Q15" s="7">
        <f>Parameters!$G$21</f>
        <v>1000</v>
      </c>
      <c r="R15" s="7">
        <f>P15-Q15</f>
        <v>734.5420453195584</v>
      </c>
      <c r="S15" s="7">
        <f>IF(A15&lt;1+Parameters!$G$31,0,INDEX($M$5:$M$40,A15-Parameters!$G$31))</f>
        <v>6986.5700695425285</v>
      </c>
      <c r="T15" s="7">
        <f>T14+M15-S15</f>
        <v>7105.693026439559</v>
      </c>
      <c r="U15" s="7">
        <f>S15-N15-O15-Q15</f>
        <v>615.4190884225281</v>
      </c>
      <c r="V15" s="7">
        <f>V14+U15</f>
        <v>-12945.15605263237</v>
      </c>
      <c r="W15" s="7">
        <f>(1-Parameters!$G$7)*(C15-E15)+(1-Parameters!$G$8)*(D15+E15)</f>
        <v>914.1006540800001</v>
      </c>
      <c r="X15" s="7">
        <f>Parameters!$G$7*(C15-E15)+Parameters!$G$8*Parameters!$G$9*(D15+E15)</f>
        <v>2789.0555674913867</v>
      </c>
      <c r="Y15" s="7">
        <f>Parameters!$G$8*(1-Parameters!$G$9)*(D15+E15)</f>
        <v>867.3470488286147</v>
      </c>
      <c r="Z15" s="7">
        <f>POWER(1/(1+Parameters!$G$32),A15-1)*(M15-N15)</f>
        <v>5191.406104766214</v>
      </c>
    </row>
    <row r="16" spans="1:26">
      <c r="A16" s="7">
        <v>12</v>
      </c>
      <c r="B16" s="7">
        <f>Parameters!$G$20</f>
        <v>1000</v>
      </c>
      <c r="C16" s="7">
        <f>X15+B16</f>
        <v>3789.055567491387</v>
      </c>
      <c r="D16" s="7">
        <f>Y15</f>
        <v>867.3470488286147</v>
      </c>
      <c r="E16" s="7">
        <f>Parameters!$G$6*C16</f>
        <v>378.9055567491387</v>
      </c>
      <c r="F16" s="7">
        <f>IF(Parameters!$G$5=1,E16,0)</f>
        <v>0.0</v>
      </c>
      <c r="G16" s="7">
        <f>Parameters!$G$27*G15+F16</f>
        <v>0.0</v>
      </c>
      <c r="H16" s="7">
        <f>IF(AND(Parameters!$G$5=1,Parameters!$G$26=1),SUMPRODUCT(--($A$5:A16&lt;A16),--(MOD(A16-$A$5:A16,Parameters!$G$28)=0),$F$5:F16,POWER(Parameters!$G$27,IF(A16-$A$5:A16=0,1,A16-$A$5:A16))),0)</f>
        <v>0.0</v>
      </c>
      <c r="I16" s="7">
        <f>Parameters!$G$23*I15+B16*Parameters!$G$22</f>
        <v>0.0</v>
      </c>
      <c r="J16" s="7">
        <f>E16*Parameters!$G$14*(1-Parameters!$G$15)</f>
        <v>7199.205578233636</v>
      </c>
      <c r="K16" s="7">
        <f>H16*Parameters!$G$29</f>
        <v>0.0</v>
      </c>
      <c r="L16" s="7">
        <f>I16*Parameters!$G$24</f>
        <v>0.0</v>
      </c>
      <c r="M16" s="7">
        <f>J16+K16+L16</f>
        <v>7199.205578233636</v>
      </c>
      <c r="N16" s="7">
        <f>C16*Parameters!$G$17+D16*Parameters!$G$18+E16*Parameters!$G$16+I16*Parameters!$G$25+G16*Parameters!$G$30</f>
        <v>1396.9207848960004</v>
      </c>
      <c r="O16" s="7">
        <f>B16*Parameters!$G$19</f>
        <v>4000</v>
      </c>
      <c r="P16" s="7">
        <f>M16-N16-O16</f>
        <v>1802.2847933376352</v>
      </c>
      <c r="Q16" s="7">
        <f>Parameters!$G$21</f>
        <v>1000</v>
      </c>
      <c r="R16" s="7">
        <f>P16-Q16</f>
        <v>802.2847933376352</v>
      </c>
      <c r="S16" s="7">
        <f>IF(A16&lt;1+Parameters!$G$31,0,INDEX($M$5:$M$40,A16-Parameters!$G$31))</f>
        <v>7105.693026439559</v>
      </c>
      <c r="T16" s="7">
        <f>T15+M16-S16</f>
        <v>7199.205578233636</v>
      </c>
      <c r="U16" s="7">
        <f>S16-N16-O16-Q16</f>
        <v>708.7722415435583</v>
      </c>
      <c r="V16" s="7">
        <f>V15+U16</f>
        <v>-12236.383811088812</v>
      </c>
      <c r="W16" s="7">
        <f>(1-Parameters!$G$7)*(C16-E16)+(1-Parameters!$G$8)*(D16+E16)</f>
        <v>931.2805232640002</v>
      </c>
      <c r="X16" s="7">
        <f>Parameters!$G$7*(C16-E16)+Parameters!$G$8*Parameters!$G$9*(D16+E16)</f>
        <v>2827.820217040019</v>
      </c>
      <c r="Y16" s="7">
        <f>Parameters!$G$8*(1-Parameters!$G$9)*(D16+E16)</f>
        <v>897.3018760159825</v>
      </c>
      <c r="Z16" s="7">
        <f>POWER(1/(1+Parameters!$G$32),A16-1)*(M16-N16)</f>
        <v>5200.725476061419</v>
      </c>
    </row>
    <row r="17" spans="1:26">
      <c r="A17" s="7">
        <v>13</v>
      </c>
      <c r="B17" s="7">
        <f>Parameters!$G$20</f>
        <v>1000</v>
      </c>
      <c r="C17" s="7">
        <f>X16+B17</f>
        <v>3827.820217040019</v>
      </c>
      <c r="D17" s="7">
        <f>Y16</f>
        <v>897.3018760159825</v>
      </c>
      <c r="E17" s="7">
        <f>Parameters!$G$6*C17</f>
        <v>382.7820217040019</v>
      </c>
      <c r="F17" s="7">
        <f>IF(Parameters!$G$5=1,E17,0)</f>
        <v>0.0</v>
      </c>
      <c r="G17" s="7">
        <f>Parameters!$G$27*G16+F17</f>
        <v>0.0</v>
      </c>
      <c r="H17" s="7">
        <f>IF(AND(Parameters!$G$5=1,Parameters!$G$26=1),SUMPRODUCT(--($A$5:A17&lt;A17),--(MOD(A17-$A$5:A17,Parameters!$G$28)=0),$F$5:F17,POWER(Parameters!$G$27,IF(A17-$A$5:A17=0,1,A17-$A$5:A17))),0)</f>
        <v>0.0</v>
      </c>
      <c r="I17" s="7">
        <f>Parameters!$G$23*I16+B17*Parameters!$G$22</f>
        <v>0.0</v>
      </c>
      <c r="J17" s="7">
        <f>E17*Parameters!$G$14*(1-Parameters!$G$15)</f>
        <v>7272.858412376036</v>
      </c>
      <c r="K17" s="7">
        <f>H17*Parameters!$G$29</f>
        <v>0.0</v>
      </c>
      <c r="L17" s="7">
        <f>I17*Parameters!$G$24</f>
        <v>0.0</v>
      </c>
      <c r="M17" s="7">
        <f>J17+K17+L17</f>
        <v>7272.858412376036</v>
      </c>
      <c r="N17" s="7">
        <f>C17*Parameters!$G$17+D17*Parameters!$G$18+E17*Parameters!$G$16+I17*Parameters!$G$25+G17*Parameters!$G$30</f>
        <v>1417.5366279168004</v>
      </c>
      <c r="O17" s="7">
        <f>B17*Parameters!$G$19</f>
        <v>4000</v>
      </c>
      <c r="P17" s="7">
        <f>M17-N17-O17</f>
        <v>1855.3217844592355</v>
      </c>
      <c r="Q17" s="7">
        <f>Parameters!$G$21</f>
        <v>1000</v>
      </c>
      <c r="R17" s="7">
        <f>P17-Q17</f>
        <v>855.3217844592355</v>
      </c>
      <c r="S17" s="7">
        <f>IF(A17&lt;1+Parameters!$G$31,0,INDEX($M$5:$M$40,A17-Parameters!$G$31))</f>
        <v>7199.205578233636</v>
      </c>
      <c r="T17" s="7">
        <f>T16+M17-S17</f>
        <v>7272.858412376036</v>
      </c>
      <c r="U17" s="7">
        <f>S17-N17-O17-Q17</f>
        <v>781.6689503168354</v>
      </c>
      <c r="V17" s="7">
        <f>V16+U17</f>
        <v>-11454.714860771976</v>
      </c>
      <c r="W17" s="7">
        <f>(1-Parameters!$G$7)*(C17-E17)+(1-Parameters!$G$8)*(D17+E17)</f>
        <v>945.0244186112002</v>
      </c>
      <c r="X17" s="7">
        <f>Parameters!$G$7*(C17-E17)+Parameters!$G$8*Parameters!$G$9*(D17+E17)</f>
        <v>2858.4372680864126</v>
      </c>
      <c r="Y17" s="7">
        <f>Parameters!$G$8*(1-Parameters!$G$9)*(D17+E17)</f>
        <v>921.6604063583889</v>
      </c>
      <c r="Z17" s="7">
        <f>POWER(1/(1+Parameters!$G$32),A17-1)*(M17-N17)</f>
        <v>5196.300781296525</v>
      </c>
    </row>
    <row r="18" spans="1:26">
      <c r="A18" s="7">
        <v>14</v>
      </c>
      <c r="B18" s="7">
        <f>Parameters!$G$20</f>
        <v>1000</v>
      </c>
      <c r="C18" s="7">
        <f>X17+B18</f>
        <v>3858.437268086413</v>
      </c>
      <c r="D18" s="7">
        <f>Y17</f>
        <v>921.6604063583889</v>
      </c>
      <c r="E18" s="7">
        <f>Parameters!$G$6*C18</f>
        <v>385.8437268086413</v>
      </c>
      <c r="F18" s="7">
        <f>IF(Parameters!$G$5=1,E18,0)</f>
        <v>0.0</v>
      </c>
      <c r="G18" s="7">
        <f>Parameters!$G$27*G17+F18</f>
        <v>0.0</v>
      </c>
      <c r="H18" s="7">
        <f>IF(AND(Parameters!$G$5=1,Parameters!$G$26=1),SUMPRODUCT(--($A$5:A18&lt;A18),--(MOD(A18-$A$5:A18,Parameters!$G$28)=0),$F$5:F18,POWER(Parameters!$G$27,IF(A18-$A$5:A18=0,1,A18-$A$5:A18))),0)</f>
        <v>0.0</v>
      </c>
      <c r="I18" s="7">
        <f>Parameters!$G$23*I17+B18*Parameters!$G$22</f>
        <v>0.0</v>
      </c>
      <c r="J18" s="7">
        <f>E18*Parameters!$G$14*(1-Parameters!$G$15)</f>
        <v>7331.030809364184</v>
      </c>
      <c r="K18" s="7">
        <f>H18*Parameters!$G$29</f>
        <v>0.0</v>
      </c>
      <c r="L18" s="7">
        <f>I18*Parameters!$G$24</f>
        <v>0.0</v>
      </c>
      <c r="M18" s="7">
        <f>J18+K18+L18</f>
        <v>7331.030809364184</v>
      </c>
      <c r="N18" s="7">
        <f>C18*Parameters!$G$17+D18*Parameters!$G$18+E18*Parameters!$G$16+I18*Parameters!$G$25+G18*Parameters!$G$30</f>
        <v>1434.0293023334407</v>
      </c>
      <c r="O18" s="7">
        <f>B18*Parameters!$G$19</f>
        <v>4000</v>
      </c>
      <c r="P18" s="7">
        <f>M18-N18-O18</f>
        <v>1897.0015070307436</v>
      </c>
      <c r="Q18" s="7">
        <f>Parameters!$G$21</f>
        <v>1000</v>
      </c>
      <c r="R18" s="7">
        <f>P18-Q18</f>
        <v>897.0015070307436</v>
      </c>
      <c r="S18" s="7">
        <f>IF(A18&lt;1+Parameters!$G$31,0,INDEX($M$5:$M$40,A18-Parameters!$G$31))</f>
        <v>7272.858412376036</v>
      </c>
      <c r="T18" s="7">
        <f>T17+M18-S18</f>
        <v>7331.030809364184</v>
      </c>
      <c r="U18" s="7">
        <f>S18-N18-O18-Q18</f>
        <v>838.829110042595</v>
      </c>
      <c r="V18" s="7">
        <f>V17+U18</f>
        <v>-10615.88575072938</v>
      </c>
      <c r="W18" s="7">
        <f>(1-Parameters!$G$7)*(C18-E18)+(1-Parameters!$G$8)*(D18+E18)</f>
        <v>956.0195348889603</v>
      </c>
      <c r="X18" s="7">
        <f>Parameters!$G$7*(C18-E18)+Parameters!$G$8*Parameters!$G$9*(D18+E18)</f>
        <v>2882.6751636755803</v>
      </c>
      <c r="Y18" s="7">
        <f>Parameters!$G$8*(1-Parameters!$G$9)*(D18+E18)</f>
        <v>941.4029758802618</v>
      </c>
      <c r="Z18" s="7">
        <f>POWER(1/(1+Parameters!$G$32),A18-1)*(M18-N18)</f>
        <v>5181.474672081066</v>
      </c>
    </row>
    <row r="19" spans="1:26">
      <c r="A19" s="7">
        <v>15</v>
      </c>
      <c r="B19" s="7">
        <f>Parameters!$G$20</f>
        <v>1000</v>
      </c>
      <c r="C19" s="7">
        <f>X18+B19</f>
        <v>3882.6751636755803</v>
      </c>
      <c r="D19" s="7">
        <f>Y18</f>
        <v>941.4029758802618</v>
      </c>
      <c r="E19" s="7">
        <f>Parameters!$G$6*C19</f>
        <v>388.267516367558</v>
      </c>
      <c r="F19" s="7">
        <f>IF(Parameters!$G$5=1,E19,0)</f>
        <v>0.0</v>
      </c>
      <c r="G19" s="7">
        <f>Parameters!$G$27*G18+F19</f>
        <v>0.0</v>
      </c>
      <c r="H19" s="7">
        <f>IF(AND(Parameters!$G$5=1,Parameters!$G$26=1),SUMPRODUCT(--($A$5:A19&lt;A19),--(MOD(A19-$A$5:A19,Parameters!$G$28)=0),$F$5:F19,POWER(Parameters!$G$27,IF(A19-$A$5:A19=0,1,A19-$A$5:A19))),0)</f>
        <v>0.0</v>
      </c>
      <c r="I19" s="7">
        <f>Parameters!$G$23*I18+B19*Parameters!$G$22</f>
        <v>0.0</v>
      </c>
      <c r="J19" s="7">
        <f>E19*Parameters!$G$14*(1-Parameters!$G$15)</f>
        <v>7377.082810983602</v>
      </c>
      <c r="K19" s="7">
        <f>H19*Parameters!$G$29</f>
        <v>0.0</v>
      </c>
      <c r="L19" s="7">
        <f>I19*Parameters!$G$24</f>
        <v>0.0</v>
      </c>
      <c r="M19" s="7">
        <f>J19+K19+L19</f>
        <v>7377.082810983602</v>
      </c>
      <c r="N19" s="7">
        <f>C19*Parameters!$G$17+D19*Parameters!$G$18+E19*Parameters!$G$16+I19*Parameters!$G$25+G19*Parameters!$G$30</f>
        <v>1447.2234418667526</v>
      </c>
      <c r="O19" s="7">
        <f>B19*Parameters!$G$19</f>
        <v>4000</v>
      </c>
      <c r="P19" s="7">
        <f>M19-N19-O19</f>
        <v>1929.8593691168498</v>
      </c>
      <c r="Q19" s="7">
        <f>Parameters!$G$21</f>
        <v>1000</v>
      </c>
      <c r="R19" s="7">
        <f>P19-Q19</f>
        <v>929.8593691168498</v>
      </c>
      <c r="S19" s="7">
        <f>IF(A19&lt;1+Parameters!$G$31,0,INDEX($M$5:$M$40,A19-Parameters!$G$31))</f>
        <v>7331.030809364184</v>
      </c>
      <c r="T19" s="7">
        <f>T18+M19-S19</f>
        <v>7377.082810983602</v>
      </c>
      <c r="U19" s="7">
        <f>S19-N19-O19-Q19</f>
        <v>883.8073674974312</v>
      </c>
      <c r="V19" s="7">
        <f>V18+U19</f>
        <v>-9732.078383231948</v>
      </c>
      <c r="W19" s="7">
        <f>(1-Parameters!$G$7)*(C19-E19)+(1-Parameters!$G$8)*(D19+E19)</f>
        <v>964.8156279111682</v>
      </c>
      <c r="X19" s="7">
        <f>Parameters!$G$7*(C19-E19)+Parameters!$G$8*Parameters!$G$9*(D19+E19)</f>
        <v>2901.8997572262438</v>
      </c>
      <c r="Y19" s="7">
        <f>Parameters!$G$8*(1-Parameters!$G$9)*(D19+E19)</f>
        <v>957.3627544184303</v>
      </c>
      <c r="Z19" s="7">
        <f>POWER(1/(1+Parameters!$G$32),A19-1)*(M19-N19)</f>
        <v>5158.75806592889</v>
      </c>
    </row>
    <row r="20" spans="1:26">
      <c r="A20" s="7">
        <v>16</v>
      </c>
      <c r="B20" s="7">
        <f>Parameters!$G$20</f>
        <v>1000</v>
      </c>
      <c r="C20" s="7">
        <f>X19+B20</f>
        <v>3901.8997572262438</v>
      </c>
      <c r="D20" s="7">
        <f>Y19</f>
        <v>957.3627544184304</v>
      </c>
      <c r="E20" s="7">
        <f>Parameters!$G$6*C20</f>
        <v>390.18997572262435</v>
      </c>
      <c r="F20" s="7">
        <f>IF(Parameters!$G$5=1,E20,0)</f>
        <v>0.0</v>
      </c>
      <c r="G20" s="7">
        <f>Parameters!$G$27*G19+F20</f>
        <v>0.0</v>
      </c>
      <c r="H20" s="7">
        <f>IF(AND(Parameters!$G$5=1,Parameters!$G$26=1),SUMPRODUCT(--($A$5:A20&lt;A20),--(MOD(A20-$A$5:A20,Parameters!$G$28)=0),$F$5:F20,POWER(Parameters!$G$27,IF(A20-$A$5:A20=0,1,A20-$A$5:A20))),0)</f>
        <v>0.0</v>
      </c>
      <c r="I20" s="7">
        <f>Parameters!$G$23*I19+B20*Parameters!$G$22</f>
        <v>0.0</v>
      </c>
      <c r="J20" s="7">
        <f>E20*Parameters!$G$14*(1-Parameters!$G$15)</f>
        <v>7413.609538729862</v>
      </c>
      <c r="K20" s="7">
        <f>H20*Parameters!$G$29</f>
        <v>0.0</v>
      </c>
      <c r="L20" s="7">
        <f>I20*Parameters!$G$24</f>
        <v>0.0</v>
      </c>
      <c r="M20" s="7">
        <f>J20+K20+L20</f>
        <v>7413.609538729862</v>
      </c>
      <c r="N20" s="7">
        <f>C20*Parameters!$G$17+D20*Parameters!$G$18+E20*Parameters!$G$16+I20*Parameters!$G$25+G20*Parameters!$G$30</f>
        <v>1457.7787534934023</v>
      </c>
      <c r="O20" s="7">
        <f>B20*Parameters!$G$19</f>
        <v>4000</v>
      </c>
      <c r="P20" s="7">
        <f>M20-N20-O20</f>
        <v>1955.8307852364596</v>
      </c>
      <c r="Q20" s="7">
        <f>Parameters!$G$21</f>
        <v>1000</v>
      </c>
      <c r="R20" s="7">
        <f>P20-Q20</f>
        <v>955.8307852364596</v>
      </c>
      <c r="S20" s="7">
        <f>IF(A20&lt;1+Parameters!$G$31,0,INDEX($M$5:$M$40,A20-Parameters!$G$31))</f>
        <v>7377.082810983602</v>
      </c>
      <c r="T20" s="7">
        <f>T19+M20-S20</f>
        <v>7413.609538729862</v>
      </c>
      <c r="U20" s="7">
        <f>S20-N20-O20-Q20</f>
        <v>919.3040574901997</v>
      </c>
      <c r="V20" s="7">
        <f>V19+U20</f>
        <v>-8812.77432574175</v>
      </c>
      <c r="W20" s="7">
        <f>(1-Parameters!$G$7)*(C20-E20)+(1-Parameters!$G$8)*(D20+E20)</f>
        <v>971.8525023289346</v>
      </c>
      <c r="X20" s="7">
        <f>Parameters!$G$7*(C20-E20)+Parameters!$G$8*Parameters!$G$9*(D20+E20)</f>
        <v>2917.1720436141804</v>
      </c>
      <c r="Y20" s="7">
        <f>Parameters!$G$8*(1-Parameters!$G$9)*(D20+E20)</f>
        <v>970.2379657015596</v>
      </c>
      <c r="Z20" s="7">
        <f>POWER(1/(1+Parameters!$G$32),A20-1)*(M20-N20)</f>
        <v>5130.051719030116</v>
      </c>
    </row>
    <row r="21" spans="1:26">
      <c r="A21" s="7">
        <v>17</v>
      </c>
      <c r="B21" s="7">
        <f>Parameters!$G$20</f>
        <v>1000</v>
      </c>
      <c r="C21" s="7">
        <f>X20+B21</f>
        <v>3917.17204361418</v>
      </c>
      <c r="D21" s="7">
        <f>Y20</f>
        <v>970.2379657015596</v>
      </c>
      <c r="E21" s="7">
        <f>Parameters!$G$6*C21</f>
        <v>391.71720436141806</v>
      </c>
      <c r="F21" s="7">
        <f>IF(Parameters!$G$5=1,E21,0)</f>
        <v>0.0</v>
      </c>
      <c r="G21" s="7">
        <f>Parameters!$G$27*G20+F21</f>
        <v>0.0</v>
      </c>
      <c r="H21" s="7">
        <f>IF(AND(Parameters!$G$5=1,Parameters!$G$26=1),SUMPRODUCT(--($A$5:A21&lt;A21),--(MOD(A21-$A$5:A21,Parameters!$G$28)=0),$F$5:F21,POWER(Parameters!$G$27,IF(A21-$A$5:A21=0,1,A21-$A$5:A21))),0)</f>
        <v>0.0</v>
      </c>
      <c r="I21" s="7">
        <f>Parameters!$G$23*I20+B21*Parameters!$G$22</f>
        <v>0.0</v>
      </c>
      <c r="J21" s="7">
        <f>E21*Parameters!$G$14*(1-Parameters!$G$15)</f>
        <v>7442.626882866943</v>
      </c>
      <c r="K21" s="7">
        <f>H21*Parameters!$G$29</f>
        <v>0.0</v>
      </c>
      <c r="L21" s="7">
        <f>I21*Parameters!$G$24</f>
        <v>0.0</v>
      </c>
      <c r="M21" s="7">
        <f>J21+K21+L21</f>
        <v>7442.626882866943</v>
      </c>
      <c r="N21" s="7">
        <f>C21*Parameters!$G$17+D21*Parameters!$G$18+E21*Parameters!$G$16+I21*Parameters!$G$25+G21*Parameters!$G$30</f>
        <v>1466.2230027947219</v>
      </c>
      <c r="O21" s="7">
        <f>B21*Parameters!$G$19</f>
        <v>4000</v>
      </c>
      <c r="P21" s="7">
        <f>M21-N21-O21</f>
        <v>1976.403880072221</v>
      </c>
      <c r="Q21" s="7">
        <f>Parameters!$G$21</f>
        <v>1000</v>
      </c>
      <c r="R21" s="7">
        <f>P21-Q21</f>
        <v>976.403880072221</v>
      </c>
      <c r="S21" s="7">
        <f>IF(A21&lt;1+Parameters!$G$31,0,INDEX($M$5:$M$40,A21-Parameters!$G$31))</f>
        <v>7413.609538729862</v>
      </c>
      <c r="T21" s="7">
        <f>T20+M21-S21</f>
        <v>7442.626882866943</v>
      </c>
      <c r="U21" s="7">
        <f>S21-N21-O21-Q21</f>
        <v>947.3865359351403</v>
      </c>
      <c r="V21" s="7">
        <f>V20+U21</f>
        <v>-7865.387789806609</v>
      </c>
      <c r="W21" s="7">
        <f>(1-Parameters!$G$7)*(C21-E21)+(1-Parameters!$G$8)*(D21+E21)</f>
        <v>977.4820018631477</v>
      </c>
      <c r="X21" s="7">
        <f>Parameters!$G$7*(C21-E21)+Parameters!$G$8*Parameters!$G$9*(D21+E21)</f>
        <v>2929.3202850072475</v>
      </c>
      <c r="Y21" s="7">
        <f>Parameters!$G$8*(1-Parameters!$G$9)*(D21+E21)</f>
        <v>980.607722445344</v>
      </c>
      <c r="Z21" s="7">
        <f>POWER(1/(1+Parameters!$G$32),A21-1)*(M21-N21)</f>
        <v>5096.804300457914</v>
      </c>
    </row>
    <row r="22" spans="1:26">
      <c r="A22" s="7">
        <v>18</v>
      </c>
      <c r="B22" s="7">
        <f>Parameters!$G$20</f>
        <v>1000</v>
      </c>
      <c r="C22" s="7">
        <f>X21+B22</f>
        <v>3929.3202850072485</v>
      </c>
      <c r="D22" s="7">
        <f>Y21</f>
        <v>980.6077224453439</v>
      </c>
      <c r="E22" s="7">
        <f>Parameters!$G$6*C22</f>
        <v>392.9320285007248</v>
      </c>
      <c r="F22" s="7">
        <f>IF(Parameters!$G$5=1,E22,0)</f>
        <v>0.0</v>
      </c>
      <c r="G22" s="7">
        <f>Parameters!$G$27*G21+F22</f>
        <v>0.0</v>
      </c>
      <c r="H22" s="7">
        <f>IF(AND(Parameters!$G$5=1,Parameters!$G$26=1),SUMPRODUCT(--($A$5:A22&lt;A22),--(MOD(A22-$A$5:A22,Parameters!$G$28)=0),$F$5:F22,POWER(Parameters!$G$27,IF(A22-$A$5:A22=0,1,A22-$A$5:A22))),0)</f>
        <v>0.0</v>
      </c>
      <c r="I22" s="7">
        <f>Parameters!$G$23*I21+B22*Parameters!$G$22</f>
        <v>0.0</v>
      </c>
      <c r="J22" s="7">
        <f>E22*Parameters!$G$14*(1-Parameters!$G$15)</f>
        <v>7465.708541513771</v>
      </c>
      <c r="K22" s="7">
        <f>H22*Parameters!$G$29</f>
        <v>0.0</v>
      </c>
      <c r="L22" s="7">
        <f>I22*Parameters!$G$24</f>
        <v>0.0</v>
      </c>
      <c r="M22" s="7">
        <f>J22+K22+L22</f>
        <v>7465.708541513771</v>
      </c>
      <c r="N22" s="7">
        <f>C22*Parameters!$G$17+D22*Parameters!$G$18+E22*Parameters!$G$16+I22*Parameters!$G$25+G22*Parameters!$G$30</f>
        <v>1472.9784022357776</v>
      </c>
      <c r="O22" s="7">
        <f>B22*Parameters!$G$19</f>
        <v>4000</v>
      </c>
      <c r="P22" s="7">
        <f>M22-N22-O22</f>
        <v>1992.7301392779937</v>
      </c>
      <c r="Q22" s="7">
        <f>Parameters!$G$21</f>
        <v>1000</v>
      </c>
      <c r="R22" s="7">
        <f>P22-Q22</f>
        <v>992.7301392779937</v>
      </c>
      <c r="S22" s="7">
        <f>IF(A22&lt;1+Parameters!$G$31,0,INDEX($M$5:$M$40,A22-Parameters!$G$31))</f>
        <v>7442.626882866943</v>
      </c>
      <c r="T22" s="7">
        <f>T21+M22-S22</f>
        <v>7465.708541513771</v>
      </c>
      <c r="U22" s="7">
        <f>S22-N22-O22-Q22</f>
        <v>969.6484806311655</v>
      </c>
      <c r="V22" s="7">
        <f>V21+U22</f>
        <v>-6895.739309175444</v>
      </c>
      <c r="W22" s="7">
        <f>(1-Parameters!$G$7)*(C22-E22)+(1-Parameters!$G$8)*(D22+E22)</f>
        <v>981.9856014905183</v>
      </c>
      <c r="X22" s="7">
        <f>Parameters!$G$7*(C22-E22)+Parameters!$G$8*Parameters!$G$9*(D22+E22)</f>
        <v>2938.993785280905</v>
      </c>
      <c r="Y22" s="7">
        <f>Parameters!$G$8*(1-Parameters!$G$9)*(D22+E22)</f>
        <v>988.9486206811697</v>
      </c>
      <c r="Z22" s="7">
        <f>POWER(1/(1+Parameters!$G$32),A22-1)*(M22-N22)</f>
        <v>5060.126417268206</v>
      </c>
    </row>
    <row r="23" spans="1:26">
      <c r="A23" s="7">
        <v>19</v>
      </c>
      <c r="B23" s="7">
        <f>Parameters!$G$20</f>
        <v>1000</v>
      </c>
      <c r="C23" s="7">
        <f>X22+B23</f>
        <v>3938.993785280905</v>
      </c>
      <c r="D23" s="7">
        <f>Y22</f>
        <v>988.9486206811696</v>
      </c>
      <c r="E23" s="7">
        <f>Parameters!$G$6*C23</f>
        <v>393.8993785280905</v>
      </c>
      <c r="F23" s="7">
        <f>IF(Parameters!$G$5=1,E23,0)</f>
        <v>0.0</v>
      </c>
      <c r="G23" s="7">
        <f>Parameters!$G$27*G22+F23</f>
        <v>0.0</v>
      </c>
      <c r="H23" s="7">
        <f>IF(AND(Parameters!$G$5=1,Parameters!$G$26=1),SUMPRODUCT(--($A$5:A23&lt;A23),--(MOD(A23-$A$5:A23,Parameters!$G$28)=0),$F$5:F23,POWER(Parameters!$G$27,IF(A23-$A$5:A23=0,1,A23-$A$5:A23))),0)</f>
        <v>0.0</v>
      </c>
      <c r="I23" s="7">
        <f>Parameters!$G$23*I22+B23*Parameters!$G$22</f>
        <v>0.0</v>
      </c>
      <c r="J23" s="7">
        <f>E23*Parameters!$G$14*(1-Parameters!$G$15)</f>
        <v>7484.088192033719</v>
      </c>
      <c r="K23" s="7">
        <f>H23*Parameters!$G$29</f>
        <v>0.0</v>
      </c>
      <c r="L23" s="7">
        <f>I23*Parameters!$G$24</f>
        <v>0.0</v>
      </c>
      <c r="M23" s="7">
        <f>J23+K23+L23</f>
        <v>7484.088192033719</v>
      </c>
      <c r="N23" s="7">
        <f>C23*Parameters!$G$17+D23*Parameters!$G$18+E23*Parameters!$G$16+I23*Parameters!$G$25+G23*Parameters!$G$30</f>
        <v>1478.3827217886223</v>
      </c>
      <c r="O23" s="7">
        <f>B23*Parameters!$G$19</f>
        <v>4000</v>
      </c>
      <c r="P23" s="7">
        <f>M23-N23-O23</f>
        <v>2005.7054702450969</v>
      </c>
      <c r="Q23" s="7">
        <f>Parameters!$G$21</f>
        <v>1000</v>
      </c>
      <c r="R23" s="7">
        <f>P23-Q23</f>
        <v>1005.7054702450969</v>
      </c>
      <c r="S23" s="7">
        <f>IF(A23&lt;1+Parameters!$G$31,0,INDEX($M$5:$M$40,A23-Parameters!$G$31))</f>
        <v>7465.708541513771</v>
      </c>
      <c r="T23" s="7">
        <f>T22+M23-S23</f>
        <v>7484.088192033719</v>
      </c>
      <c r="U23" s="7">
        <f>S23-N23-O23-Q23</f>
        <v>987.3258197251489</v>
      </c>
      <c r="V23" s="7">
        <f>V22+U23</f>
        <v>-5908.413489450295</v>
      </c>
      <c r="W23" s="7">
        <f>(1-Parameters!$G$7)*(C23-E23)+(1-Parameters!$G$8)*(D23+E23)</f>
        <v>985.5884811924146</v>
      </c>
      <c r="X23" s="7">
        <f>Parameters!$G$7*(C23-E23)+Parameters!$G$8*Parameters!$G$9*(D23+E23)</f>
        <v>2946.703365338992</v>
      </c>
      <c r="Y23" s="7">
        <f>Parameters!$G$8*(1-Parameters!$G$9)*(D23+E23)</f>
        <v>995.6505594306674</v>
      </c>
      <c r="Z23" s="7">
        <f>POWER(1/(1+Parameters!$G$32),A23-1)*(M23-N23)</f>
        <v>5020.873757056954</v>
      </c>
    </row>
    <row r="24" spans="1:26">
      <c r="A24" s="7">
        <v>20</v>
      </c>
      <c r="B24" s="7">
        <f>Parameters!$G$20</f>
        <v>1000</v>
      </c>
      <c r="C24" s="7">
        <f>X23+B24</f>
        <v>3946.7033653389926</v>
      </c>
      <c r="D24" s="7">
        <f>Y23</f>
        <v>995.6505594306674</v>
      </c>
      <c r="E24" s="7">
        <f>Parameters!$G$6*C24</f>
        <v>394.6703365338993</v>
      </c>
      <c r="F24" s="7">
        <f>IF(Parameters!$G$5=1,E24,0)</f>
        <v>0.0</v>
      </c>
      <c r="G24" s="7">
        <f>Parameters!$G$27*G23+F24</f>
        <v>0.0</v>
      </c>
      <c r="H24" s="7">
        <f>IF(AND(Parameters!$G$5=1,Parameters!$G$26=1),SUMPRODUCT(--($A$5:A24&lt;A24),--(MOD(A24-$A$5:A24,Parameters!$G$28)=0),$F$5:F24,POWER(Parameters!$G$27,IF(A24-$A$5:A24=0,1,A24-$A$5:A24))),0)</f>
        <v>0.0</v>
      </c>
      <c r="I24" s="7">
        <f>Parameters!$G$23*I23+B24*Parameters!$G$22</f>
        <v>0.0</v>
      </c>
      <c r="J24" s="7">
        <f>E24*Parameters!$G$14*(1-Parameters!$G$15)</f>
        <v>7498.736394144085</v>
      </c>
      <c r="K24" s="7">
        <f>H24*Parameters!$G$29</f>
        <v>0.0</v>
      </c>
      <c r="L24" s="7">
        <f>I24*Parameters!$G$24</f>
        <v>0.0</v>
      </c>
      <c r="M24" s="7">
        <f>J24+K24+L24</f>
        <v>7498.736394144085</v>
      </c>
      <c r="N24" s="7">
        <f>C24*Parameters!$G$17+D24*Parameters!$G$18+E24*Parameters!$G$16+I24*Parameters!$G$25+G24*Parameters!$G$30</f>
        <v>1482.706177430898</v>
      </c>
      <c r="O24" s="7">
        <f>B24*Parameters!$G$19</f>
        <v>4000</v>
      </c>
      <c r="P24" s="7">
        <f>M24-N24-O24</f>
        <v>2016.0302167131877</v>
      </c>
      <c r="Q24" s="7">
        <f>Parameters!$G$21</f>
        <v>1000</v>
      </c>
      <c r="R24" s="7">
        <f>P24-Q24</f>
        <v>1016.0302167131877</v>
      </c>
      <c r="S24" s="7">
        <f>IF(A24&lt;1+Parameters!$G$31,0,INDEX($M$5:$M$40,A24-Parameters!$G$31))</f>
        <v>7484.088192033719</v>
      </c>
      <c r="T24" s="7">
        <f>T23+M24-S24</f>
        <v>7498.736394144085</v>
      </c>
      <c r="U24" s="7">
        <f>S24-N24-O24-Q24</f>
        <v>1001.3820146028211</v>
      </c>
      <c r="V24" s="7">
        <f>V23+U24</f>
        <v>-4907.031474847474</v>
      </c>
      <c r="W24" s="7">
        <f>(1-Parameters!$G$7)*(C24-E24)+(1-Parameters!$G$8)*(D24+E24)</f>
        <v>988.4707849539318</v>
      </c>
      <c r="X24" s="7">
        <f>Parameters!$G$7*(C24-E24)+Parameters!$G$8*Parameters!$G$9*(D24+E24)</f>
        <v>2952.85209472124</v>
      </c>
      <c r="Y24" s="7">
        <f>Parameters!$G$8*(1-Parameters!$G$9)*(D24+E24)</f>
        <v>1001.0310450944881</v>
      </c>
      <c r="Z24" s="7">
        <f>POWER(1/(1+Parameters!$G$32),A24-1)*(M24-N24)</f>
        <v>4979.708340464267</v>
      </c>
    </row>
    <row r="25" spans="1:26">
      <c r="A25" s="7">
        <v>21</v>
      </c>
      <c r="B25" s="7">
        <f>Parameters!$G$20</f>
        <v>1000</v>
      </c>
      <c r="C25" s="7">
        <f>X24+B25</f>
        <v>3952.85209472124</v>
      </c>
      <c r="D25" s="7">
        <f>Y24</f>
        <v>1001.031045094488</v>
      </c>
      <c r="E25" s="7">
        <f>Parameters!$G$6*C25</f>
        <v>395.28520947212405</v>
      </c>
      <c r="F25" s="7">
        <f>IF(Parameters!$G$5=1,E25,0)</f>
        <v>0.0</v>
      </c>
      <c r="G25" s="7">
        <f>Parameters!$G$27*G24+F25</f>
        <v>0.0</v>
      </c>
      <c r="H25" s="7">
        <f>IF(AND(Parameters!$G$5=1,Parameters!$G$26=1),SUMPRODUCT(--($A$5:A25&lt;A25),--(MOD(A25-$A$5:A25,Parameters!$G$28)=0),$F$5:F25,POWER(Parameters!$G$27,IF(A25-$A$5:A25=0,1,A25-$A$5:A25))),0)</f>
        <v>0.0</v>
      </c>
      <c r="I25" s="7">
        <f>Parameters!$G$23*I24+B25*Parameters!$G$22</f>
        <v>0.0</v>
      </c>
      <c r="J25" s="7">
        <f>E25*Parameters!$G$14*(1-Parameters!$G$15)</f>
        <v>7510.418979970356</v>
      </c>
      <c r="K25" s="7">
        <f>H25*Parameters!$G$29</f>
        <v>0.0</v>
      </c>
      <c r="L25" s="7">
        <f>I25*Parameters!$G$24</f>
        <v>0.0</v>
      </c>
      <c r="M25" s="7">
        <f>J25+K25+L25</f>
        <v>7510.418979970356</v>
      </c>
      <c r="N25" s="7">
        <f>C25*Parameters!$G$17+D25*Parameters!$G$18+E25*Parameters!$G$16+I25*Parameters!$G$25+G25*Parameters!$G$30</f>
        <v>1486.1649419447185</v>
      </c>
      <c r="O25" s="7">
        <f>B25*Parameters!$G$19</f>
        <v>4000</v>
      </c>
      <c r="P25" s="7">
        <f>M25-N25-O25</f>
        <v>2024.2540380256378</v>
      </c>
      <c r="Q25" s="7">
        <f>Parameters!$G$21</f>
        <v>1000</v>
      </c>
      <c r="R25" s="7">
        <f>P25-Q25</f>
        <v>1024.2540380256378</v>
      </c>
      <c r="S25" s="7">
        <f>IF(A25&lt;1+Parameters!$G$31,0,INDEX($M$5:$M$40,A25-Parameters!$G$31))</f>
        <v>7498.736394144085</v>
      </c>
      <c r="T25" s="7">
        <f>T24+M25-S25</f>
        <v>7510.418979970356</v>
      </c>
      <c r="U25" s="7">
        <f>S25-N25-O25-Q25</f>
        <v>1012.5714521993668</v>
      </c>
      <c r="V25" s="7">
        <f>V24+U25</f>
        <v>-3894.460022648107</v>
      </c>
      <c r="W25" s="7">
        <f>(1-Parameters!$G$7)*(C25-E25)+(1-Parameters!$G$8)*(D25+E25)</f>
        <v>990.7766279631455</v>
      </c>
      <c r="X25" s="7">
        <f>Parameters!$G$7*(C25-E25)+Parameters!$G$8*Parameters!$G$9*(D25+E25)</f>
        <v>2957.758808564622</v>
      </c>
      <c r="Y25" s="7">
        <f>Parameters!$G$8*(1-Parameters!$G$9)*(D25+E25)</f>
        <v>1005.3477032879608</v>
      </c>
      <c r="Z25" s="7">
        <f>POWER(1/(1+Parameters!$G$32),A25-1)*(M25-N25)</f>
        <v>4937.144084771035</v>
      </c>
    </row>
    <row r="26" spans="1:26">
      <c r="A26" s="7">
        <v>22</v>
      </c>
      <c r="B26" s="7">
        <f>Parameters!$G$20</f>
        <v>1000</v>
      </c>
      <c r="C26" s="7">
        <f>X25+B26</f>
        <v>3957.7588085646225</v>
      </c>
      <c r="D26" s="7">
        <f>Y25</f>
        <v>1005.3477032879608</v>
      </c>
      <c r="E26" s="7">
        <f>Parameters!$G$6*C26</f>
        <v>395.77588085646227</v>
      </c>
      <c r="F26" s="7">
        <f>IF(Parameters!$G$5=1,E26,0)</f>
        <v>0.0</v>
      </c>
      <c r="G26" s="7">
        <f>Parameters!$G$27*G25+F26</f>
        <v>0.0</v>
      </c>
      <c r="H26" s="7">
        <f>IF(AND(Parameters!$G$5=1,Parameters!$G$26=1),SUMPRODUCT(--($A$5:A26&lt;A26),--(MOD(A26-$A$5:A26,Parameters!$G$28)=0),$F$5:F26,POWER(Parameters!$G$27,IF(A26-$A$5:A26=0,1,A26-$A$5:A26))),0)</f>
        <v>0.0</v>
      </c>
      <c r="I26" s="7">
        <f>Parameters!$G$23*I25+B26*Parameters!$G$22</f>
        <v>0.0</v>
      </c>
      <c r="J26" s="7">
        <f>E26*Parameters!$G$14*(1-Parameters!$G$15)</f>
        <v>7519.741736272783</v>
      </c>
      <c r="K26" s="7">
        <f>H26*Parameters!$G$29</f>
        <v>0.0</v>
      </c>
      <c r="L26" s="7">
        <f>I26*Parameters!$G$24</f>
        <v>0.0</v>
      </c>
      <c r="M26" s="7">
        <f>J26+K26+L26</f>
        <v>7519.741736272783</v>
      </c>
      <c r="N26" s="7">
        <f>C26*Parameters!$G$17+D26*Parameters!$G$18+E26*Parameters!$G$16+I26*Parameters!$G$25+G26*Parameters!$G$30</f>
        <v>1488.931953555775</v>
      </c>
      <c r="O26" s="7">
        <f>B26*Parameters!$G$19</f>
        <v>4000</v>
      </c>
      <c r="P26" s="7">
        <f>M26-N26-O26</f>
        <v>2030.8097827170077</v>
      </c>
      <c r="Q26" s="7">
        <f>Parameters!$G$21</f>
        <v>1000</v>
      </c>
      <c r="R26" s="7">
        <f>P26-Q26</f>
        <v>1030.8097827170077</v>
      </c>
      <c r="S26" s="7">
        <f>IF(A26&lt;1+Parameters!$G$31,0,INDEX($M$5:$M$40,A26-Parameters!$G$31))</f>
        <v>7510.418979970356</v>
      </c>
      <c r="T26" s="7">
        <f>T25+M26-S26</f>
        <v>7519.741736272783</v>
      </c>
      <c r="U26" s="7">
        <f>S26-N26-O26-Q26</f>
        <v>1021.4870264145811</v>
      </c>
      <c r="V26" s="7">
        <f>V25+U26</f>
        <v>-2872.972996233526</v>
      </c>
      <c r="W26" s="7">
        <f>(1-Parameters!$G$7)*(C26-E26)+(1-Parameters!$G$8)*(D26+E26)</f>
        <v>992.6213023705164</v>
      </c>
      <c r="X26" s="7">
        <f>Parameters!$G$7*(C26-E26)+Parameters!$G$8*Parameters!$G$9*(D26+E26)</f>
        <v>2961.6762288980826</v>
      </c>
      <c r="Y26" s="7">
        <f>Parameters!$G$8*(1-Parameters!$G$9)*(D26+E26)</f>
        <v>1008.8089805839847</v>
      </c>
      <c r="Z26" s="7">
        <f>POWER(1/(1+Parameters!$G$32),A26-1)*(M26-N26)</f>
        <v>4893.580999090881</v>
      </c>
    </row>
    <row r="27" spans="1:26">
      <c r="A27" s="7">
        <v>23</v>
      </c>
      <c r="B27" s="7">
        <f>Parameters!$G$20</f>
        <v>1000</v>
      </c>
      <c r="C27" s="7">
        <f>X26+B27</f>
        <v>3961.676228898082</v>
      </c>
      <c r="D27" s="7">
        <f>Y26</f>
        <v>1008.8089805839847</v>
      </c>
      <c r="E27" s="7">
        <f>Parameters!$G$6*C27</f>
        <v>396.16762288980823</v>
      </c>
      <c r="F27" s="7">
        <f>IF(Parameters!$G$5=1,E27,0)</f>
        <v>0.0</v>
      </c>
      <c r="G27" s="7">
        <f>Parameters!$G$27*G26+F27</f>
        <v>0.0</v>
      </c>
      <c r="H27" s="7">
        <f>IF(AND(Parameters!$G$5=1,Parameters!$G$26=1),SUMPRODUCT(--($A$5:A27&lt;A27),--(MOD(A27-$A$5:A27,Parameters!$G$28)=0),$F$5:F27,POWER(Parameters!$G$27,IF(A27-$A$5:A27=0,1,A27-$A$5:A27))),0)</f>
        <v>0.0</v>
      </c>
      <c r="I27" s="7">
        <f>Parameters!$G$23*I26+B27*Parameters!$G$22</f>
        <v>0.0</v>
      </c>
      <c r="J27" s="7">
        <f>E27*Parameters!$G$14*(1-Parameters!$G$15)</f>
        <v>7527.184834906356</v>
      </c>
      <c r="K27" s="7">
        <f>H27*Parameters!$G$29</f>
        <v>0.0</v>
      </c>
      <c r="L27" s="7">
        <f>I27*Parameters!$G$24</f>
        <v>0.0</v>
      </c>
      <c r="M27" s="7">
        <f>J27+K27+L27</f>
        <v>7527.184834906356</v>
      </c>
      <c r="N27" s="7">
        <f>C27*Parameters!$G$17+D27*Parameters!$G$18+E27*Parameters!$G$16+I27*Parameters!$G$25+G27*Parameters!$G$30</f>
        <v>1491.1455628446201</v>
      </c>
      <c r="O27" s="7">
        <f>B27*Parameters!$G$19</f>
        <v>4000</v>
      </c>
      <c r="P27" s="7">
        <f>M27-N27-O27</f>
        <v>2036.0392720617356</v>
      </c>
      <c r="Q27" s="7">
        <f>Parameters!$G$21</f>
        <v>1000</v>
      </c>
      <c r="R27" s="7">
        <f>P27-Q27</f>
        <v>1036.0392720617356</v>
      </c>
      <c r="S27" s="7">
        <f>IF(A27&lt;1+Parameters!$G$31,0,INDEX($M$5:$M$40,A27-Parameters!$G$31))</f>
        <v>7519.741736272783</v>
      </c>
      <c r="T27" s="7">
        <f>T26+M27-S27</f>
        <v>7527.184834906356</v>
      </c>
      <c r="U27" s="7">
        <f>S27-N27-O27-Q27</f>
        <v>1028.5961734281627</v>
      </c>
      <c r="V27" s="7">
        <f>V26+U27</f>
        <v>-1844.3768228053632</v>
      </c>
      <c r="W27" s="7">
        <f>(1-Parameters!$G$7)*(C27-E27)+(1-Parameters!$G$8)*(D27+E27)</f>
        <v>994.0970418964133</v>
      </c>
      <c r="X27" s="7">
        <f>Parameters!$G$7*(C27-E27)+Parameters!$G$8*Parameters!$G$9*(D27+E27)</f>
        <v>2964.805013084523</v>
      </c>
      <c r="Y27" s="7">
        <f>Parameters!$G$8*(1-Parameters!$G$9)*(D27+E27)</f>
        <v>1011.583154501131</v>
      </c>
      <c r="Z27" s="7">
        <f>POWER(1/(1+Parameters!$G$32),A27-1)*(M27-N27)</f>
        <v>4849.33105397211</v>
      </c>
    </row>
    <row r="28" spans="1:26">
      <c r="A28" s="7">
        <v>24</v>
      </c>
      <c r="B28" s="7">
        <f>Parameters!$G$20</f>
        <v>1000</v>
      </c>
      <c r="C28" s="7">
        <f>X27+B28</f>
        <v>3964.805013084523</v>
      </c>
      <c r="D28" s="7">
        <f>Y27</f>
        <v>1011.583154501131</v>
      </c>
      <c r="E28" s="7">
        <f>Parameters!$G$6*C28</f>
        <v>396.4805013084523</v>
      </c>
      <c r="F28" s="7">
        <f>IF(Parameters!$G$5=1,E28,0)</f>
        <v>0.0</v>
      </c>
      <c r="G28" s="7">
        <f>Parameters!$G$27*G27+F28</f>
        <v>0.0</v>
      </c>
      <c r="H28" s="7">
        <f>IF(AND(Parameters!$G$5=1,Parameters!$G$26=1),SUMPRODUCT(--($A$5:A28&lt;A28),--(MOD(A28-$A$5:A28,Parameters!$G$28)=0),$F$5:F28,POWER(Parameters!$G$27,IF(A28-$A$5:A28=0,1,A28-$A$5:A28))),0)</f>
        <v>0.0</v>
      </c>
      <c r="I28" s="7">
        <f>Parameters!$G$23*I27+B28*Parameters!$G$22</f>
        <v>0.0</v>
      </c>
      <c r="J28" s="7">
        <f>E28*Parameters!$G$14*(1-Parameters!$G$15)</f>
        <v>7533.129524860594</v>
      </c>
      <c r="K28" s="7">
        <f>H28*Parameters!$G$29</f>
        <v>0.0</v>
      </c>
      <c r="L28" s="7">
        <f>I28*Parameters!$G$24</f>
        <v>0.0</v>
      </c>
      <c r="M28" s="7">
        <f>J28+K28+L28</f>
        <v>7533.129524860594</v>
      </c>
      <c r="N28" s="7">
        <f>C28*Parameters!$G$17+D28*Parameters!$G$18+E28*Parameters!$G$16+I28*Parameters!$G$25+G28*Parameters!$G$30</f>
        <v>1492.9164502756962</v>
      </c>
      <c r="O28" s="7">
        <f>B28*Parameters!$G$19</f>
        <v>4000</v>
      </c>
      <c r="P28" s="7">
        <f>M28-N28-O28</f>
        <v>2040.2130745848972</v>
      </c>
      <c r="Q28" s="7">
        <f>Parameters!$G$21</f>
        <v>1000</v>
      </c>
      <c r="R28" s="7">
        <f>P28-Q28</f>
        <v>1040.2130745848972</v>
      </c>
      <c r="S28" s="7">
        <f>IF(A28&lt;1+Parameters!$G$31,0,INDEX($M$5:$M$40,A28-Parameters!$G$31))</f>
        <v>7527.184834906356</v>
      </c>
      <c r="T28" s="7">
        <f>T27+M28-S28</f>
        <v>7533.129524860594</v>
      </c>
      <c r="U28" s="7">
        <f>S28-N28-O28-Q28</f>
        <v>1034.268384630659</v>
      </c>
      <c r="V28" s="7">
        <f>V27+U28</f>
        <v>-810.1084381747041</v>
      </c>
      <c r="W28" s="7">
        <f>(1-Parameters!$G$7)*(C28-E28)+(1-Parameters!$G$8)*(D28+E28)</f>
        <v>995.2776335171307</v>
      </c>
      <c r="X28" s="7">
        <f>Parameters!$G$7*(C28-E28)+Parameters!$G$8*Parameters!$G$9*(D28+E28)</f>
        <v>2967.304701885623</v>
      </c>
      <c r="Y28" s="7">
        <f>Parameters!$G$8*(1-Parameters!$G$9)*(D28+E28)</f>
        <v>1013.8058321829002</v>
      </c>
      <c r="Z28" s="7">
        <f>POWER(1/(1+Parameters!$G$32),A28-1)*(M28-N28)</f>
        <v>4804.6378921646065</v>
      </c>
    </row>
    <row r="29" spans="1:26">
      <c r="A29" s="7">
        <v>25</v>
      </c>
      <c r="B29" s="7">
        <f>Parameters!$G$20</f>
        <v>1000</v>
      </c>
      <c r="C29" s="7">
        <f>X28+B29</f>
        <v>3967.3047018856237</v>
      </c>
      <c r="D29" s="7">
        <f>Y28</f>
        <v>1013.8058321829001</v>
      </c>
      <c r="E29" s="7">
        <f>Parameters!$G$6*C29</f>
        <v>396.7304701885624</v>
      </c>
      <c r="F29" s="7">
        <f>IF(Parameters!$G$5=1,E29,0)</f>
        <v>0.0</v>
      </c>
      <c r="G29" s="7">
        <f>Parameters!$G$27*G28+F29</f>
        <v>0.0</v>
      </c>
      <c r="H29" s="7">
        <f>IF(AND(Parameters!$G$5=1,Parameters!$G$26=1),SUMPRODUCT(--($A$5:A29&lt;A29),--(MOD(A29-$A$5:A29,Parameters!$G$28)=0),$F$5:F29,POWER(Parameters!$G$27,IF(A29-$A$5:A29=0,1,A29-$A$5:A29))),0)</f>
        <v>0.0</v>
      </c>
      <c r="I29" s="7">
        <f>Parameters!$G$23*I28+B29*Parameters!$G$22</f>
        <v>0.0</v>
      </c>
      <c r="J29" s="7">
        <f>E29*Parameters!$G$14*(1-Parameters!$G$15)</f>
        <v>7537.878933582685</v>
      </c>
      <c r="K29" s="7">
        <f>H29*Parameters!$G$29</f>
        <v>0.0</v>
      </c>
      <c r="L29" s="7">
        <f>I29*Parameters!$G$24</f>
        <v>0.0</v>
      </c>
      <c r="M29" s="7">
        <f>J29+K29+L29</f>
        <v>7537.878933582685</v>
      </c>
      <c r="N29" s="7">
        <f>C29*Parameters!$G$17+D29*Parameters!$G$18+E29*Parameters!$G$16+I29*Parameters!$G$25+G29*Parameters!$G$30</f>
        <v>1494.3331602205571</v>
      </c>
      <c r="O29" s="7">
        <f>B29*Parameters!$G$19</f>
        <v>4000</v>
      </c>
      <c r="P29" s="7">
        <f>M29-N29-O29</f>
        <v>2043.5457733621279</v>
      </c>
      <c r="Q29" s="7">
        <f>Parameters!$G$21</f>
        <v>1000</v>
      </c>
      <c r="R29" s="7">
        <f>P29-Q29</f>
        <v>1043.5457733621279</v>
      </c>
      <c r="S29" s="7">
        <f>IF(A29&lt;1+Parameters!$G$31,0,INDEX($M$5:$M$40,A29-Parameters!$G$31))</f>
        <v>7533.129524860594</v>
      </c>
      <c r="T29" s="7">
        <f>T28+M29-S29</f>
        <v>7537.878933582685</v>
      </c>
      <c r="U29" s="7">
        <f>S29-N29-O29-Q29</f>
        <v>1038.7963646400367</v>
      </c>
      <c r="V29" s="7">
        <f>V28+U29</f>
        <v>228.68792646533257</v>
      </c>
      <c r="W29" s="7">
        <f>(1-Parameters!$G$7)*(C29-E29)+(1-Parameters!$G$8)*(D29+E29)</f>
        <v>996.2221068137046</v>
      </c>
      <c r="X29" s="7">
        <f>Parameters!$G$7*(C29-E29)+Parameters!$G$8*Parameters!$G$9*(D29+E29)</f>
        <v>2969.3022895473664</v>
      </c>
      <c r="Y29" s="7">
        <f>Parameters!$G$8*(1-Parameters!$G$9)*(D29+E29)</f>
        <v>1015.5861377074531</v>
      </c>
      <c r="Z29" s="7">
        <f>POWER(1/(1+Parameters!$G$32),A29-1)*(M29-N29)</f>
        <v>4759.69194063481</v>
      </c>
    </row>
    <row r="30" spans="1:26">
      <c r="A30" s="7">
        <v>26</v>
      </c>
      <c r="B30" s="7">
        <f>Parameters!$G$20</f>
        <v>1000</v>
      </c>
      <c r="C30" s="7">
        <f>X29+B30</f>
        <v>3969.3022895473664</v>
      </c>
      <c r="D30" s="7">
        <f>Y29</f>
        <v>1015.5861377074531</v>
      </c>
      <c r="E30" s="7">
        <f>Parameters!$G$6*C30</f>
        <v>396.93022895473666</v>
      </c>
      <c r="F30" s="7">
        <f>IF(Parameters!$G$5=1,E30,0)</f>
        <v>0.0</v>
      </c>
      <c r="G30" s="7">
        <f>Parameters!$G$27*G29+F30</f>
        <v>0.0</v>
      </c>
      <c r="H30" s="7">
        <f>IF(AND(Parameters!$G$5=1,Parameters!$G$26=1),SUMPRODUCT(--($A$5:A30&lt;A30),--(MOD(A30-$A$5:A30,Parameters!$G$28)=0),$F$5:F30,POWER(Parameters!$G$27,IF(A30-$A$5:A30=0,1,A30-$A$5:A30))),0)</f>
        <v>0.0</v>
      </c>
      <c r="I30" s="7">
        <f>Parameters!$G$23*I29+B30*Parameters!$G$22</f>
        <v>0.0</v>
      </c>
      <c r="J30" s="7">
        <f>E30*Parameters!$G$14*(1-Parameters!$G$15)</f>
        <v>7541.674350139997</v>
      </c>
      <c r="K30" s="7">
        <f>H30*Parameters!$G$29</f>
        <v>0.0</v>
      </c>
      <c r="L30" s="7">
        <f>I30*Parameters!$G$24</f>
        <v>0.0</v>
      </c>
      <c r="M30" s="7">
        <f>J30+K30+L30</f>
        <v>7541.674350139997</v>
      </c>
      <c r="N30" s="7">
        <f>C30*Parameters!$G$17+D30*Parameters!$G$18+E30*Parameters!$G$16+I30*Parameters!$G$25+G30*Parameters!$G$30</f>
        <v>1495.466528176446</v>
      </c>
      <c r="O30" s="7">
        <f>B30*Parameters!$G$19</f>
        <v>4000</v>
      </c>
      <c r="P30" s="7">
        <f>M30-N30-O30</f>
        <v>2046.2078219635514</v>
      </c>
      <c r="Q30" s="7">
        <f>Parameters!$G$21</f>
        <v>1000</v>
      </c>
      <c r="R30" s="7">
        <f>P30-Q30</f>
        <v>1046.2078219635514</v>
      </c>
      <c r="S30" s="7">
        <f>IF(A30&lt;1+Parameters!$G$31,0,INDEX($M$5:$M$40,A30-Parameters!$G$31))</f>
        <v>7537.878933582685</v>
      </c>
      <c r="T30" s="7">
        <f>T29+M30-S30</f>
        <v>7541.674350139997</v>
      </c>
      <c r="U30" s="7">
        <f>S30-N30-O30-Q30</f>
        <v>1042.4124054062395</v>
      </c>
      <c r="V30" s="7">
        <f>V29+U30</f>
        <v>1271.100331871572</v>
      </c>
      <c r="W30" s="7">
        <f>(1-Parameters!$G$7)*(C30-E30)+(1-Parameters!$G$8)*(D30+E30)</f>
        <v>996.9776854509638</v>
      </c>
      <c r="X30" s="7">
        <f>Parameters!$G$7*(C30-E30)+Parameters!$G$8*Parameters!$G$9*(D30+E30)</f>
        <v>2970.898957807079</v>
      </c>
      <c r="Y30" s="7">
        <f>Parameters!$G$8*(1-Parameters!$G$9)*(D30+E30)</f>
        <v>1017.0117839967768</v>
      </c>
      <c r="Z30" s="7">
        <f>POWER(1/(1+Parameters!$G$32),A30-1)*(M30-N30)</f>
        <v>4714.642059349353</v>
      </c>
    </row>
    <row r="31" spans="1:26">
      <c r="A31" s="7">
        <v>27</v>
      </c>
      <c r="B31" s="7">
        <f>Parameters!$G$20</f>
        <v>1000</v>
      </c>
      <c r="C31" s="7">
        <f>X30+B31</f>
        <v>3970.898957807079</v>
      </c>
      <c r="D31" s="7">
        <f>Y30</f>
        <v>1017.0117839967767</v>
      </c>
      <c r="E31" s="7">
        <f>Parameters!$G$6*C31</f>
        <v>397.08989578070793</v>
      </c>
      <c r="F31" s="7">
        <f>IF(Parameters!$G$5=1,E31,0)</f>
        <v>0.0</v>
      </c>
      <c r="G31" s="7">
        <f>Parameters!$G$27*G30+F31</f>
        <v>0.0</v>
      </c>
      <c r="H31" s="7">
        <f>IF(AND(Parameters!$G$5=1,Parameters!$G$26=1),SUMPRODUCT(--($A$5:A31&lt;A31),--(MOD(A31-$A$5:A31,Parameters!$G$28)=0),$F$5:F31,POWER(Parameters!$G$27,IF(A31-$A$5:A31=0,1,A31-$A$5:A31))),0)</f>
        <v>0.0</v>
      </c>
      <c r="I31" s="7">
        <f>Parameters!$G$23*I30+B31*Parameters!$G$22</f>
        <v>0.0</v>
      </c>
      <c r="J31" s="7">
        <f>E31*Parameters!$G$14*(1-Parameters!$G$15)</f>
        <v>7544.708019833451</v>
      </c>
      <c r="K31" s="7">
        <f>H31*Parameters!$G$29</f>
        <v>0.0</v>
      </c>
      <c r="L31" s="7">
        <f>I31*Parameters!$G$24</f>
        <v>0.0</v>
      </c>
      <c r="M31" s="7">
        <f>J31+K31+L31</f>
        <v>7544.708019833451</v>
      </c>
      <c r="N31" s="7">
        <f>C31*Parameters!$G$17+D31*Parameters!$G$18+E31*Parameters!$G$16+I31*Parameters!$G$25+G31*Parameters!$G$30</f>
        <v>1496.3732225411568</v>
      </c>
      <c r="O31" s="7">
        <f>B31*Parameters!$G$19</f>
        <v>4000</v>
      </c>
      <c r="P31" s="7">
        <f>M31-N31-O31</f>
        <v>2048.334797292294</v>
      </c>
      <c r="Q31" s="7">
        <f>Parameters!$G$21</f>
        <v>1000</v>
      </c>
      <c r="R31" s="7">
        <f>P31-Q31</f>
        <v>1048.3347972922938</v>
      </c>
      <c r="S31" s="7">
        <f>IF(A31&lt;1+Parameters!$G$31,0,INDEX($M$5:$M$40,A31-Parameters!$G$31))</f>
        <v>7541.674350139997</v>
      </c>
      <c r="T31" s="7">
        <f>T30+M31-S31</f>
        <v>7544.708019833451</v>
      </c>
      <c r="U31" s="7">
        <f>S31-N31-O31-Q31</f>
        <v>1045.3011275988401</v>
      </c>
      <c r="V31" s="7">
        <f>V30+U31</f>
        <v>2316.401459470412</v>
      </c>
      <c r="W31" s="7">
        <f>(1-Parameters!$G$7)*(C31-E31)+(1-Parameters!$G$8)*(D31+E31)</f>
        <v>997.582148360771</v>
      </c>
      <c r="X31" s="7">
        <f>Parameters!$G$7*(C31-E31)+Parameters!$G$8*Parameters!$G$9*(D31+E31)</f>
        <v>2972.1753840032957</v>
      </c>
      <c r="Y31" s="7">
        <f>Parameters!$G$8*(1-Parameters!$G$9)*(D31+E31)</f>
        <v>1018.1532094397891</v>
      </c>
      <c r="Z31" s="7">
        <f>POWER(1/(1+Parameters!$G$32),A31-1)*(M31-N31)</f>
        <v>4669.604561970033</v>
      </c>
    </row>
    <row r="32" spans="1:26">
      <c r="A32" s="7">
        <v>28</v>
      </c>
      <c r="B32" s="7">
        <f>Parameters!$G$20</f>
        <v>1000</v>
      </c>
      <c r="C32" s="7">
        <f>X31+B32</f>
        <v>3972.175384003296</v>
      </c>
      <c r="D32" s="7">
        <f>Y31</f>
        <v>1018.1532094397891</v>
      </c>
      <c r="E32" s="7">
        <f>Parameters!$G$6*C32</f>
        <v>397.21753840032966</v>
      </c>
      <c r="F32" s="7">
        <f>IF(Parameters!$G$5=1,E32,0)</f>
        <v>0.0</v>
      </c>
      <c r="G32" s="7">
        <f>Parameters!$G$27*G31+F32</f>
        <v>0.0</v>
      </c>
      <c r="H32" s="7">
        <f>IF(AND(Parameters!$G$5=1,Parameters!$G$26=1),SUMPRODUCT(--($A$5:A32&lt;A32),--(MOD(A32-$A$5:A32,Parameters!$G$28)=0),$F$5:F32,POWER(Parameters!$G$27,IF(A32-$A$5:A32=0,1,A32-$A$5:A32))),0)</f>
        <v>0.0</v>
      </c>
      <c r="I32" s="7">
        <f>Parameters!$G$23*I31+B32*Parameters!$G$22</f>
        <v>0.0</v>
      </c>
      <c r="J32" s="7">
        <f>E32*Parameters!$G$14*(1-Parameters!$G$15)</f>
        <v>7547.133229606263</v>
      </c>
      <c r="K32" s="7">
        <f>H32*Parameters!$G$29</f>
        <v>0.0</v>
      </c>
      <c r="L32" s="7">
        <f>I32*Parameters!$G$24</f>
        <v>0.0</v>
      </c>
      <c r="M32" s="7">
        <f>J32+K32+L32</f>
        <v>7547.133229606263</v>
      </c>
      <c r="N32" s="7">
        <f>C32*Parameters!$G$17+D32*Parameters!$G$18+E32*Parameters!$G$16+I32*Parameters!$G$25+G32*Parameters!$G$30</f>
        <v>1497.0985780329256</v>
      </c>
      <c r="O32" s="7">
        <f>B32*Parameters!$G$19</f>
        <v>4000</v>
      </c>
      <c r="P32" s="7">
        <f>M32-N32-O32</f>
        <v>2050.034651573337</v>
      </c>
      <c r="Q32" s="7">
        <f>Parameters!$G$21</f>
        <v>1000</v>
      </c>
      <c r="R32" s="7">
        <f>P32-Q32</f>
        <v>1050.0346515733372</v>
      </c>
      <c r="S32" s="7">
        <f>IF(A32&lt;1+Parameters!$G$31,0,INDEX($M$5:$M$40,A32-Parameters!$G$31))</f>
        <v>7544.708019833451</v>
      </c>
      <c r="T32" s="7">
        <f>T31+M32-S32</f>
        <v>7547.133229606263</v>
      </c>
      <c r="U32" s="7">
        <f>S32-N32-O32-Q32</f>
        <v>1047.609441800525</v>
      </c>
      <c r="V32" s="7">
        <f>V31+U32</f>
        <v>3364.010901270937</v>
      </c>
      <c r="W32" s="7">
        <f>(1-Parameters!$G$7)*(C32-E32)+(1-Parameters!$G$8)*(D32+E32)</f>
        <v>998.0657186886169</v>
      </c>
      <c r="X32" s="7">
        <f>Parameters!$G$7*(C32-E32)+Parameters!$G$8*Parameters!$G$9*(D32+E32)</f>
        <v>2973.195936309583</v>
      </c>
      <c r="Y32" s="7">
        <f>Parameters!$G$8*(1-Parameters!$G$9)*(D32+E32)</f>
        <v>1019.0669384448856</v>
      </c>
      <c r="Z32" s="7">
        <f>POWER(1/(1+Parameters!$G$32),A32-1)*(M32-N32)</f>
        <v>4624.670228718535</v>
      </c>
    </row>
    <row r="33" spans="1:26">
      <c r="A33" s="7">
        <v>29</v>
      </c>
      <c r="B33" s="7">
        <f>Parameters!$G$20</f>
        <v>1000</v>
      </c>
      <c r="C33" s="7">
        <f>X32+B33</f>
        <v>3973.195936309583</v>
      </c>
      <c r="D33" s="7">
        <f>Y32</f>
        <v>1019.0669384448855</v>
      </c>
      <c r="E33" s="7">
        <f>Parameters!$G$6*C33</f>
        <v>397.3195936309583</v>
      </c>
      <c r="F33" s="7">
        <f>IF(Parameters!$G$5=1,E33,0)</f>
        <v>0.0</v>
      </c>
      <c r="G33" s="7">
        <f>Parameters!$G$27*G32+F33</f>
        <v>0.0</v>
      </c>
      <c r="H33" s="7">
        <f>IF(AND(Parameters!$G$5=1,Parameters!$G$26=1),SUMPRODUCT(--($A$5:A33&lt;A33),--(MOD(A33-$A$5:A33,Parameters!$G$28)=0),$F$5:F33,POWER(Parameters!$G$27,IF(A33-$A$5:A33=0,1,A33-$A$5:A33))),0)</f>
        <v>0.0</v>
      </c>
      <c r="I33" s="7">
        <f>Parameters!$G$23*I32+B33*Parameters!$G$22</f>
        <v>0.0</v>
      </c>
      <c r="J33" s="7">
        <f>E33*Parameters!$G$14*(1-Parameters!$G$15)</f>
        <v>7549.0722789882075</v>
      </c>
      <c r="K33" s="7">
        <f>H33*Parameters!$G$29</f>
        <v>0.0</v>
      </c>
      <c r="L33" s="7">
        <f>I33*Parameters!$G$24</f>
        <v>0.0</v>
      </c>
      <c r="M33" s="7">
        <f>J33+K33+L33</f>
        <v>7549.0722789882075</v>
      </c>
      <c r="N33" s="7">
        <f>C33*Parameters!$G$17+D33*Parameters!$G$18+E33*Parameters!$G$16+I33*Parameters!$G$25+G33*Parameters!$G$30</f>
        <v>1497.6788624263406</v>
      </c>
      <c r="O33" s="7">
        <f>B33*Parameters!$G$19</f>
        <v>4000</v>
      </c>
      <c r="P33" s="7">
        <f>M33-N33-O33</f>
        <v>2051.3934165618666</v>
      </c>
      <c r="Q33" s="7">
        <f>Parameters!$G$21</f>
        <v>1000</v>
      </c>
      <c r="R33" s="7">
        <f>P33-Q33</f>
        <v>1051.3934165618666</v>
      </c>
      <c r="S33" s="7">
        <f>IF(A33&lt;1+Parameters!$G$31,0,INDEX($M$5:$M$40,A33-Parameters!$G$31))</f>
        <v>7547.133229606263</v>
      </c>
      <c r="T33" s="7">
        <f>T32+M33-S33</f>
        <v>7549.0722789882075</v>
      </c>
      <c r="U33" s="7">
        <f>S33-N33-O33-Q33</f>
        <v>1049.454367179922</v>
      </c>
      <c r="V33" s="7">
        <f>V32+U33</f>
        <v>4413.465268450859</v>
      </c>
      <c r="W33" s="7">
        <f>(1-Parameters!$G$7)*(C33-E33)+(1-Parameters!$G$8)*(D33+E33)</f>
        <v>998.4525749508936</v>
      </c>
      <c r="X33" s="7">
        <f>Parameters!$G$7*(C33-E33)+Parameters!$G$8*Parameters!$G$9*(D33+E33)</f>
        <v>2974.011996708967</v>
      </c>
      <c r="Y33" s="7">
        <f>Parameters!$G$8*(1-Parameters!$G$9)*(D33+E33)</f>
        <v>1019.7983030946077</v>
      </c>
      <c r="Z33" s="7">
        <f>POWER(1/(1+Parameters!$G$32),A33-1)*(M33-N33)</f>
        <v>4579.90977624527</v>
      </c>
    </row>
    <row r="34" spans="1:26">
      <c r="A34" s="7">
        <v>30</v>
      </c>
      <c r="B34" s="7">
        <f>Parameters!$G$20</f>
        <v>1000</v>
      </c>
      <c r="C34" s="7">
        <f>X33+B34</f>
        <v>3974.0119967089677</v>
      </c>
      <c r="D34" s="7">
        <f>Y33</f>
        <v>1019.7983030946077</v>
      </c>
      <c r="E34" s="7">
        <f>Parameters!$G$6*C34</f>
        <v>397.4011996708968</v>
      </c>
      <c r="F34" s="7">
        <f>IF(Parameters!$G$5=1,E34,0)</f>
        <v>0.0</v>
      </c>
      <c r="G34" s="7">
        <f>Parameters!$G$27*G33+F34</f>
        <v>0.0</v>
      </c>
      <c r="H34" s="7">
        <f>IF(AND(Parameters!$G$5=1,Parameters!$G$26=1),SUMPRODUCT(--($A$5:A34&lt;A34),--(MOD(A34-$A$5:A34,Parameters!$G$28)=0),$F$5:F34,POWER(Parameters!$G$27,IF(A34-$A$5:A34=0,1,A34-$A$5:A34))),0)</f>
        <v>0.0</v>
      </c>
      <c r="I34" s="7">
        <f>Parameters!$G$23*I33+B34*Parameters!$G$22</f>
        <v>0.0</v>
      </c>
      <c r="J34" s="7">
        <f>E34*Parameters!$G$14*(1-Parameters!$G$15)</f>
        <v>7550.622793747039</v>
      </c>
      <c r="K34" s="7">
        <f>H34*Parameters!$G$29</f>
        <v>0.0</v>
      </c>
      <c r="L34" s="7">
        <f>I34*Parameters!$G$24</f>
        <v>0.0</v>
      </c>
      <c r="M34" s="7">
        <f>J34+K34+L34</f>
        <v>7550.622793747039</v>
      </c>
      <c r="N34" s="7">
        <f>C34*Parameters!$G$17+D34*Parameters!$G$18+E34*Parameters!$G$16+I34*Parameters!$G$25+G34*Parameters!$G$30</f>
        <v>1498.1430899410727</v>
      </c>
      <c r="O34" s="7">
        <f>B34*Parameters!$G$19</f>
        <v>4000</v>
      </c>
      <c r="P34" s="7">
        <f>M34-N34-O34</f>
        <v>2052.479703805967</v>
      </c>
      <c r="Q34" s="7">
        <f>Parameters!$G$21</f>
        <v>1000</v>
      </c>
      <c r="R34" s="7">
        <f>P34-Q34</f>
        <v>1052.479703805967</v>
      </c>
      <c r="S34" s="7">
        <f>IF(A34&lt;1+Parameters!$G$31,0,INDEX($M$5:$M$40,A34-Parameters!$G$31))</f>
        <v>7549.0722789882075</v>
      </c>
      <c r="T34" s="7">
        <f>T33+M34-S34</f>
        <v>7550.622793747039</v>
      </c>
      <c r="U34" s="7">
        <f>S34-N34-O34-Q34</f>
        <v>1050.929189047135</v>
      </c>
      <c r="V34" s="7">
        <f>V33+U34</f>
        <v>5464.394457497994</v>
      </c>
      <c r="W34" s="7">
        <f>(1-Parameters!$G$7)*(C34-E34)+(1-Parameters!$G$8)*(D34+E34)</f>
        <v>998.762059960715</v>
      </c>
      <c r="X34" s="7">
        <f>Parameters!$G$7*(C34-E34)+Parameters!$G$8*Parameters!$G$9*(D34+E34)</f>
        <v>2974.664597851697</v>
      </c>
      <c r="Y34" s="7">
        <f>Parameters!$G$8*(1-Parameters!$G$9)*(D34+E34)</f>
        <v>1020.3836419911634</v>
      </c>
      <c r="Z34" s="7">
        <f>POWER(1/(1+Parameters!$G$32),A34-1)*(M34-N34)</f>
        <v>4535.378135712022</v>
      </c>
    </row>
    <row r="35" spans="1:26">
      <c r="A35" s="7">
        <v>31</v>
      </c>
      <c r="B35" s="7">
        <f>Parameters!$G$20</f>
        <v>1000</v>
      </c>
      <c r="C35" s="7">
        <f>X34+B35</f>
        <v>3974.6645978516976</v>
      </c>
      <c r="D35" s="7">
        <f>Y34</f>
        <v>1020.3836419911634</v>
      </c>
      <c r="E35" s="7">
        <f>Parameters!$G$6*C35</f>
        <v>397.4664597851698</v>
      </c>
      <c r="F35" s="7">
        <f>IF(Parameters!$G$5=1,E35,0)</f>
        <v>0.0</v>
      </c>
      <c r="G35" s="7">
        <f>Parameters!$G$27*G34+F35</f>
        <v>0.0</v>
      </c>
      <c r="H35" s="7">
        <f>IF(AND(Parameters!$G$5=1,Parameters!$G$26=1),SUMPRODUCT(--($A$5:A35&lt;A35),--(MOD(A35-$A$5:A35,Parameters!$G$28)=0),$F$5:F35,POWER(Parameters!$G$27,IF(A35-$A$5:A35=0,1,A35-$A$5:A35))),0)</f>
        <v>0.0</v>
      </c>
      <c r="I35" s="7">
        <f>Parameters!$G$23*I34+B35*Parameters!$G$22</f>
        <v>0.0</v>
      </c>
      <c r="J35" s="7">
        <f>E35*Parameters!$G$14*(1-Parameters!$G$15)</f>
        <v>7551.862735918226</v>
      </c>
      <c r="K35" s="7">
        <f>H35*Parameters!$G$29</f>
        <v>0.0</v>
      </c>
      <c r="L35" s="7">
        <f>I35*Parameters!$G$24</f>
        <v>0.0</v>
      </c>
      <c r="M35" s="7">
        <f>J35+K35+L35</f>
        <v>7551.862735918226</v>
      </c>
      <c r="N35" s="7">
        <f>C35*Parameters!$G$17+D35*Parameters!$G$18+E35*Parameters!$G$16+I35*Parameters!$G$25+G35*Parameters!$G$30</f>
        <v>1498.5144719528582</v>
      </c>
      <c r="O35" s="7">
        <f>B35*Parameters!$G$19</f>
        <v>4000</v>
      </c>
      <c r="P35" s="7">
        <f>M35-N35-O35</f>
        <v>2053.3482639653676</v>
      </c>
      <c r="Q35" s="7">
        <f>Parameters!$G$21</f>
        <v>1000</v>
      </c>
      <c r="R35" s="7">
        <f>P35-Q35</f>
        <v>1053.3482639653676</v>
      </c>
      <c r="S35" s="7">
        <f>IF(A35&lt;1+Parameters!$G$31,0,INDEX($M$5:$M$40,A35-Parameters!$G$31))</f>
        <v>7550.622793747039</v>
      </c>
      <c r="T35" s="7">
        <f>T34+M35-S35</f>
        <v>7551.862735918226</v>
      </c>
      <c r="U35" s="7">
        <f>S35-N35-O35-Q35</f>
        <v>1052.1083217941814</v>
      </c>
      <c r="V35" s="7">
        <f>V34+U35</f>
        <v>6516.502779292176</v>
      </c>
      <c r="W35" s="7">
        <f>(1-Parameters!$G$7)*(C35-E35)+(1-Parameters!$G$8)*(D35+E35)</f>
        <v>999.009647968572</v>
      </c>
      <c r="X35" s="7">
        <f>Parameters!$G$7*(C35-E35)+Parameters!$G$8*Parameters!$G$9*(D35+E35)</f>
        <v>2975.1865185953293</v>
      </c>
      <c r="Y35" s="7">
        <f>Parameters!$G$8*(1-Parameters!$G$9)*(D35+E35)</f>
        <v>1020.8520732789599</v>
      </c>
      <c r="Z35" s="7">
        <f>POWER(1/(1+Parameters!$G$32),A35-1)*(M35-N35)</f>
        <v>4491.117806382807</v>
      </c>
    </row>
    <row r="36" spans="1:26">
      <c r="A36" s="7">
        <v>32</v>
      </c>
      <c r="B36" s="7">
        <f>Parameters!$G$20</f>
        <v>1000</v>
      </c>
      <c r="C36" s="7">
        <f>X35+B36</f>
        <v>3975.1865185953293</v>
      </c>
      <c r="D36" s="7">
        <f>Y35</f>
        <v>1020.8520732789599</v>
      </c>
      <c r="E36" s="7">
        <f>Parameters!$G$6*C36</f>
        <v>397.51865185953295</v>
      </c>
      <c r="F36" s="7">
        <f>IF(Parameters!$G$5=1,E36,0)</f>
        <v>0.0</v>
      </c>
      <c r="G36" s="7">
        <f>Parameters!$G$27*G35+F36</f>
        <v>0.0</v>
      </c>
      <c r="H36" s="7">
        <f>IF(AND(Parameters!$G$5=1,Parameters!$G$26=1),SUMPRODUCT(--($A$5:A36&lt;A36),--(MOD(A36-$A$5:A36,Parameters!$G$28)=0),$F$5:F36,POWER(Parameters!$G$27,IF(A36-$A$5:A36=0,1,A36-$A$5:A36))),0)</f>
        <v>0.0</v>
      </c>
      <c r="I36" s="7">
        <f>Parameters!$G$23*I35+B36*Parameters!$G$22</f>
        <v>0.0</v>
      </c>
      <c r="J36" s="7">
        <f>E36*Parameters!$G$14*(1-Parameters!$G$15)</f>
        <v>7552.854385331126</v>
      </c>
      <c r="K36" s="7">
        <f>H36*Parameters!$G$29</f>
        <v>0.0</v>
      </c>
      <c r="L36" s="7">
        <f>I36*Parameters!$G$24</f>
        <v>0.0</v>
      </c>
      <c r="M36" s="7">
        <f>J36+K36+L36</f>
        <v>7552.854385331126</v>
      </c>
      <c r="N36" s="7">
        <f>C36*Parameters!$G$17+D36*Parameters!$G$18+E36*Parameters!$G$16+I36*Parameters!$G$25+G36*Parameters!$G$30</f>
        <v>1498.8115775622869</v>
      </c>
      <c r="O36" s="7">
        <f>B36*Parameters!$G$19</f>
        <v>4000</v>
      </c>
      <c r="P36" s="7">
        <f>M36-N36-O36</f>
        <v>2054.0428077688393</v>
      </c>
      <c r="Q36" s="7">
        <f>Parameters!$G$21</f>
        <v>1000</v>
      </c>
      <c r="R36" s="7">
        <f>P36-Q36</f>
        <v>1054.0428077688393</v>
      </c>
      <c r="S36" s="7">
        <f>IF(A36&lt;1+Parameters!$G$31,0,INDEX($M$5:$M$40,A36-Parameters!$G$31))</f>
        <v>7551.862735918226</v>
      </c>
      <c r="T36" s="7">
        <f>T35+M36-S36</f>
        <v>7552.854385331126</v>
      </c>
      <c r="U36" s="7">
        <f>S36-N36-O36-Q36</f>
        <v>1053.0511583559382</v>
      </c>
      <c r="V36" s="7">
        <f>V35+U36</f>
        <v>7569.553937648114</v>
      </c>
      <c r="W36" s="7">
        <f>(1-Parameters!$G$7)*(C36-E36)+(1-Parameters!$G$8)*(D36+E36)</f>
        <v>999.2077183748577</v>
      </c>
      <c r="X36" s="7">
        <f>Parameters!$G$7*(C36-E36)+Parameters!$G$8*Parameters!$G$9*(D36+E36)</f>
        <v>2975.6039513997166</v>
      </c>
      <c r="Y36" s="7">
        <f>Parameters!$G$8*(1-Parameters!$G$9)*(D36+E36)</f>
        <v>1021.226922099715</v>
      </c>
      <c r="Z36" s="7">
        <f>POWER(1/(1+Parameters!$G$32),A36-1)*(M36-N36)</f>
        <v>4447.161489453476</v>
      </c>
    </row>
    <row r="37" spans="1:26">
      <c r="A37" s="7">
        <v>33</v>
      </c>
      <c r="B37" s="7">
        <f>Parameters!$G$20</f>
        <v>1000</v>
      </c>
      <c r="C37" s="7">
        <f>X36+B37</f>
        <v>3975.6039513997166</v>
      </c>
      <c r="D37" s="7">
        <f>Y36</f>
        <v>1021.226922099715</v>
      </c>
      <c r="E37" s="7">
        <f>Parameters!$G$6*C37</f>
        <v>397.5603951399717</v>
      </c>
      <c r="F37" s="7">
        <f>IF(Parameters!$G$5=1,E37,0)</f>
        <v>0.0</v>
      </c>
      <c r="G37" s="7">
        <f>Parameters!$G$27*G36+F37</f>
        <v>0.0</v>
      </c>
      <c r="H37" s="7">
        <f>IF(AND(Parameters!$G$5=1,Parameters!$G$26=1),SUMPRODUCT(--($A$5:A37&lt;A37),--(MOD(A37-$A$5:A37,Parameters!$G$28)=0),$F$5:F37,POWER(Parameters!$G$27,IF(A37-$A$5:A37=0,1,A37-$A$5:A37))),0)</f>
        <v>0.0</v>
      </c>
      <c r="I37" s="7">
        <f>Parameters!$G$23*I36+B37*Parameters!$G$22</f>
        <v>0.0</v>
      </c>
      <c r="J37" s="7">
        <f>E37*Parameters!$G$14*(1-Parameters!$G$15)</f>
        <v>7553.6475076594625</v>
      </c>
      <c r="K37" s="7">
        <f>H37*Parameters!$G$29</f>
        <v>0.0</v>
      </c>
      <c r="L37" s="7">
        <f>I37*Parameters!$G$24</f>
        <v>0.0</v>
      </c>
      <c r="M37" s="7">
        <f>J37+K37+L37</f>
        <v>7553.6475076594625</v>
      </c>
      <c r="N37" s="7">
        <f>C37*Parameters!$G$17+D37*Parameters!$G$18+E37*Parameters!$G$16+I37*Parameters!$G$25+G37*Parameters!$G$30</f>
        <v>1499.0492620498294</v>
      </c>
      <c r="O37" s="7">
        <f>B37*Parameters!$G$19</f>
        <v>4000</v>
      </c>
      <c r="P37" s="7">
        <f>M37-N37-O37</f>
        <v>2054.5982456096335</v>
      </c>
      <c r="Q37" s="7">
        <f>Parameters!$G$21</f>
        <v>1000</v>
      </c>
      <c r="R37" s="7">
        <f>P37-Q37</f>
        <v>1054.5982456096335</v>
      </c>
      <c r="S37" s="7">
        <f>IF(A37&lt;1+Parameters!$G$31,0,INDEX($M$5:$M$40,A37-Parameters!$G$31))</f>
        <v>7552.854385331126</v>
      </c>
      <c r="T37" s="7">
        <f>T36+M37-S37</f>
        <v>7553.6475076594625</v>
      </c>
      <c r="U37" s="7">
        <f>S37-N37-O37-Q37</f>
        <v>1053.805123281296</v>
      </c>
      <c r="V37" s="7">
        <f>V36+U37</f>
        <v>8623.35906092941</v>
      </c>
      <c r="W37" s="7">
        <f>(1-Parameters!$G$7)*(C37-E37)+(1-Parameters!$G$8)*(D37+E37)</f>
        <v>999.3661746998862</v>
      </c>
      <c r="X37" s="7">
        <f>Parameters!$G$7*(C37-E37)+Parameters!$G$8*Parameters!$G$9*(D37+E37)</f>
        <v>2975.9378303869707</v>
      </c>
      <c r="Y37" s="7">
        <f>Parameters!$G$8*(1-Parameters!$G$9)*(D37+E37)</f>
        <v>1021.5268684125746</v>
      </c>
      <c r="Z37" s="7">
        <f>POWER(1/(1+Parameters!$G$32),A37-1)*(M37-N37)</f>
        <v>4403.534159799531</v>
      </c>
    </row>
    <row r="38" spans="1:26">
      <c r="A38" s="7">
        <v>34</v>
      </c>
      <c r="B38" s="7">
        <f>Parameters!$G$20</f>
        <v>1000</v>
      </c>
      <c r="C38" s="7">
        <f>X37+B38</f>
        <v>3975.937830386971</v>
      </c>
      <c r="D38" s="7">
        <f>Y37</f>
        <v>1021.5268684125745</v>
      </c>
      <c r="E38" s="7">
        <f>Parameters!$G$6*C38</f>
        <v>397.59378303869715</v>
      </c>
      <c r="F38" s="7">
        <f>IF(Parameters!$G$5=1,E38,0)</f>
        <v>0.0</v>
      </c>
      <c r="G38" s="7">
        <f>Parameters!$G$27*G37+F38</f>
        <v>0.0</v>
      </c>
      <c r="H38" s="7">
        <f>IF(AND(Parameters!$G$5=1,Parameters!$G$26=1),SUMPRODUCT(--($A$5:A38&lt;A38),--(MOD(A38-$A$5:A38,Parameters!$G$28)=0),$F$5:F38,POWER(Parameters!$G$27,IF(A38-$A$5:A38=0,1,A38-$A$5:A38))),0)</f>
        <v>0.0</v>
      </c>
      <c r="I38" s="7">
        <f>Parameters!$G$23*I37+B38*Parameters!$G$22</f>
        <v>0.0</v>
      </c>
      <c r="J38" s="7">
        <f>E38*Parameters!$G$14*(1-Parameters!$G$15)</f>
        <v>7554.281877735246</v>
      </c>
      <c r="K38" s="7">
        <f>H38*Parameters!$G$29</f>
        <v>0.0</v>
      </c>
      <c r="L38" s="7">
        <f>I38*Parameters!$G$24</f>
        <v>0.0</v>
      </c>
      <c r="M38" s="7">
        <f>J38+K38+L38</f>
        <v>7554.281877735246</v>
      </c>
      <c r="N38" s="7">
        <f>C38*Parameters!$G$17+D38*Parameters!$G$18+E38*Parameters!$G$16+I38*Parameters!$G$25+G38*Parameters!$G$30</f>
        <v>1499.2394096398639</v>
      </c>
      <c r="O38" s="7">
        <f>B38*Parameters!$G$19</f>
        <v>4000</v>
      </c>
      <c r="P38" s="7">
        <f>M38-N38-O38</f>
        <v>2055.042468095382</v>
      </c>
      <c r="Q38" s="7">
        <f>Parameters!$G$21</f>
        <v>1000</v>
      </c>
      <c r="R38" s="7">
        <f>P38-Q38</f>
        <v>1055.042468095382</v>
      </c>
      <c r="S38" s="7">
        <f>IF(A38&lt;1+Parameters!$G$31,0,INDEX($M$5:$M$40,A38-Parameters!$G$31))</f>
        <v>7553.6475076594625</v>
      </c>
      <c r="T38" s="7">
        <f>T37+M38-S38</f>
        <v>7554.281877735246</v>
      </c>
      <c r="U38" s="7">
        <f>S38-N38-O38-Q38</f>
        <v>1054.4080980195986</v>
      </c>
      <c r="V38" s="7">
        <f>V37+U38</f>
        <v>9677.76715894901</v>
      </c>
      <c r="W38" s="7">
        <f>(1-Parameters!$G$7)*(C38-E38)+(1-Parameters!$G$8)*(D38+E38)</f>
        <v>999.4929397599091</v>
      </c>
      <c r="X38" s="7">
        <f>Parameters!$G$7*(C38-E38)+Parameters!$G$8*Parameters!$G$9*(D38+E38)</f>
        <v>2976.2048899947213</v>
      </c>
      <c r="Y38" s="7">
        <f>Parameters!$G$8*(1-Parameters!$G$9)*(D38+E38)</f>
        <v>1021.7668690449157</v>
      </c>
      <c r="Z38" s="7">
        <f>POWER(1/(1+Parameters!$G$32),A38-1)*(M38-N38)</f>
        <v>4360.254697660465</v>
      </c>
    </row>
    <row r="39" spans="1:26">
      <c r="A39" s="7">
        <v>35</v>
      </c>
      <c r="B39" s="7">
        <f>Parameters!$G$20</f>
        <v>1000</v>
      </c>
      <c r="C39" s="7">
        <f>X38+B39</f>
        <v>3976.2048899947217</v>
      </c>
      <c r="D39" s="7">
        <f>Y38</f>
        <v>1021.7668690449157</v>
      </c>
      <c r="E39" s="7">
        <f>Parameters!$G$6*C39</f>
        <v>397.6204889994722</v>
      </c>
      <c r="F39" s="7">
        <f>IF(Parameters!$G$5=1,E39,0)</f>
        <v>0.0</v>
      </c>
      <c r="G39" s="7">
        <f>Parameters!$G$27*G38+F39</f>
        <v>0.0</v>
      </c>
      <c r="H39" s="7">
        <f>IF(AND(Parameters!$G$5=1,Parameters!$G$26=1),SUMPRODUCT(--($A$5:A39&lt;A39),--(MOD(A39-$A$5:A39,Parameters!$G$28)=0),$F$5:F39,POWER(Parameters!$G$27,IF(A39-$A$5:A39=0,1,A39-$A$5:A39))),0)</f>
        <v>0.0</v>
      </c>
      <c r="I39" s="7">
        <f>Parameters!$G$23*I38+B39*Parameters!$G$22</f>
        <v>0.0</v>
      </c>
      <c r="J39" s="7">
        <f>E39*Parameters!$G$14*(1-Parameters!$G$15)</f>
        <v>7554.789290989971</v>
      </c>
      <c r="K39" s="7">
        <f>H39*Parameters!$G$29</f>
        <v>0.0</v>
      </c>
      <c r="L39" s="7">
        <f>I39*Parameters!$G$24</f>
        <v>0.0</v>
      </c>
      <c r="M39" s="7">
        <f>J39+K39+L39</f>
        <v>7554.789290989971</v>
      </c>
      <c r="N39" s="7">
        <f>C39*Parameters!$G$17+D39*Parameters!$G$18+E39*Parameters!$G$16+I39*Parameters!$G$25+G39*Parameters!$G$30</f>
        <v>1499.3915277118913</v>
      </c>
      <c r="O39" s="7">
        <f>B39*Parameters!$G$19</f>
        <v>4000</v>
      </c>
      <c r="P39" s="7">
        <f>M39-N39-O39</f>
        <v>2055.3977632780798</v>
      </c>
      <c r="Q39" s="7">
        <f>Parameters!$G$21</f>
        <v>1000</v>
      </c>
      <c r="R39" s="7">
        <f>P39-Q39</f>
        <v>1055.3977632780798</v>
      </c>
      <c r="S39" s="7">
        <f>IF(A39&lt;1+Parameters!$G$31,0,INDEX($M$5:$M$40,A39-Parameters!$G$31))</f>
        <v>7554.281877735246</v>
      </c>
      <c r="T39" s="7">
        <f>T38+M39-S39</f>
        <v>7554.789290989971</v>
      </c>
      <c r="U39" s="7">
        <f>S39-N39-O39-Q39</f>
        <v>1054.8903500233546</v>
      </c>
      <c r="V39" s="7">
        <f>V38+U39</f>
        <v>10732.657508972363</v>
      </c>
      <c r="W39" s="7">
        <f>(1-Parameters!$G$7)*(C39-E39)+(1-Parameters!$G$8)*(D39+E39)</f>
        <v>999.5943518079273</v>
      </c>
      <c r="X39" s="7">
        <f>Parameters!$G$7*(C39-E39)+Parameters!$G$8*Parameters!$G$9*(D39+E39)</f>
        <v>2976.4185094397512</v>
      </c>
      <c r="Y39" s="7">
        <f>Parameters!$G$8*(1-Parameters!$G$9)*(D39+E39)</f>
        <v>1021.9588977919593</v>
      </c>
      <c r="Z39" s="7">
        <f>POWER(1/(1+Parameters!$G$32),A39-1)*(M39-N39)</f>
        <v>4317.337175063257</v>
      </c>
    </row>
    <row r="40" spans="1:26">
      <c r="A40" s="7">
        <v>36</v>
      </c>
      <c r="B40" s="7">
        <f>Parameters!$G$20</f>
        <v>1000</v>
      </c>
      <c r="C40" s="7">
        <f>X39+B40</f>
        <v>3976.418509439751</v>
      </c>
      <c r="D40" s="7">
        <f>Y39</f>
        <v>1021.9588977919593</v>
      </c>
      <c r="E40" s="7">
        <f>Parameters!$G$6*C40</f>
        <v>397.6418509439751</v>
      </c>
      <c r="F40" s="7">
        <f>IF(Parameters!$G$5=1,E40,0)</f>
        <v>0.0</v>
      </c>
      <c r="G40" s="7">
        <f>Parameters!$G$27*G39+F40</f>
        <v>0.0</v>
      </c>
      <c r="H40" s="7">
        <f>IF(AND(Parameters!$G$5=1,Parameters!$G$26=1),SUMPRODUCT(--($A$5:A40&lt;A40),--(MOD(A40-$A$5:A40,Parameters!$G$28)=0),$F$5:F40,POWER(Parameters!$G$27,IF(A40-$A$5:A40=0,1,A40-$A$5:A40))),0)</f>
        <v>0.0</v>
      </c>
      <c r="I40" s="7">
        <f>Parameters!$G$23*I39+B40*Parameters!$G$22</f>
        <v>0.0</v>
      </c>
      <c r="J40" s="7">
        <f>E40*Parameters!$G$14*(1-Parameters!$G$15)</f>
        <v>7555.195167935526</v>
      </c>
      <c r="K40" s="7">
        <f>H40*Parameters!$G$29</f>
        <v>0.0</v>
      </c>
      <c r="L40" s="7">
        <f>I40*Parameters!$G$24</f>
        <v>0.0</v>
      </c>
      <c r="M40" s="7">
        <f>J40+K40+L40</f>
        <v>7555.195167935526</v>
      </c>
      <c r="N40" s="7">
        <f>C40*Parameters!$G$17+D40*Parameters!$G$18+E40*Parameters!$G$16+I40*Parameters!$G$25+G40*Parameters!$G$30</f>
        <v>1499.513222169513</v>
      </c>
      <c r="O40" s="7">
        <f>B40*Parameters!$G$19</f>
        <v>4000</v>
      </c>
      <c r="P40" s="7">
        <f>M40-N40-O40</f>
        <v>2055.681945766013</v>
      </c>
      <c r="Q40" s="7">
        <f>Parameters!$G$21</f>
        <v>1000</v>
      </c>
      <c r="R40" s="7">
        <f>P40-Q40</f>
        <v>1055.681945766013</v>
      </c>
      <c r="S40" s="7">
        <f>IF(A40&lt;1+Parameters!$G$31,0,INDEX($M$5:$M$40,A40-Parameters!$G$31))</f>
        <v>7554.789290989971</v>
      </c>
      <c r="T40" s="7">
        <f>T39+M40-S40</f>
        <v>7555.195167935526</v>
      </c>
      <c r="U40" s="7">
        <f>S40-N40-O40-Q40</f>
        <v>1055.276068820458</v>
      </c>
      <c r="V40" s="7">
        <f>V39+U40</f>
        <v>11787.93357779282</v>
      </c>
      <c r="W40" s="7">
        <f>(1-Parameters!$G$7)*(C40-E40)+(1-Parameters!$G$8)*(D40+E40)</f>
        <v>999.6754814463419</v>
      </c>
      <c r="X40" s="7">
        <f>Parameters!$G$7*(C40-E40)+Parameters!$G$8*Parameters!$G$9*(D40+E40)</f>
        <v>2976.5893866954957</v>
      </c>
      <c r="Y40" s="7">
        <f>Parameters!$G$8*(1-Parameters!$G$9)*(D40+E40)</f>
        <v>1022.1125390898728</v>
      </c>
      <c r="Z40" s="7">
        <f>POWER(1/(1+Parameters!$G$32),A40-1)*(M40-N40)</f>
        <v>4274.791870892243</v>
      </c>
    </row>
    <row r="43" spans="1:26">
      <c r="A43" s="1" t="s">
        <v>185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160</v>
      </c>
      <c r="B44" s="4" t="s">
        <v>161</v>
      </c>
      <c r="C44" s="4" t="s">
        <v>162</v>
      </c>
      <c r="D44" s="4" t="s">
        <v>163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4" t="s">
        <v>169</v>
      </c>
      <c r="K44" s="4" t="s">
        <v>170</v>
      </c>
      <c r="L44" s="4" t="s">
        <v>171</v>
      </c>
      <c r="M44" s="4" t="s">
        <v>172</v>
      </c>
      <c r="N44" s="4" t="s">
        <v>173</v>
      </c>
      <c r="O44" s="4" t="s">
        <v>95</v>
      </c>
      <c r="P44" s="4" t="s">
        <v>174</v>
      </c>
      <c r="Q44" s="4" t="s">
        <v>175</v>
      </c>
      <c r="R44" s="4" t="s">
        <v>176</v>
      </c>
      <c r="S44" s="4" t="s">
        <v>177</v>
      </c>
      <c r="T44" s="4" t="s">
        <v>178</v>
      </c>
      <c r="U44" s="4" t="s">
        <v>179</v>
      </c>
      <c r="V44" s="4" t="s">
        <v>180</v>
      </c>
      <c r="W44" s="4" t="s">
        <v>181</v>
      </c>
      <c r="X44" s="4" t="s">
        <v>182</v>
      </c>
      <c r="Y44" s="4" t="s">
        <v>183</v>
      </c>
      <c r="Z44" s="4" t="s">
        <v>184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Parameters!$G$6*C45</f>
        <v>0.1</v>
      </c>
      <c r="F45" s="7">
        <f>IF(Parameters!$G$5=1,E45,0)</f>
        <v>0.0</v>
      </c>
      <c r="G45" s="7">
        <f>F45</f>
        <v>0.0</v>
      </c>
      <c r="H45" s="7">
        <f>IF(AND(Parameters!$G$5=1,Parameters!$G$26=1),SUMPRODUCT(--($A$45:A45&lt;A45),--(MOD(A45-$A$45:A45,Parameters!$G$28)=0),$F$45:F45,POWER(Parameters!$G$27,IF(A45-$A$45:A45=0,1,A45-$A$45:A45))),0)</f>
        <v>0.0</v>
      </c>
      <c r="I45" s="7">
        <f>B45*Parameters!$G$22</f>
        <v>0.0</v>
      </c>
      <c r="J45" s="7">
        <f>E45*Parameters!$G$14*(1-Parameters!$G$15)</f>
        <v>1.9</v>
      </c>
      <c r="K45" s="7">
        <f>H45*Parameters!$G$29</f>
        <v>0.0</v>
      </c>
      <c r="L45" s="7">
        <f>I45*Parameters!$G$24</f>
        <v>0.0</v>
      </c>
      <c r="M45" s="7">
        <f>J45+K45+L45</f>
        <v>1.9</v>
      </c>
      <c r="N45" s="7">
        <f>C45*Parameters!$G$17+D45*Parameters!$G$18+E45*Parameters!$G$16+I45*Parameters!$G$25+G45*Parameters!$G$30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IF(A45&lt;1+Parameters!$G$31,0,INDEX($M$45:$M$80,A45-Parameters!$G$31))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(1-Parameters!$G$7)*(C45-E45)+(1-Parameters!$G$8)*(D45+E45)</f>
        <v>0.19999999999999996</v>
      </c>
      <c r="X45" s="7">
        <f>Parameters!$G$7*(C45-E45)+Parameters!$G$8*Parameters!$G$9*(D45+E45)</f>
        <v>0.7280000000000001</v>
      </c>
      <c r="Y45" s="7">
        <f>Parameters!$G$8*(1-Parameters!$G$9)*(D45+E45)</f>
        <v>0.07200000000000001</v>
      </c>
      <c r="Z45" s="7">
        <f>POWER(1/(1+Parameters!$G$32),A45-1)*(M45-N45)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0.7280000000000001</v>
      </c>
      <c r="D46" s="7">
        <f>Y45</f>
        <v>0.07200000000000001</v>
      </c>
      <c r="E46" s="7">
        <f>Parameters!$G$6*C46</f>
        <v>0.07280000000000002</v>
      </c>
      <c r="F46" s="7">
        <f>IF(Parameters!$G$5=1,E46,0)</f>
        <v>0.0</v>
      </c>
      <c r="G46" s="7">
        <f>Parameters!$G$27*G45+F46</f>
        <v>0.0</v>
      </c>
      <c r="H46" s="7">
        <f>IF(AND(Parameters!$G$5=1,Parameters!$G$26=1),SUMPRODUCT(--($A$45:A46&lt;A46),--(MOD(A46-$A$45:A46,Parameters!$G$28)=0),$F$45:F46,POWER(Parameters!$G$27,IF(A46-$A$45:A46=0,1,A46-$A$45:A46))),0)</f>
        <v>0.0</v>
      </c>
      <c r="I46" s="7">
        <f>Parameters!$G$23*I45+B46*Parameters!$G$22</f>
        <v>0.0</v>
      </c>
      <c r="J46" s="7">
        <f>E46*Parameters!$G$14*(1-Parameters!$G$15)</f>
        <v>1.3832000000000004</v>
      </c>
      <c r="K46" s="7">
        <f>H46*Parameters!$G$29</f>
        <v>0.0</v>
      </c>
      <c r="L46" s="7">
        <f>I46*Parameters!$G$24</f>
        <v>0.0</v>
      </c>
      <c r="M46" s="7">
        <f>J46+K46+L46</f>
        <v>1.3832000000000004</v>
      </c>
      <c r="N46" s="7">
        <f>C46*Parameters!$G$17+D46*Parameters!$G$18+E46*Parameters!$G$16+I46*Parameters!$G$25+G46*Parameters!$G$30</f>
        <v>0.24000000000000005</v>
      </c>
      <c r="O46" s="7">
        <f>0</f>
        <v>0</v>
      </c>
      <c r="P46" s="7">
        <f>M46-N46-O46</f>
        <v>1.1432000000000004</v>
      </c>
      <c r="Q46" s="7">
        <f>0</f>
        <v>0</v>
      </c>
      <c r="R46" s="7">
        <f>P46-Q46</f>
        <v>1.1432000000000004</v>
      </c>
      <c r="S46" s="7">
        <f>IF(A46&lt;1+Parameters!$G$31,0,INDEX($M$45:$M$80,A46-Parameters!$G$31))</f>
        <v>1.9</v>
      </c>
      <c r="T46" s="7">
        <f>T45+M46-S46</f>
        <v>1.3832000000000004</v>
      </c>
      <c r="U46" s="7">
        <f>S46-N46-O46-Q46</f>
        <v>1.66</v>
      </c>
      <c r="V46" s="7">
        <f>V45+U46</f>
        <v>1.3599999999999999</v>
      </c>
      <c r="W46" s="7">
        <f>(1-Parameters!$G$7)*(C46-E46)+(1-Parameters!$G$8)*(D46+E46)</f>
        <v>0.16</v>
      </c>
      <c r="X46" s="7">
        <f>Parameters!$G$7*(C46-E46)+Parameters!$G$8*Parameters!$G$9*(D46+E46)</f>
        <v>0.5357440000000001</v>
      </c>
      <c r="Y46" s="7">
        <f>Parameters!$G$8*(1-Parameters!$G$9)*(D46+E46)</f>
        <v>0.10425600000000004</v>
      </c>
      <c r="Z46" s="7">
        <f>POWER(1/(1+Parameters!$G$32),A46-1)*(M46-N46)</f>
        <v>1.1318811881188122</v>
      </c>
    </row>
    <row r="47" spans="1:26">
      <c r="A47" s="7">
        <v>3</v>
      </c>
      <c r="B47" s="7">
        <f>0</f>
        <v>0</v>
      </c>
      <c r="C47" s="7">
        <f>X46+B47</f>
        <v>0.5357440000000001</v>
      </c>
      <c r="D47" s="7">
        <f>Y46</f>
        <v>0.10425600000000002</v>
      </c>
      <c r="E47" s="7">
        <f>Parameters!$G$6*C47</f>
        <v>0.053574400000000015</v>
      </c>
      <c r="F47" s="7">
        <f>IF(Parameters!$G$5=1,E47,0)</f>
        <v>0.0</v>
      </c>
      <c r="G47" s="7">
        <f>Parameters!$G$27*G46+F47</f>
        <v>0.0</v>
      </c>
      <c r="H47" s="7">
        <f>IF(AND(Parameters!$G$5=1,Parameters!$G$26=1),SUMPRODUCT(--($A$45:A47&lt;A47),--(MOD(A47-$A$45:A47,Parameters!$G$28)=0),$F$45:F47,POWER(Parameters!$G$27,IF(A47-$A$45:A47=0,1,A47-$A$45:A47))),0)</f>
        <v>0.0</v>
      </c>
      <c r="I47" s="7">
        <f>Parameters!$G$23*I46+B47*Parameters!$G$22</f>
        <v>0.0</v>
      </c>
      <c r="J47" s="7">
        <f>E47*Parameters!$G$14*(1-Parameters!$G$15)</f>
        <v>1.0179136000000002</v>
      </c>
      <c r="K47" s="7">
        <f>H47*Parameters!$G$29</f>
        <v>0.0</v>
      </c>
      <c r="L47" s="7">
        <f>I47*Parameters!$G$24</f>
        <v>0.0</v>
      </c>
      <c r="M47" s="7">
        <f>J47+K47+L47</f>
        <v>1.0179136000000002</v>
      </c>
      <c r="N47" s="7">
        <f>C47*Parameters!$G$17+D47*Parameters!$G$18+E47*Parameters!$G$16+I47*Parameters!$G$25+G47*Parameters!$G$30</f>
        <v>0.19200000000000006</v>
      </c>
      <c r="O47" s="7">
        <f>0</f>
        <v>0</v>
      </c>
      <c r="P47" s="7">
        <f>M47-N47-O47</f>
        <v>0.8259136000000001</v>
      </c>
      <c r="Q47" s="7">
        <f>0</f>
        <v>0</v>
      </c>
      <c r="R47" s="7">
        <f>P47-Q47</f>
        <v>0.8259136000000001</v>
      </c>
      <c r="S47" s="7">
        <f>IF(A47&lt;1+Parameters!$G$31,0,INDEX($M$45:$M$80,A47-Parameters!$G$31))</f>
        <v>1.3832000000000004</v>
      </c>
      <c r="T47" s="7">
        <f>T46+M47-S47</f>
        <v>1.0179136000000002</v>
      </c>
      <c r="U47" s="7">
        <f>S47-N47-O47-Q47</f>
        <v>1.1912000000000003</v>
      </c>
      <c r="V47" s="7">
        <f>V46+U47</f>
        <v>2.5512</v>
      </c>
      <c r="W47" s="7">
        <f>(1-Parameters!$G$7)*(C47-E47)+(1-Parameters!$G$8)*(D47+E47)</f>
        <v>0.128</v>
      </c>
      <c r="X47" s="7">
        <f>Parameters!$G$7*(C47-E47)+Parameters!$G$8*Parameters!$G$9*(D47+E47)</f>
        <v>0.3983621120000001</v>
      </c>
      <c r="Y47" s="7">
        <f>Parameters!$G$8*(1-Parameters!$G$9)*(D47+E47)</f>
        <v>0.11363788800000003</v>
      </c>
      <c r="Z47" s="7">
        <f>POWER(1/(1+Parameters!$G$32),A47-1)*(M47-N47)</f>
        <v>0.809639839231448</v>
      </c>
    </row>
    <row r="48" spans="1:26">
      <c r="A48" s="7">
        <v>4</v>
      </c>
      <c r="B48" s="7">
        <f>0</f>
        <v>0</v>
      </c>
      <c r="C48" s="7">
        <f>X47+B48</f>
        <v>0.3983621120000001</v>
      </c>
      <c r="D48" s="7">
        <f>Y47</f>
        <v>0.11363788800000002</v>
      </c>
      <c r="E48" s="7">
        <f>Parameters!$G$6*C48</f>
        <v>0.03983621120000001</v>
      </c>
      <c r="F48" s="7">
        <f>IF(Parameters!$G$5=1,E48,0)</f>
        <v>0.0</v>
      </c>
      <c r="G48" s="7">
        <f>Parameters!$G$27*G47+F48</f>
        <v>0.0</v>
      </c>
      <c r="H48" s="7">
        <f>IF(AND(Parameters!$G$5=1,Parameters!$G$26=1),SUMPRODUCT(--($A$45:A48&lt;A48),--(MOD(A48-$A$45:A48,Parameters!$G$28)=0),$F$45:F48,POWER(Parameters!$G$27,IF(A48-$A$45:A48=0,1,A48-$A$45:A48))),0)</f>
        <v>0.0</v>
      </c>
      <c r="I48" s="7">
        <f>Parameters!$G$23*I47+B48*Parameters!$G$22</f>
        <v>0.0</v>
      </c>
      <c r="J48" s="7">
        <f>E48*Parameters!$G$14*(1-Parameters!$G$15)</f>
        <v>0.7568880128000003</v>
      </c>
      <c r="K48" s="7">
        <f>H48*Parameters!$G$29</f>
        <v>0.0</v>
      </c>
      <c r="L48" s="7">
        <f>I48*Parameters!$G$24</f>
        <v>0.0</v>
      </c>
      <c r="M48" s="7">
        <f>J48+K48+L48</f>
        <v>0.7568880128000003</v>
      </c>
      <c r="N48" s="7">
        <f>C48*Parameters!$G$17+D48*Parameters!$G$18+E48*Parameters!$G$16+I48*Parameters!$G$25+G48*Parameters!$G$30</f>
        <v>0.15360000000000004</v>
      </c>
      <c r="O48" s="7">
        <f>0</f>
        <v>0</v>
      </c>
      <c r="P48" s="7">
        <f>M48-N48-O48</f>
        <v>0.6032880128000002</v>
      </c>
      <c r="Q48" s="7">
        <f>0</f>
        <v>0</v>
      </c>
      <c r="R48" s="7">
        <f>P48-Q48</f>
        <v>0.6032880128000002</v>
      </c>
      <c r="S48" s="7">
        <f>IF(A48&lt;1+Parameters!$G$31,0,INDEX($M$45:$M$80,A48-Parameters!$G$31))</f>
        <v>1.0179136000000002</v>
      </c>
      <c r="T48" s="7">
        <f>T47+M48-S48</f>
        <v>0.7568880128000003</v>
      </c>
      <c r="U48" s="7">
        <f>S48-N48-O48-Q48</f>
        <v>0.8643136000000001</v>
      </c>
      <c r="V48" s="7">
        <f>V47+U48</f>
        <v>3.4155136</v>
      </c>
      <c r="W48" s="7">
        <f>(1-Parameters!$G$7)*(C48-E48)+(1-Parameters!$G$8)*(D48+E48)</f>
        <v>0.10239999999999999</v>
      </c>
      <c r="X48" s="7">
        <f>Parameters!$G$7*(C48-E48)+Parameters!$G$8*Parameters!$G$9*(D48+E48)</f>
        <v>0.2990986485760001</v>
      </c>
      <c r="Y48" s="7">
        <f>Parameters!$G$8*(1-Parameters!$G$9)*(D48+E48)</f>
        <v>0.11050135142400004</v>
      </c>
      <c r="Z48" s="7">
        <f>POWER(1/(1+Parameters!$G$32),A48-1)*(M48-N48)</f>
        <v>0.5855454015865269</v>
      </c>
    </row>
    <row r="49" spans="1:26">
      <c r="A49" s="7">
        <v>5</v>
      </c>
      <c r="B49" s="7">
        <f>0</f>
        <v>0</v>
      </c>
      <c r="C49" s="7">
        <f>X48+B49</f>
        <v>0.2990986485760001</v>
      </c>
      <c r="D49" s="7">
        <f>Y48</f>
        <v>0.11050135142400003</v>
      </c>
      <c r="E49" s="7">
        <f>Parameters!$G$6*C49</f>
        <v>0.029909864857600013</v>
      </c>
      <c r="F49" s="7">
        <f>IF(Parameters!$G$5=1,E49,0)</f>
        <v>0.0</v>
      </c>
      <c r="G49" s="7">
        <f>Parameters!$G$27*G48+F49</f>
        <v>0.0</v>
      </c>
      <c r="H49" s="7">
        <f>IF(AND(Parameters!$G$5=1,Parameters!$G$26=1),SUMPRODUCT(--($A$45:A49&lt;A49),--(MOD(A49-$A$45:A49,Parameters!$G$28)=0),$F$45:F49,POWER(Parameters!$G$27,IF(A49-$A$45:A49=0,1,A49-$A$45:A49))),0)</f>
        <v>0.0</v>
      </c>
      <c r="I49" s="7">
        <f>Parameters!$G$23*I48+B49*Parameters!$G$22</f>
        <v>0.0</v>
      </c>
      <c r="J49" s="7">
        <f>E49*Parameters!$G$14*(1-Parameters!$G$15)</f>
        <v>0.5682874322944002</v>
      </c>
      <c r="K49" s="7">
        <f>H49*Parameters!$G$29</f>
        <v>0.0</v>
      </c>
      <c r="L49" s="7">
        <f>I49*Parameters!$G$24</f>
        <v>0.0</v>
      </c>
      <c r="M49" s="7">
        <f>J49+K49+L49</f>
        <v>0.5682874322944002</v>
      </c>
      <c r="N49" s="7">
        <f>C49*Parameters!$G$17+D49*Parameters!$G$18+E49*Parameters!$G$16+I49*Parameters!$G$25+G49*Parameters!$G$30</f>
        <v>0.12288000000000004</v>
      </c>
      <c r="O49" s="7">
        <f>0</f>
        <v>0</v>
      </c>
      <c r="P49" s="7">
        <f>M49-N49-O49</f>
        <v>0.4454074322944001</v>
      </c>
      <c r="Q49" s="7">
        <f>0</f>
        <v>0</v>
      </c>
      <c r="R49" s="7">
        <f>P49-Q49</f>
        <v>0.4454074322944001</v>
      </c>
      <c r="S49" s="7">
        <f>IF(A49&lt;1+Parameters!$G$31,0,INDEX($M$45:$M$80,A49-Parameters!$G$31))</f>
        <v>0.7568880128000003</v>
      </c>
      <c r="T49" s="7">
        <f>T48+M49-S49</f>
        <v>0.5682874322944002</v>
      </c>
      <c r="U49" s="7">
        <f>S49-N49-O49-Q49</f>
        <v>0.6340080128000003</v>
      </c>
      <c r="V49" s="7">
        <f>V48+U49</f>
        <v>4.0495216128000004</v>
      </c>
      <c r="W49" s="7">
        <f>(1-Parameters!$G$7)*(C49-E49)+(1-Parameters!$G$8)*(D49+E49)</f>
        <v>0.08192</v>
      </c>
      <c r="X49" s="7">
        <f>Parameters!$G$7*(C49-E49)+Parameters!$G$8*Parameters!$G$9*(D49+E49)</f>
        <v>0.22658392427724808</v>
      </c>
      <c r="Y49" s="7">
        <f>Parameters!$G$8*(1-Parameters!$G$9)*(D49+E49)</f>
        <v>0.10109607572275203</v>
      </c>
      <c r="Z49" s="7">
        <f>POWER(1/(1+Parameters!$G$32),A49-1)*(M49-N49)</f>
        <v>0.42802778772147926</v>
      </c>
    </row>
    <row r="50" spans="1:26">
      <c r="A50" s="7">
        <v>6</v>
      </c>
      <c r="B50" s="7">
        <f>0</f>
        <v>0</v>
      </c>
      <c r="C50" s="7">
        <f>X49+B50</f>
        <v>0.2265839242772481</v>
      </c>
      <c r="D50" s="7">
        <f>Y49</f>
        <v>0.10109607572275205</v>
      </c>
      <c r="E50" s="7">
        <f>Parameters!$G$6*C50</f>
        <v>0.022658392427724813</v>
      </c>
      <c r="F50" s="7">
        <f>IF(Parameters!$G$5=1,E50,0)</f>
        <v>0.0</v>
      </c>
      <c r="G50" s="7">
        <f>Parameters!$G$27*G49+F50</f>
        <v>0.0</v>
      </c>
      <c r="H50" s="7">
        <f>IF(AND(Parameters!$G$5=1,Parameters!$G$26=1),SUMPRODUCT(--($A$45:A50&lt;A50),--(MOD(A50-$A$45:A50,Parameters!$G$28)=0),$F$45:F50,POWER(Parameters!$G$27,IF(A50-$A$45:A50=0,1,A50-$A$45:A50))),0)</f>
        <v>0.0</v>
      </c>
      <c r="I50" s="7">
        <f>Parameters!$G$23*I49+B50*Parameters!$G$22</f>
        <v>0.0</v>
      </c>
      <c r="J50" s="7">
        <f>E50*Parameters!$G$14*(1-Parameters!$G$15)</f>
        <v>0.43050945612677144</v>
      </c>
      <c r="K50" s="7">
        <f>H50*Parameters!$G$29</f>
        <v>0.0</v>
      </c>
      <c r="L50" s="7">
        <f>I50*Parameters!$G$24</f>
        <v>0.0</v>
      </c>
      <c r="M50" s="7">
        <f>J50+K50+L50</f>
        <v>0.43050945612677144</v>
      </c>
      <c r="N50" s="7">
        <f>C50*Parameters!$G$17+D50*Parameters!$G$18+E50*Parameters!$G$16+I50*Parameters!$G$25+G50*Parameters!$G$30</f>
        <v>0.09830400000000004</v>
      </c>
      <c r="O50" s="7">
        <f>0</f>
        <v>0</v>
      </c>
      <c r="P50" s="7">
        <f>M50-N50-O50</f>
        <v>0.3322054561267714</v>
      </c>
      <c r="Q50" s="7">
        <f>0</f>
        <v>0</v>
      </c>
      <c r="R50" s="7">
        <f>P50-Q50</f>
        <v>0.3322054561267714</v>
      </c>
      <c r="S50" s="7">
        <f>IF(A50&lt;1+Parameters!$G$31,0,INDEX($M$45:$M$80,A50-Parameters!$G$31))</f>
        <v>0.5682874322944002</v>
      </c>
      <c r="T50" s="7">
        <f>T49+M50-S50</f>
        <v>0.43050945612677144</v>
      </c>
      <c r="U50" s="7">
        <f>S50-N50-O50-Q50</f>
        <v>0.4699834322944001</v>
      </c>
      <c r="V50" s="7">
        <f>V49+U50</f>
        <v>4.519505045094401</v>
      </c>
      <c r="W50" s="7">
        <f>(1-Parameters!$G$7)*(C50-E50)+(1-Parameters!$G$8)*(D50+E50)</f>
        <v>0.06553600000000001</v>
      </c>
      <c r="X50" s="7">
        <f>Parameters!$G$7*(C50-E50)+Parameters!$G$8*Parameters!$G$9*(D50+E50)</f>
        <v>0.17304078293165678</v>
      </c>
      <c r="Y50" s="7">
        <f>Parameters!$G$8*(1-Parameters!$G$9)*(D50+E50)</f>
        <v>0.08910321706834334</v>
      </c>
      <c r="Z50" s="7">
        <f>POWER(1/(1+Parameters!$G$32),A50-1)*(M50-N50)</f>
        <v>0.31608209274037213</v>
      </c>
    </row>
    <row r="51" spans="1:26">
      <c r="A51" s="7">
        <v>7</v>
      </c>
      <c r="B51" s="7">
        <f>0</f>
        <v>0</v>
      </c>
      <c r="C51" s="7">
        <f>X50+B51</f>
        <v>0.1730407829316568</v>
      </c>
      <c r="D51" s="7">
        <f>Y50</f>
        <v>0.08910321706834334</v>
      </c>
      <c r="E51" s="7">
        <f>Parameters!$G$6*C51</f>
        <v>0.017304078293165683</v>
      </c>
      <c r="F51" s="7">
        <f>IF(Parameters!$G$5=1,E51,0)</f>
        <v>0.0</v>
      </c>
      <c r="G51" s="7">
        <f>Parameters!$G$27*G50+F51</f>
        <v>0.0</v>
      </c>
      <c r="H51" s="7">
        <f>IF(AND(Parameters!$G$5=1,Parameters!$G$26=1),SUMPRODUCT(--($A$45:A51&lt;A51),--(MOD(A51-$A$45:A51,Parameters!$G$28)=0),$F$45:F51,POWER(Parameters!$G$27,IF(A51-$A$45:A51=0,1,A51-$A$45:A51))),0)</f>
        <v>0.0</v>
      </c>
      <c r="I51" s="7">
        <f>Parameters!$G$23*I50+B51*Parameters!$G$22</f>
        <v>0.0</v>
      </c>
      <c r="J51" s="7">
        <f>E51*Parameters!$G$14*(1-Parameters!$G$15)</f>
        <v>0.32877748757014796</v>
      </c>
      <c r="K51" s="7">
        <f>H51*Parameters!$G$29</f>
        <v>0.0</v>
      </c>
      <c r="L51" s="7">
        <f>I51*Parameters!$G$24</f>
        <v>0.0</v>
      </c>
      <c r="M51" s="7">
        <f>J51+K51+L51</f>
        <v>0.32877748757014796</v>
      </c>
      <c r="N51" s="7">
        <f>C51*Parameters!$G$17+D51*Parameters!$G$18+E51*Parameters!$G$16+I51*Parameters!$G$25+G51*Parameters!$G$30</f>
        <v>0.07864320000000005</v>
      </c>
      <c r="O51" s="7">
        <f>0</f>
        <v>0</v>
      </c>
      <c r="P51" s="7">
        <f>M51-N51-O51</f>
        <v>0.2501342875701479</v>
      </c>
      <c r="Q51" s="7">
        <f>0</f>
        <v>0</v>
      </c>
      <c r="R51" s="7">
        <f>P51-Q51</f>
        <v>0.2501342875701479</v>
      </c>
      <c r="S51" s="7">
        <f>IF(A51&lt;1+Parameters!$G$31,0,INDEX($M$45:$M$80,A51-Parameters!$G$31))</f>
        <v>0.43050945612677144</v>
      </c>
      <c r="T51" s="7">
        <f>T50+M51-S51</f>
        <v>0.32877748757014796</v>
      </c>
      <c r="U51" s="7">
        <f>S51-N51-O51-Q51</f>
        <v>0.35186625612677136</v>
      </c>
      <c r="V51" s="7">
        <f>V50+U51</f>
        <v>4.871371301221172</v>
      </c>
      <c r="W51" s="7">
        <f>(1-Parameters!$G$7)*(C51-E51)+(1-Parameters!$G$8)*(D51+E51)</f>
        <v>0.052428800000000025</v>
      </c>
      <c r="X51" s="7">
        <f>Parameters!$G$7*(C51-E51)+Parameters!$G$8*Parameters!$G$9*(D51+E51)</f>
        <v>0.13310194733971362</v>
      </c>
      <c r="Y51" s="7">
        <f>Parameters!$G$8*(1-Parameters!$G$9)*(D51+E51)</f>
        <v>0.07661325266028651</v>
      </c>
      <c r="Z51" s="7">
        <f>POWER(1/(1+Parameters!$G$32),A51-1)*(M51-N51)</f>
        <v>0.23563781377916335</v>
      </c>
    </row>
    <row r="52" spans="1:26">
      <c r="A52" s="7">
        <v>8</v>
      </c>
      <c r="B52" s="7">
        <f>0</f>
        <v>0</v>
      </c>
      <c r="C52" s="7">
        <f>X51+B52</f>
        <v>0.13310194733971364</v>
      </c>
      <c r="D52" s="7">
        <f>Y51</f>
        <v>0.07661325266028651</v>
      </c>
      <c r="E52" s="7">
        <f>Parameters!$G$6*C52</f>
        <v>0.013310194733971365</v>
      </c>
      <c r="F52" s="7">
        <f>IF(Parameters!$G$5=1,E52,0)</f>
        <v>0.0</v>
      </c>
      <c r="G52" s="7">
        <f>Parameters!$G$27*G51+F52</f>
        <v>0.0</v>
      </c>
      <c r="H52" s="7">
        <f>IF(AND(Parameters!$G$5=1,Parameters!$G$26=1),SUMPRODUCT(--($A$45:A52&lt;A52),--(MOD(A52-$A$45:A52,Parameters!$G$28)=0),$F$45:F52,POWER(Parameters!$G$27,IF(A52-$A$45:A52=0,1,A52-$A$45:A52))),0)</f>
        <v>0.0</v>
      </c>
      <c r="I52" s="7">
        <f>Parameters!$G$23*I51+B52*Parameters!$G$22</f>
        <v>0.0</v>
      </c>
      <c r="J52" s="7">
        <f>E52*Parameters!$G$14*(1-Parameters!$G$15)</f>
        <v>0.2528936999454559</v>
      </c>
      <c r="K52" s="7">
        <f>H52*Parameters!$G$29</f>
        <v>0.0</v>
      </c>
      <c r="L52" s="7">
        <f>I52*Parameters!$G$24</f>
        <v>0.0</v>
      </c>
      <c r="M52" s="7">
        <f>J52+K52+L52</f>
        <v>0.2528936999454559</v>
      </c>
      <c r="N52" s="7">
        <f>C52*Parameters!$G$17+D52*Parameters!$G$18+E52*Parameters!$G$16+I52*Parameters!$G$25+G52*Parameters!$G$30</f>
        <v>0.06291456000000005</v>
      </c>
      <c r="O52" s="7">
        <f>0</f>
        <v>0</v>
      </c>
      <c r="P52" s="7">
        <f>M52-N52-O52</f>
        <v>0.18997913994545584</v>
      </c>
      <c r="Q52" s="7">
        <f>0</f>
        <v>0</v>
      </c>
      <c r="R52" s="7">
        <f>P52-Q52</f>
        <v>0.18997913994545584</v>
      </c>
      <c r="S52" s="7">
        <f>IF(A52&lt;1+Parameters!$G$31,0,INDEX($M$45:$M$80,A52-Parameters!$G$31))</f>
        <v>0.32877748757014796</v>
      </c>
      <c r="T52" s="7">
        <f>T51+M52-S52</f>
        <v>0.2528936999454559</v>
      </c>
      <c r="U52" s="7">
        <f>S52-N52-O52-Q52</f>
        <v>0.2658629275701479</v>
      </c>
      <c r="V52" s="7">
        <f>V51+U52</f>
        <v>5.13723422879132</v>
      </c>
      <c r="W52" s="7">
        <f>(1-Parameters!$G$7)*(C52-E52)+(1-Parameters!$G$8)*(D52+E52)</f>
        <v>0.04194304000000002</v>
      </c>
      <c r="X52" s="7">
        <f>Parameters!$G$7*(C52-E52)+Parameters!$G$8*Parameters!$G$9*(D52+E52)</f>
        <v>0.10302727787613446</v>
      </c>
      <c r="Y52" s="7">
        <f>Parameters!$G$8*(1-Parameters!$G$9)*(D52+E52)</f>
        <v>0.06474488212386569</v>
      </c>
      <c r="Z52" s="7">
        <f>POWER(1/(1+Parameters!$G$32),A52-1)*(M52-N52)</f>
        <v>0.1771969738448602</v>
      </c>
    </row>
    <row r="53" spans="1:26">
      <c r="A53" s="7">
        <v>9</v>
      </c>
      <c r="B53" s="7">
        <f>0</f>
        <v>0</v>
      </c>
      <c r="C53" s="7">
        <f>X52+B53</f>
        <v>0.10302727787613446</v>
      </c>
      <c r="D53" s="7">
        <f>Y52</f>
        <v>0.06474488212386567</v>
      </c>
      <c r="E53" s="7">
        <f>Parameters!$G$6*C53</f>
        <v>0.010302727787613446</v>
      </c>
      <c r="F53" s="7">
        <f>IF(Parameters!$G$5=1,E53,0)</f>
        <v>0.0</v>
      </c>
      <c r="G53" s="7">
        <f>Parameters!$G$27*G52+F53</f>
        <v>0.0</v>
      </c>
      <c r="H53" s="7">
        <f>IF(AND(Parameters!$G$5=1,Parameters!$G$26=1),SUMPRODUCT(--($A$45:A53&lt;A53),--(MOD(A53-$A$45:A53,Parameters!$G$28)=0),$F$45:F53,POWER(Parameters!$G$27,IF(A53-$A$45:A53=0,1,A53-$A$45:A53))),0)</f>
        <v>0.0</v>
      </c>
      <c r="I53" s="7">
        <f>Parameters!$G$23*I52+B53*Parameters!$G$22</f>
        <v>0.0</v>
      </c>
      <c r="J53" s="7">
        <f>E53*Parameters!$G$14*(1-Parameters!$G$15)</f>
        <v>0.19575182796465546</v>
      </c>
      <c r="K53" s="7">
        <f>H53*Parameters!$G$29</f>
        <v>0.0</v>
      </c>
      <c r="L53" s="7">
        <f>I53*Parameters!$G$24</f>
        <v>0.0</v>
      </c>
      <c r="M53" s="7">
        <f>J53+K53+L53</f>
        <v>0.19575182796465546</v>
      </c>
      <c r="N53" s="7">
        <f>C53*Parameters!$G$17+D53*Parameters!$G$18+E53*Parameters!$G$16+I53*Parameters!$G$25+G53*Parameters!$G$30</f>
        <v>0.050331648000000034</v>
      </c>
      <c r="O53" s="7">
        <f>0</f>
        <v>0</v>
      </c>
      <c r="P53" s="7">
        <f>M53-N53-O53</f>
        <v>0.14542017996465542</v>
      </c>
      <c r="Q53" s="7">
        <f>0</f>
        <v>0</v>
      </c>
      <c r="R53" s="7">
        <f>P53-Q53</f>
        <v>0.14542017996465542</v>
      </c>
      <c r="S53" s="7">
        <f>IF(A53&lt;1+Parameters!$G$31,0,INDEX($M$45:$M$80,A53-Parameters!$G$31))</f>
        <v>0.2528936999454559</v>
      </c>
      <c r="T53" s="7">
        <f>T52+M53-S53</f>
        <v>0.19575182796465546</v>
      </c>
      <c r="U53" s="7">
        <f>S53-N53-O53-Q53</f>
        <v>0.20256205194545587</v>
      </c>
      <c r="V53" s="7">
        <f>V52+U53</f>
        <v>5.339796280736777</v>
      </c>
      <c r="W53" s="7">
        <f>(1-Parameters!$G$7)*(C53-E53)+(1-Parameters!$G$8)*(D53+E53)</f>
        <v>0.033554432000000016</v>
      </c>
      <c r="X53" s="7">
        <f>Parameters!$G$7*(C53-E53)+Parameters!$G$8*Parameters!$G$9*(D53+E53)</f>
        <v>0.08018344886373514</v>
      </c>
      <c r="Y53" s="7">
        <f>Parameters!$G$8*(1-Parameters!$G$9)*(D53+E53)</f>
        <v>0.05403427913626497</v>
      </c>
      <c r="Z53" s="7">
        <f>POWER(1/(1+Parameters!$G$32),A53-1)*(M53-N53)</f>
        <v>0.13429309640771775</v>
      </c>
    </row>
    <row r="54" spans="1:26">
      <c r="A54" s="7">
        <v>10</v>
      </c>
      <c r="B54" s="7">
        <f>0</f>
        <v>0</v>
      </c>
      <c r="C54" s="7">
        <f>X53+B54</f>
        <v>0.08018344886373516</v>
      </c>
      <c r="D54" s="7">
        <f>Y53</f>
        <v>0.05403427913626497</v>
      </c>
      <c r="E54" s="7">
        <f>Parameters!$G$6*C54</f>
        <v>0.008018344886373516</v>
      </c>
      <c r="F54" s="7">
        <f>IF(Parameters!$G$5=1,E54,0)</f>
        <v>0.0</v>
      </c>
      <c r="G54" s="7">
        <f>Parameters!$G$27*G53+F54</f>
        <v>0.0</v>
      </c>
      <c r="H54" s="7">
        <f>IF(AND(Parameters!$G$5=1,Parameters!$G$26=1),SUMPRODUCT(--($A$45:A54&lt;A54),--(MOD(A54-$A$45:A54,Parameters!$G$28)=0),$F$45:F54,POWER(Parameters!$G$27,IF(A54-$A$45:A54=0,1,A54-$A$45:A54))),0)</f>
        <v>0.0</v>
      </c>
      <c r="I54" s="7">
        <f>Parameters!$G$23*I53+B54*Parameters!$G$22</f>
        <v>0.0</v>
      </c>
      <c r="J54" s="7">
        <f>E54*Parameters!$G$14*(1-Parameters!$G$15)</f>
        <v>0.1523485528410968</v>
      </c>
      <c r="K54" s="7">
        <f>H54*Parameters!$G$29</f>
        <v>0.0</v>
      </c>
      <c r="L54" s="7">
        <f>I54*Parameters!$G$24</f>
        <v>0.0</v>
      </c>
      <c r="M54" s="7">
        <f>J54+K54+L54</f>
        <v>0.1523485528410968</v>
      </c>
      <c r="N54" s="7">
        <f>C54*Parameters!$G$17+D54*Parameters!$G$18+E54*Parameters!$G$16+I54*Parameters!$G$25+G54*Parameters!$G$30</f>
        <v>0.04026531840000004</v>
      </c>
      <c r="O54" s="7">
        <f>0</f>
        <v>0</v>
      </c>
      <c r="P54" s="7">
        <f>M54-N54-O54</f>
        <v>0.11208323444109676</v>
      </c>
      <c r="Q54" s="7">
        <f>0</f>
        <v>0</v>
      </c>
      <c r="R54" s="7">
        <f>P54-Q54</f>
        <v>0.11208323444109676</v>
      </c>
      <c r="S54" s="7">
        <f>IF(A54&lt;1+Parameters!$G$31,0,INDEX($M$45:$M$80,A54-Parameters!$G$31))</f>
        <v>0.19575182796465546</v>
      </c>
      <c r="T54" s="7">
        <f>T53+M54-S54</f>
        <v>0.1523485528410968</v>
      </c>
      <c r="U54" s="7">
        <f>S54-N54-O54-Q54</f>
        <v>0.15548650956465543</v>
      </c>
      <c r="V54" s="7">
        <f>V53+U54</f>
        <v>5.495282790301432</v>
      </c>
      <c r="W54" s="7">
        <f>(1-Parameters!$G$7)*(C54-E54)+(1-Parameters!$G$8)*(D54+E54)</f>
        <v>0.026843545600000022</v>
      </c>
      <c r="X54" s="7">
        <f>Parameters!$G$7*(C54-E54)+Parameters!$G$8*Parameters!$G$9*(D54+E54)</f>
        <v>0.0626962931037004</v>
      </c>
      <c r="Y54" s="7">
        <f>Parameters!$G$8*(1-Parameters!$G$9)*(D54+E54)</f>
        <v>0.04467788929629972</v>
      </c>
      <c r="Z54" s="7">
        <f>POWER(1/(1+Parameters!$G$32),A54-1)*(M54-N54)</f>
        <v>0.10248216487911338</v>
      </c>
    </row>
    <row r="55" spans="1:26">
      <c r="A55" s="7">
        <v>11</v>
      </c>
      <c r="B55" s="7">
        <f>0</f>
        <v>0</v>
      </c>
      <c r="C55" s="7">
        <f>X54+B55</f>
        <v>0.0626962931037004</v>
      </c>
      <c r="D55" s="7">
        <f>Y54</f>
        <v>0.04467788929629972</v>
      </c>
      <c r="E55" s="7">
        <f>Parameters!$G$6*C55</f>
        <v>0.00626962931037004</v>
      </c>
      <c r="F55" s="7">
        <f>IF(Parameters!$G$5=1,E55,0)</f>
        <v>0.0</v>
      </c>
      <c r="G55" s="7">
        <f>Parameters!$G$27*G54+F55</f>
        <v>0.0</v>
      </c>
      <c r="H55" s="7">
        <f>IF(AND(Parameters!$G$5=1,Parameters!$G$26=1),SUMPRODUCT(--($A$45:A55&lt;A55),--(MOD(A55-$A$45:A55,Parameters!$G$28)=0),$F$45:F55,POWER(Parameters!$G$27,IF(A55-$A$45:A55=0,1,A55-$A$45:A55))),0)</f>
        <v>0.0</v>
      </c>
      <c r="I55" s="7">
        <f>Parameters!$G$23*I54+B55*Parameters!$G$22</f>
        <v>0.0</v>
      </c>
      <c r="J55" s="7">
        <f>E55*Parameters!$G$14*(1-Parameters!$G$15)</f>
        <v>0.11912295689703074</v>
      </c>
      <c r="K55" s="7">
        <f>H55*Parameters!$G$29</f>
        <v>0.0</v>
      </c>
      <c r="L55" s="7">
        <f>I55*Parameters!$G$24</f>
        <v>0.0</v>
      </c>
      <c r="M55" s="7">
        <f>J55+K55+L55</f>
        <v>0.11912295689703074</v>
      </c>
      <c r="N55" s="7">
        <f>C55*Parameters!$G$17+D55*Parameters!$G$18+E55*Parameters!$G$16+I55*Parameters!$G$25+G55*Parameters!$G$30</f>
        <v>0.032212254720000034</v>
      </c>
      <c r="O55" s="7">
        <f>0</f>
        <v>0</v>
      </c>
      <c r="P55" s="7">
        <f>M55-N55-O55</f>
        <v>0.0869107021770307</v>
      </c>
      <c r="Q55" s="7">
        <f>0</f>
        <v>0</v>
      </c>
      <c r="R55" s="7">
        <f>P55-Q55</f>
        <v>0.0869107021770307</v>
      </c>
      <c r="S55" s="7">
        <f>IF(A55&lt;1+Parameters!$G$31,0,INDEX($M$45:$M$80,A55-Parameters!$G$31))</f>
        <v>0.1523485528410968</v>
      </c>
      <c r="T55" s="7">
        <f>T54+M55-S55</f>
        <v>0.11912295689703074</v>
      </c>
      <c r="U55" s="7">
        <f>S55-N55-O55-Q55</f>
        <v>0.12013629812109677</v>
      </c>
      <c r="V55" s="7">
        <f>V54+U55</f>
        <v>5.615419088422529</v>
      </c>
      <c r="W55" s="7">
        <f>(1-Parameters!$G$7)*(C55-E55)+(1-Parameters!$G$8)*(D55+E55)</f>
        <v>0.021474836480000016</v>
      </c>
      <c r="X55" s="7">
        <f>Parameters!$G$7*(C55-E55)+Parameters!$G$8*Parameters!$G$9*(D55+E55)</f>
        <v>0.049217132523197864</v>
      </c>
      <c r="Y55" s="7">
        <f>Parameters!$G$8*(1-Parameters!$G$9)*(D55+E55)</f>
        <v>0.03668221339680223</v>
      </c>
      <c r="Z55" s="7">
        <f>POWER(1/(1+Parameters!$G$32),A55-1)*(M55-N55)</f>
        <v>0.07867912490407296</v>
      </c>
    </row>
    <row r="56" spans="1:26">
      <c r="A56" s="7">
        <v>12</v>
      </c>
      <c r="B56" s="7">
        <f>0</f>
        <v>0</v>
      </c>
      <c r="C56" s="7">
        <f>X55+B56</f>
        <v>0.04921713252319787</v>
      </c>
      <c r="D56" s="7">
        <f>Y55</f>
        <v>0.03668221339680223</v>
      </c>
      <c r="E56" s="7">
        <f>Parameters!$G$6*C56</f>
        <v>0.004921713252319788</v>
      </c>
      <c r="F56" s="7">
        <f>IF(Parameters!$G$5=1,E56,0)</f>
        <v>0.0</v>
      </c>
      <c r="G56" s="7">
        <f>Parameters!$G$27*G55+F56</f>
        <v>0.0</v>
      </c>
      <c r="H56" s="7">
        <f>IF(AND(Parameters!$G$5=1,Parameters!$G$26=1),SUMPRODUCT(--($A$45:A56&lt;A56),--(MOD(A56-$A$45:A56,Parameters!$G$28)=0),$F$45:F56,POWER(Parameters!$G$27,IF(A56-$A$45:A56=0,1,A56-$A$45:A56))),0)</f>
        <v>0.0</v>
      </c>
      <c r="I56" s="7">
        <f>Parameters!$G$23*I55+B56*Parameters!$G$22</f>
        <v>0.0</v>
      </c>
      <c r="J56" s="7">
        <f>E56*Parameters!$G$14*(1-Parameters!$G$15)</f>
        <v>0.09351255179407596</v>
      </c>
      <c r="K56" s="7">
        <f>H56*Parameters!$G$29</f>
        <v>0.0</v>
      </c>
      <c r="L56" s="7">
        <f>I56*Parameters!$G$24</f>
        <v>0.0</v>
      </c>
      <c r="M56" s="7">
        <f>J56+K56+L56</f>
        <v>0.09351255179407596</v>
      </c>
      <c r="N56" s="7">
        <f>C56*Parameters!$G$17+D56*Parameters!$G$18+E56*Parameters!$G$16+I56*Parameters!$G$25+G56*Parameters!$G$30</f>
        <v>0.025769803776000032</v>
      </c>
      <c r="O56" s="7">
        <f>0</f>
        <v>0</v>
      </c>
      <c r="P56" s="7">
        <f>M56-N56-O56</f>
        <v>0.06774274801807592</v>
      </c>
      <c r="Q56" s="7">
        <f>0</f>
        <v>0</v>
      </c>
      <c r="R56" s="7">
        <f>P56-Q56</f>
        <v>0.06774274801807592</v>
      </c>
      <c r="S56" s="7">
        <f>IF(A56&lt;1+Parameters!$G$31,0,INDEX($M$45:$M$80,A56-Parameters!$G$31))</f>
        <v>0.11912295689703074</v>
      </c>
      <c r="T56" s="7">
        <f>T55+M56-S56</f>
        <v>0.09351255179407596</v>
      </c>
      <c r="U56" s="7">
        <f>S56-N56-O56-Q56</f>
        <v>0.09335315312103071</v>
      </c>
      <c r="V56" s="7">
        <f>V55+U56</f>
        <v>5.70877224154356</v>
      </c>
      <c r="W56" s="7">
        <f>(1-Parameters!$G$7)*(C56-E56)+(1-Parameters!$G$8)*(D56+E56)</f>
        <v>0.017179869184000017</v>
      </c>
      <c r="X56" s="7">
        <f>Parameters!$G$7*(C56-E56)+Parameters!$G$8*Parameters!$G$9*(D56+E56)</f>
        <v>0.038764649548632235</v>
      </c>
      <c r="Y56" s="7">
        <f>Parameters!$G$8*(1-Parameters!$G$9)*(D56+E56)</f>
        <v>0.029954827187367857</v>
      </c>
      <c r="Z56" s="7">
        <f>POWER(1/(1+Parameters!$G$32),A56-1)*(M56-N56)</f>
        <v>0.060719431738433735</v>
      </c>
    </row>
    <row r="57" spans="1:26">
      <c r="A57" s="7">
        <v>13</v>
      </c>
      <c r="B57" s="7">
        <f>0</f>
        <v>0</v>
      </c>
      <c r="C57" s="7">
        <f>X56+B57</f>
        <v>0.038764649548632235</v>
      </c>
      <c r="D57" s="7">
        <f>Y56</f>
        <v>0.029954827187367854</v>
      </c>
      <c r="E57" s="7">
        <f>Parameters!$G$6*C57</f>
        <v>0.0038764649548632237</v>
      </c>
      <c r="F57" s="7">
        <f>IF(Parameters!$G$5=1,E57,0)</f>
        <v>0.0</v>
      </c>
      <c r="G57" s="7">
        <f>Parameters!$G$27*G56+F57</f>
        <v>0.0</v>
      </c>
      <c r="H57" s="7">
        <f>IF(AND(Parameters!$G$5=1,Parameters!$G$26=1),SUMPRODUCT(--($A$45:A57&lt;A57),--(MOD(A57-$A$45:A57,Parameters!$G$28)=0),$F$45:F57,POWER(Parameters!$G$27,IF(A57-$A$45:A57=0,1,A57-$A$45:A57))),0)</f>
        <v>0.0</v>
      </c>
      <c r="I57" s="7">
        <f>Parameters!$G$23*I56+B57*Parameters!$G$22</f>
        <v>0.0</v>
      </c>
      <c r="J57" s="7">
        <f>E57*Parameters!$G$14*(1-Parameters!$G$15)</f>
        <v>0.07365283414240124</v>
      </c>
      <c r="K57" s="7">
        <f>H57*Parameters!$G$29</f>
        <v>0.0</v>
      </c>
      <c r="L57" s="7">
        <f>I57*Parameters!$G$24</f>
        <v>0.0</v>
      </c>
      <c r="M57" s="7">
        <f>J57+K57+L57</f>
        <v>0.07365283414240124</v>
      </c>
      <c r="N57" s="7">
        <f>C57*Parameters!$G$17+D57*Parameters!$G$18+E57*Parameters!$G$16+I57*Parameters!$G$25+G57*Parameters!$G$30</f>
        <v>0.020615843020800027</v>
      </c>
      <c r="O57" s="7">
        <f>0</f>
        <v>0</v>
      </c>
      <c r="P57" s="7">
        <f>M57-N57-O57</f>
        <v>0.05303699112160122</v>
      </c>
      <c r="Q57" s="7">
        <f>0</f>
        <v>0</v>
      </c>
      <c r="R57" s="7">
        <f>P57-Q57</f>
        <v>0.05303699112160122</v>
      </c>
      <c r="S57" s="7">
        <f>IF(A57&lt;1+Parameters!$G$31,0,INDEX($M$45:$M$80,A57-Parameters!$G$31))</f>
        <v>0.09351255179407596</v>
      </c>
      <c r="T57" s="7">
        <f>T56+M57-S57</f>
        <v>0.07365283414240124</v>
      </c>
      <c r="U57" s="7">
        <f>S57-N57-O57-Q57</f>
        <v>0.07289670877327593</v>
      </c>
      <c r="V57" s="7">
        <f>V56+U57</f>
        <v>5.781668950316836</v>
      </c>
      <c r="W57" s="7">
        <f>(1-Parameters!$G$7)*(C57-E57)+(1-Parameters!$G$8)*(D57+E57)</f>
        <v>0.013743895347200014</v>
      </c>
      <c r="X57" s="7">
        <f>Parameters!$G$7*(C57-E57)+Parameters!$G$8*Parameters!$G$9*(D57+E57)</f>
        <v>0.030617051046393694</v>
      </c>
      <c r="Y57" s="7">
        <f>Parameters!$G$8*(1-Parameters!$G$9)*(D57+E57)</f>
        <v>0.02435853034240638</v>
      </c>
      <c r="Z57" s="7">
        <f>POWER(1/(1+Parameters!$G$32),A57-1)*(M57-N57)</f>
        <v>0.04706763668125983</v>
      </c>
    </row>
    <row r="58" spans="1:26">
      <c r="A58" s="7">
        <v>14</v>
      </c>
      <c r="B58" s="7">
        <f>0</f>
        <v>0</v>
      </c>
      <c r="C58" s="7">
        <f>X57+B58</f>
        <v>0.0306170510463937</v>
      </c>
      <c r="D58" s="7">
        <f>Y57</f>
        <v>0.024358530342406377</v>
      </c>
      <c r="E58" s="7">
        <f>Parameters!$G$6*C58</f>
        <v>0.00306170510463937</v>
      </c>
      <c r="F58" s="7">
        <f>IF(Parameters!$G$5=1,E58,0)</f>
        <v>0.0</v>
      </c>
      <c r="G58" s="7">
        <f>Parameters!$G$27*G57+F58</f>
        <v>0.0</v>
      </c>
      <c r="H58" s="7">
        <f>IF(AND(Parameters!$G$5=1,Parameters!$G$26=1),SUMPRODUCT(--($A$45:A58&lt;A58),--(MOD(A58-$A$45:A58,Parameters!$G$28)=0),$F$45:F58,POWER(Parameters!$G$27,IF(A58-$A$45:A58=0,1,A58-$A$45:A58))),0)</f>
        <v>0.0</v>
      </c>
      <c r="I58" s="7">
        <f>Parameters!$G$23*I57+B58*Parameters!$G$22</f>
        <v>0.0</v>
      </c>
      <c r="J58" s="7">
        <f>E58*Parameters!$G$14*(1-Parameters!$G$15)</f>
        <v>0.05817239698814803</v>
      </c>
      <c r="K58" s="7">
        <f>H58*Parameters!$G$29</f>
        <v>0.0</v>
      </c>
      <c r="L58" s="7">
        <f>I58*Parameters!$G$24</f>
        <v>0.0</v>
      </c>
      <c r="M58" s="7">
        <f>J58+K58+L58</f>
        <v>0.05817239698814803</v>
      </c>
      <c r="N58" s="7">
        <f>C58*Parameters!$G$17+D58*Parameters!$G$18+E58*Parameters!$G$16+I58*Parameters!$G$25+G58*Parameters!$G$30</f>
        <v>0.016492674416640023</v>
      </c>
      <c r="O58" s="7">
        <f>0</f>
        <v>0</v>
      </c>
      <c r="P58" s="7">
        <f>M58-N58-O58</f>
        <v>0.04167972257150801</v>
      </c>
      <c r="Q58" s="7">
        <f>0</f>
        <v>0</v>
      </c>
      <c r="R58" s="7">
        <f>P58-Q58</f>
        <v>0.04167972257150801</v>
      </c>
      <c r="S58" s="7">
        <f>IF(A58&lt;1+Parameters!$G$31,0,INDEX($M$45:$M$80,A58-Parameters!$G$31))</f>
        <v>0.07365283414240124</v>
      </c>
      <c r="T58" s="7">
        <f>T57+M58-S58</f>
        <v>0.05817239698814803</v>
      </c>
      <c r="U58" s="7">
        <f>S58-N58-O58-Q58</f>
        <v>0.05716015972576122</v>
      </c>
      <c r="V58" s="7">
        <f>V57+U58</f>
        <v>5.838829110042597</v>
      </c>
      <c r="W58" s="7">
        <f>(1-Parameters!$G$7)*(C58-E58)+(1-Parameters!$G$8)*(D58+E58)</f>
        <v>0.010995116277760012</v>
      </c>
      <c r="X58" s="7">
        <f>Parameters!$G$7*(C58-E58)+Parameters!$G$8*Parameters!$G$9*(D58+E58)</f>
        <v>0.024237895589167127</v>
      </c>
      <c r="Y58" s="7">
        <f>Parameters!$G$8*(1-Parameters!$G$9)*(D58+E58)</f>
        <v>0.019742569521872942</v>
      </c>
      <c r="Z58" s="7">
        <f>POWER(1/(1+Parameters!$G$32),A58-1)*(M58-N58)</f>
        <v>0.036622413371634965</v>
      </c>
    </row>
    <row r="59" spans="1:26">
      <c r="A59" s="7">
        <v>15</v>
      </c>
      <c r="B59" s="7">
        <f>0</f>
        <v>0</v>
      </c>
      <c r="C59" s="7">
        <f>X58+B59</f>
        <v>0.024237895589167127</v>
      </c>
      <c r="D59" s="7">
        <f>Y58</f>
        <v>0.019742569521872942</v>
      </c>
      <c r="E59" s="7">
        <f>Parameters!$G$6*C59</f>
        <v>0.002423789558916713</v>
      </c>
      <c r="F59" s="7">
        <f>IF(Parameters!$G$5=1,E59,0)</f>
        <v>0.0</v>
      </c>
      <c r="G59" s="7">
        <f>Parameters!$G$27*G58+F59</f>
        <v>0.0</v>
      </c>
      <c r="H59" s="7">
        <f>IF(AND(Parameters!$G$5=1,Parameters!$G$26=1),SUMPRODUCT(--($A$45:A59&lt;A59),--(MOD(A59-$A$45:A59,Parameters!$G$28)=0),$F$45:F59,POWER(Parameters!$G$27,IF(A59-$A$45:A59=0,1,A59-$A$45:A59))),0)</f>
        <v>0.0</v>
      </c>
      <c r="I59" s="7">
        <f>Parameters!$G$23*I58+B59*Parameters!$G$22</f>
        <v>0.0</v>
      </c>
      <c r="J59" s="7">
        <f>E59*Parameters!$G$14*(1-Parameters!$G$15)</f>
        <v>0.04605200161941754</v>
      </c>
      <c r="K59" s="7">
        <f>H59*Parameters!$G$29</f>
        <v>0.0</v>
      </c>
      <c r="L59" s="7">
        <f>I59*Parameters!$G$24</f>
        <v>0.0</v>
      </c>
      <c r="M59" s="7">
        <f>J59+K59+L59</f>
        <v>0.04605200161941754</v>
      </c>
      <c r="N59" s="7">
        <f>C59*Parameters!$G$17+D59*Parameters!$G$18+E59*Parameters!$G$16+I59*Parameters!$G$25+G59*Parameters!$G$30</f>
        <v>0.01319413953331202</v>
      </c>
      <c r="O59" s="7">
        <f>0</f>
        <v>0</v>
      </c>
      <c r="P59" s="7">
        <f>M59-N59-O59</f>
        <v>0.03285786208610552</v>
      </c>
      <c r="Q59" s="7">
        <f>0</f>
        <v>0</v>
      </c>
      <c r="R59" s="7">
        <f>P59-Q59</f>
        <v>0.03285786208610552</v>
      </c>
      <c r="S59" s="7">
        <f>IF(A59&lt;1+Parameters!$G$31,0,INDEX($M$45:$M$80,A59-Parameters!$G$31))</f>
        <v>0.05817239698814803</v>
      </c>
      <c r="T59" s="7">
        <f>T58+M59-S59</f>
        <v>0.04605200161941754</v>
      </c>
      <c r="U59" s="7">
        <f>S59-N59-O59-Q59</f>
        <v>0.04497825745483601</v>
      </c>
      <c r="V59" s="7">
        <f>V58+U59</f>
        <v>5.8838073674974325</v>
      </c>
      <c r="W59" s="7">
        <f>(1-Parameters!$G$7)*(C59-E59)+(1-Parameters!$G$8)*(D59+E59)</f>
        <v>0.008796093022208011</v>
      </c>
      <c r="X59" s="7">
        <f>Parameters!$G$7*(C59-E59)+Parameters!$G$8*Parameters!$G$9*(D59+E59)</f>
        <v>0.019224593550663503</v>
      </c>
      <c r="Y59" s="7">
        <f>Parameters!$G$8*(1-Parameters!$G$9)*(D59+E59)</f>
        <v>0.015959778538168556</v>
      </c>
      <c r="Z59" s="7">
        <f>POWER(1/(1+Parameters!$G$32),A59-1)*(M59-N59)</f>
        <v>0.028585123274368792</v>
      </c>
    </row>
    <row r="60" spans="1:26">
      <c r="A60" s="7">
        <v>16</v>
      </c>
      <c r="B60" s="7">
        <f>0</f>
        <v>0</v>
      </c>
      <c r="C60" s="7">
        <f>X59+B60</f>
        <v>0.019224593550663506</v>
      </c>
      <c r="D60" s="7">
        <f>Y59</f>
        <v>0.015959778538168552</v>
      </c>
      <c r="E60" s="7">
        <f>Parameters!$G$6*C60</f>
        <v>0.0019224593550663507</v>
      </c>
      <c r="F60" s="7">
        <f>IF(Parameters!$G$5=1,E60,0)</f>
        <v>0.0</v>
      </c>
      <c r="G60" s="7">
        <f>Parameters!$G$27*G59+F60</f>
        <v>0.0</v>
      </c>
      <c r="H60" s="7">
        <f>IF(AND(Parameters!$G$5=1,Parameters!$G$26=1),SUMPRODUCT(--($A$45:A60&lt;A60),--(MOD(A60-$A$45:A60,Parameters!$G$28)=0),$F$45:F60,POWER(Parameters!$G$27,IF(A60-$A$45:A60=0,1,A60-$A$45:A60))),0)</f>
        <v>0.0</v>
      </c>
      <c r="I60" s="7">
        <f>Parameters!$G$23*I59+B60*Parameters!$G$22</f>
        <v>0.0</v>
      </c>
      <c r="J60" s="7">
        <f>E60*Parameters!$G$14*(1-Parameters!$G$15)</f>
        <v>0.03652672774626066</v>
      </c>
      <c r="K60" s="7">
        <f>H60*Parameters!$G$29</f>
        <v>0.0</v>
      </c>
      <c r="L60" s="7">
        <f>I60*Parameters!$G$24</f>
        <v>0.0</v>
      </c>
      <c r="M60" s="7">
        <f>J60+K60+L60</f>
        <v>0.03652672774626066</v>
      </c>
      <c r="N60" s="7">
        <f>C60*Parameters!$G$17+D60*Parameters!$G$18+E60*Parameters!$G$16+I60*Parameters!$G$25+G60*Parameters!$G$30</f>
        <v>0.010555311626649617</v>
      </c>
      <c r="O60" s="7">
        <f>0</f>
        <v>0</v>
      </c>
      <c r="P60" s="7">
        <f>M60-N60-O60</f>
        <v>0.02597141611961104</v>
      </c>
      <c r="Q60" s="7">
        <f>0</f>
        <v>0</v>
      </c>
      <c r="R60" s="7">
        <f>P60-Q60</f>
        <v>0.02597141611961104</v>
      </c>
      <c r="S60" s="7">
        <f>IF(A60&lt;1+Parameters!$G$31,0,INDEX($M$45:$M$80,A60-Parameters!$G$31))</f>
        <v>0.04605200161941754</v>
      </c>
      <c r="T60" s="7">
        <f>T59+M60-S60</f>
        <v>0.03652672774626066</v>
      </c>
      <c r="U60" s="7">
        <f>S60-N60-O60-Q60</f>
        <v>0.03549668999276792</v>
      </c>
      <c r="V60" s="7">
        <f>V59+U60</f>
        <v>5.9193040574902005</v>
      </c>
      <c r="W60" s="7">
        <f>(1-Parameters!$G$7)*(C60-E60)+(1-Parameters!$G$8)*(D60+E60)</f>
        <v>0.00703687441776641</v>
      </c>
      <c r="X60" s="7">
        <f>Parameters!$G$7*(C60-E60)+Parameters!$G$8*Parameters!$G$9*(D60+E60)</f>
        <v>0.015272286387936517</v>
      </c>
      <c r="Y60" s="7">
        <f>Parameters!$G$8*(1-Parameters!$G$9)*(D60+E60)</f>
        <v>0.01287521128312913</v>
      </c>
      <c r="Z60" s="7">
        <f>POWER(1/(1+Parameters!$G$32),A60-1)*(M60-N60)</f>
        <v>0.02237046563517626</v>
      </c>
    </row>
    <row r="61" spans="1:26">
      <c r="A61" s="7">
        <v>17</v>
      </c>
      <c r="B61" s="7">
        <f>0</f>
        <v>0</v>
      </c>
      <c r="C61" s="7">
        <f>X60+B61</f>
        <v>0.015272286387936517</v>
      </c>
      <c r="D61" s="7">
        <f>Y60</f>
        <v>0.01287521128312913</v>
      </c>
      <c r="E61" s="7">
        <f>Parameters!$G$6*C61</f>
        <v>0.001527228638793652</v>
      </c>
      <c r="F61" s="7">
        <f>IF(Parameters!$G$5=1,E61,0)</f>
        <v>0.0</v>
      </c>
      <c r="G61" s="7">
        <f>Parameters!$G$27*G60+F61</f>
        <v>0.0</v>
      </c>
      <c r="H61" s="7">
        <f>IF(AND(Parameters!$G$5=1,Parameters!$G$26=1),SUMPRODUCT(--($A$45:A61&lt;A61),--(MOD(A61-$A$45:A61,Parameters!$G$28)=0),$F$45:F61,POWER(Parameters!$G$27,IF(A61-$A$45:A61=0,1,A61-$A$45:A61))),0)</f>
        <v>0.0</v>
      </c>
      <c r="I61" s="7">
        <f>Parameters!$G$23*I60+B61*Parameters!$G$22</f>
        <v>0.0</v>
      </c>
      <c r="J61" s="7">
        <f>E61*Parameters!$G$14*(1-Parameters!$G$15)</f>
        <v>0.029017344137079387</v>
      </c>
      <c r="K61" s="7">
        <f>H61*Parameters!$G$29</f>
        <v>0.0</v>
      </c>
      <c r="L61" s="7">
        <f>I61*Parameters!$G$24</f>
        <v>0.0</v>
      </c>
      <c r="M61" s="7">
        <f>J61+K61+L61</f>
        <v>0.029017344137079387</v>
      </c>
      <c r="N61" s="7">
        <f>C61*Parameters!$G$17+D61*Parameters!$G$18+E61*Parameters!$G$16+I61*Parameters!$G$25+G61*Parameters!$G$30</f>
        <v>0.008444249301319696</v>
      </c>
      <c r="O61" s="7">
        <f>0</f>
        <v>0</v>
      </c>
      <c r="P61" s="7">
        <f>M61-N61-O61</f>
        <v>0.02057309483575969</v>
      </c>
      <c r="Q61" s="7">
        <f>0</f>
        <v>0</v>
      </c>
      <c r="R61" s="7">
        <f>P61-Q61</f>
        <v>0.02057309483575969</v>
      </c>
      <c r="S61" s="7">
        <f>IF(A61&lt;1+Parameters!$G$31,0,INDEX($M$45:$M$80,A61-Parameters!$G$31))</f>
        <v>0.03652672774626066</v>
      </c>
      <c r="T61" s="7">
        <f>T60+M61-S61</f>
        <v>0.029017344137079387</v>
      </c>
      <c r="U61" s="7">
        <f>S61-N61-O61-Q61</f>
        <v>0.028082478444940964</v>
      </c>
      <c r="V61" s="7">
        <f>V60+U61</f>
        <v>5.947386535935141</v>
      </c>
      <c r="W61" s="7">
        <f>(1-Parameters!$G$7)*(C61-E61)+(1-Parameters!$G$8)*(D61+E61)</f>
        <v>0.005629499534213128</v>
      </c>
      <c r="X61" s="7">
        <f>Parameters!$G$7*(C61-E61)+Parameters!$G$8*Parameters!$G$9*(D61+E61)</f>
        <v>0.012148241393068117</v>
      </c>
      <c r="Y61" s="7">
        <f>Parameters!$G$8*(1-Parameters!$G$9)*(D61+E61)</f>
        <v>0.010369756743784405</v>
      </c>
      <c r="Z61" s="7">
        <f>POWER(1/(1+Parameters!$G$32),A61-1)*(M61-N61)</f>
        <v>0.017545172705322815</v>
      </c>
    </row>
    <row r="62" spans="1:26">
      <c r="A62" s="7">
        <v>18</v>
      </c>
      <c r="B62" s="7">
        <f>0</f>
        <v>0</v>
      </c>
      <c r="C62" s="7">
        <f>X61+B62</f>
        <v>0.012148241393068117</v>
      </c>
      <c r="D62" s="7">
        <f>Y61</f>
        <v>0.010369756743784405</v>
      </c>
      <c r="E62" s="7">
        <f>Parameters!$G$6*C62</f>
        <v>0.0012148241393068117</v>
      </c>
      <c r="F62" s="7">
        <f>IF(Parameters!$G$5=1,E62,0)</f>
        <v>0.0</v>
      </c>
      <c r="G62" s="7">
        <f>Parameters!$G$27*G61+F62</f>
        <v>0.0</v>
      </c>
      <c r="H62" s="7">
        <f>IF(AND(Parameters!$G$5=1,Parameters!$G$26=1),SUMPRODUCT(--($A$45:A62&lt;A62),--(MOD(A62-$A$45:A62,Parameters!$G$28)=0),$F$45:F62,POWER(Parameters!$G$27,IF(A62-$A$45:A62=0,1,A62-$A$45:A62))),0)</f>
        <v>0.0</v>
      </c>
      <c r="I62" s="7">
        <f>Parameters!$G$23*I61+B62*Parameters!$G$22</f>
        <v>0.0</v>
      </c>
      <c r="J62" s="7">
        <f>E62*Parameters!$G$14*(1-Parameters!$G$15)</f>
        <v>0.02308165864682942</v>
      </c>
      <c r="K62" s="7">
        <f>H62*Parameters!$G$29</f>
        <v>0.0</v>
      </c>
      <c r="L62" s="7">
        <f>I62*Parameters!$G$24</f>
        <v>0.0</v>
      </c>
      <c r="M62" s="7">
        <f>J62+K62+L62</f>
        <v>0.02308165864682942</v>
      </c>
      <c r="N62" s="7">
        <f>C62*Parameters!$G$17+D62*Parameters!$G$18+E62*Parameters!$G$16+I62*Parameters!$G$25+G62*Parameters!$G$30</f>
        <v>0.006755399441055756</v>
      </c>
      <c r="O62" s="7">
        <f>0</f>
        <v>0</v>
      </c>
      <c r="P62" s="7">
        <f>M62-N62-O62</f>
        <v>0.016326259205773665</v>
      </c>
      <c r="Q62" s="7">
        <f>0</f>
        <v>0</v>
      </c>
      <c r="R62" s="7">
        <f>P62-Q62</f>
        <v>0.016326259205773665</v>
      </c>
      <c r="S62" s="7">
        <f>IF(A62&lt;1+Parameters!$G$31,0,INDEX($M$45:$M$80,A62-Parameters!$G$31))</f>
        <v>0.029017344137079387</v>
      </c>
      <c r="T62" s="7">
        <f>T61+M62-S62</f>
        <v>0.02308165864682942</v>
      </c>
      <c r="U62" s="7">
        <f>S62-N62-O62-Q62</f>
        <v>0.02226194469602363</v>
      </c>
      <c r="V62" s="7">
        <f>V61+U62</f>
        <v>5.969648480631165</v>
      </c>
      <c r="W62" s="7">
        <f>(1-Parameters!$G$7)*(C62-E62)+(1-Parameters!$G$8)*(D62+E62)</f>
        <v>0.004503599627370503</v>
      </c>
      <c r="X62" s="7">
        <f>Parameters!$G$7*(C62-E62)+Parameters!$G$8*Parameters!$G$9*(D62+E62)</f>
        <v>0.009673500273656342</v>
      </c>
      <c r="Y62" s="7">
        <f>Parameters!$G$8*(1-Parameters!$G$9)*(D62+E62)</f>
        <v>0.008340898235825678</v>
      </c>
      <c r="Z62" s="7">
        <f>POWER(1/(1+Parameters!$G$32),A62-1)*(M62-N62)</f>
        <v>0.013785525725718195</v>
      </c>
    </row>
    <row r="63" spans="1:26">
      <c r="A63" s="7">
        <v>19</v>
      </c>
      <c r="B63" s="7">
        <f>0</f>
        <v>0</v>
      </c>
      <c r="C63" s="7">
        <f>X62+B63</f>
        <v>0.009673500273656344</v>
      </c>
      <c r="D63" s="7">
        <f>Y62</f>
        <v>0.008340898235825676</v>
      </c>
      <c r="E63" s="7">
        <f>Parameters!$G$6*C63</f>
        <v>0.0009673500273656345</v>
      </c>
      <c r="F63" s="7">
        <f>IF(Parameters!$G$5=1,E63,0)</f>
        <v>0.0</v>
      </c>
      <c r="G63" s="7">
        <f>Parameters!$G$27*G62+F63</f>
        <v>0.0</v>
      </c>
      <c r="H63" s="7">
        <f>IF(AND(Parameters!$G$5=1,Parameters!$G$26=1),SUMPRODUCT(--($A$45:A63&lt;A63),--(MOD(A63-$A$45:A63,Parameters!$G$28)=0),$F$45:F63,POWER(Parameters!$G$27,IF(A63-$A$45:A63=0,1,A63-$A$45:A63))),0)</f>
        <v>0.0</v>
      </c>
      <c r="I63" s="7">
        <f>Parameters!$G$23*I62+B63*Parameters!$G$22</f>
        <v>0.0</v>
      </c>
      <c r="J63" s="7">
        <f>E63*Parameters!$G$14*(1-Parameters!$G$15)</f>
        <v>0.01837965051994705</v>
      </c>
      <c r="K63" s="7">
        <f>H63*Parameters!$G$29</f>
        <v>0.0</v>
      </c>
      <c r="L63" s="7">
        <f>I63*Parameters!$G$24</f>
        <v>0.0</v>
      </c>
      <c r="M63" s="7">
        <f>J63+K63+L63</f>
        <v>0.01837965051994705</v>
      </c>
      <c r="N63" s="7">
        <f>C63*Parameters!$G$17+D63*Parameters!$G$18+E63*Parameters!$G$16+I63*Parameters!$G$25+G63*Parameters!$G$30</f>
        <v>0.005404319552844606</v>
      </c>
      <c r="O63" s="7">
        <f>0</f>
        <v>0</v>
      </c>
      <c r="P63" s="7">
        <f>M63-N63-O63</f>
        <v>0.012975330967102445</v>
      </c>
      <c r="Q63" s="7">
        <f>0</f>
        <v>0</v>
      </c>
      <c r="R63" s="7">
        <f>P63-Q63</f>
        <v>0.012975330967102445</v>
      </c>
      <c r="S63" s="7">
        <f>IF(A63&lt;1+Parameters!$G$31,0,INDEX($M$45:$M$80,A63-Parameters!$G$31))</f>
        <v>0.02308165864682942</v>
      </c>
      <c r="T63" s="7">
        <f>T62+M63-S63</f>
        <v>0.01837965051994705</v>
      </c>
      <c r="U63" s="7">
        <f>S63-N63-O63-Q63</f>
        <v>0.017677339093984813</v>
      </c>
      <c r="V63" s="7">
        <f>V62+U63</f>
        <v>5.98732581972515</v>
      </c>
      <c r="W63" s="7">
        <f>(1-Parameters!$G$7)*(C63-E63)+(1-Parameters!$G$8)*(D63+E63)</f>
        <v>0.003602879701896403</v>
      </c>
      <c r="X63" s="7">
        <f>Parameters!$G$7*(C63-E63)+Parameters!$G$8*Parameters!$G$9*(D63+E63)</f>
        <v>0.007709580058087873</v>
      </c>
      <c r="Y63" s="7">
        <f>Parameters!$G$8*(1-Parameters!$G$9)*(D63+E63)</f>
        <v>0.006701938749497744</v>
      </c>
      <c r="Z63" s="7">
        <f>POWER(1/(1+Parameters!$G$32),A63-1)*(M63-N63)</f>
        <v>0.01084760134585727</v>
      </c>
    </row>
    <row r="64" spans="1:26">
      <c r="A64" s="7">
        <v>20</v>
      </c>
      <c r="B64" s="7">
        <f>0</f>
        <v>0</v>
      </c>
      <c r="C64" s="7">
        <f>X63+B64</f>
        <v>0.007709580058087874</v>
      </c>
      <c r="D64" s="7">
        <f>Y63</f>
        <v>0.006701938749497744</v>
      </c>
      <c r="E64" s="7">
        <f>Parameters!$G$6*C64</f>
        <v>0.0007709580058087875</v>
      </c>
      <c r="F64" s="7">
        <f>IF(Parameters!$G$5=1,E64,0)</f>
        <v>0.0</v>
      </c>
      <c r="G64" s="7">
        <f>Parameters!$G$27*G63+F64</f>
        <v>0.0</v>
      </c>
      <c r="H64" s="7">
        <f>IF(AND(Parameters!$G$5=1,Parameters!$G$26=1),SUMPRODUCT(--($A$45:A64&lt;A64),--(MOD(A64-$A$45:A64,Parameters!$G$28)=0),$F$45:F64,POWER(Parameters!$G$27,IF(A64-$A$45:A64=0,1,A64-$A$45:A64))),0)</f>
        <v>0.0</v>
      </c>
      <c r="I64" s="7">
        <f>Parameters!$G$23*I63+B64*Parameters!$G$22</f>
        <v>0.0</v>
      </c>
      <c r="J64" s="7">
        <f>E64*Parameters!$G$14*(1-Parameters!$G$15)</f>
        <v>0.014648202110366961</v>
      </c>
      <c r="K64" s="7">
        <f>H64*Parameters!$G$29</f>
        <v>0.0</v>
      </c>
      <c r="L64" s="7">
        <f>I64*Parameters!$G$24</f>
        <v>0.0</v>
      </c>
      <c r="M64" s="7">
        <f>J64+K64+L64</f>
        <v>0.014648202110366961</v>
      </c>
      <c r="N64" s="7">
        <f>C64*Parameters!$G$17+D64*Parameters!$G$18+E64*Parameters!$G$16+I64*Parameters!$G$25+G64*Parameters!$G$30</f>
        <v>0.004323455642275686</v>
      </c>
      <c r="O64" s="7">
        <f>0</f>
        <v>0</v>
      </c>
      <c r="P64" s="7">
        <f>M64-N64-O64</f>
        <v>0.010324746468091275</v>
      </c>
      <c r="Q64" s="7">
        <f>0</f>
        <v>0</v>
      </c>
      <c r="R64" s="7">
        <f>P64-Q64</f>
        <v>0.010324746468091275</v>
      </c>
      <c r="S64" s="7">
        <f>IF(A64&lt;1+Parameters!$G$31,0,INDEX($M$45:$M$80,A64-Parameters!$G$31))</f>
        <v>0.01837965051994705</v>
      </c>
      <c r="T64" s="7">
        <f>T63+M64-S64</f>
        <v>0.014648202110366961</v>
      </c>
      <c r="U64" s="7">
        <f>S64-N64-O64-Q64</f>
        <v>0.014056194877671365</v>
      </c>
      <c r="V64" s="7">
        <f>V63+U64</f>
        <v>6.001382014602822</v>
      </c>
      <c r="W64" s="7">
        <f>(1-Parameters!$G$7)*(C64-E64)+(1-Parameters!$G$8)*(D64+E64)</f>
        <v>0.002882303761517123</v>
      </c>
      <c r="X64" s="7">
        <f>Parameters!$G$7*(C64-E64)+Parameters!$G$8*Parameters!$G$9*(D64+E64)</f>
        <v>0.006148729382247792</v>
      </c>
      <c r="Y64" s="7">
        <f>Parameters!$G$8*(1-Parameters!$G$9)*(D64+E64)</f>
        <v>0.005380485663820704</v>
      </c>
      <c r="Z64" s="7">
        <f>POWER(1/(1+Parameters!$G$32),A64-1)*(M64-N64)</f>
        <v>0.008546204764314313</v>
      </c>
    </row>
    <row r="65" spans="1:26">
      <c r="A65" s="7">
        <v>21</v>
      </c>
      <c r="B65" s="7">
        <f>0</f>
        <v>0</v>
      </c>
      <c r="C65" s="7">
        <f>X64+B65</f>
        <v>0.006148729382247793</v>
      </c>
      <c r="D65" s="7">
        <f>Y64</f>
        <v>0.005380485663820703</v>
      </c>
      <c r="E65" s="7">
        <f>Parameters!$G$6*C65</f>
        <v>0.0006148729382247794</v>
      </c>
      <c r="F65" s="7">
        <f>IF(Parameters!$G$5=1,E65,0)</f>
        <v>0.0</v>
      </c>
      <c r="G65" s="7">
        <f>Parameters!$G$27*G64+F65</f>
        <v>0.0</v>
      </c>
      <c r="H65" s="7">
        <f>IF(AND(Parameters!$G$5=1,Parameters!$G$26=1),SUMPRODUCT(--($A$45:A65&lt;A65),--(MOD(A65-$A$45:A65,Parameters!$G$28)=0),$F$45:F65,POWER(Parameters!$G$27,IF(A65-$A$45:A65=0,1,A65-$A$45:A65))),0)</f>
        <v>0.0</v>
      </c>
      <c r="I65" s="7">
        <f>Parameters!$G$23*I64+B65*Parameters!$G$22</f>
        <v>0.0</v>
      </c>
      <c r="J65" s="7">
        <f>E65*Parameters!$G$14*(1-Parameters!$G$15)</f>
        <v>0.011682585826270808</v>
      </c>
      <c r="K65" s="7">
        <f>H65*Parameters!$G$29</f>
        <v>0.0</v>
      </c>
      <c r="L65" s="7">
        <f>I65*Parameters!$G$24</f>
        <v>0.0</v>
      </c>
      <c r="M65" s="7">
        <f>J65+K65+L65</f>
        <v>0.011682585826270808</v>
      </c>
      <c r="N65" s="7">
        <f>C65*Parameters!$G$17+D65*Parameters!$G$18+E65*Parameters!$G$16+I65*Parameters!$G$25+G65*Parameters!$G$30</f>
        <v>0.003458764513820549</v>
      </c>
      <c r="O65" s="7">
        <f>0</f>
        <v>0</v>
      </c>
      <c r="P65" s="7">
        <f>M65-N65-O65</f>
        <v>0.00822382131245026</v>
      </c>
      <c r="Q65" s="7">
        <f>0</f>
        <v>0</v>
      </c>
      <c r="R65" s="7">
        <f>P65-Q65</f>
        <v>0.00822382131245026</v>
      </c>
      <c r="S65" s="7">
        <f>IF(A65&lt;1+Parameters!$G$31,0,INDEX($M$45:$M$80,A65-Parameters!$G$31))</f>
        <v>0.014648202110366961</v>
      </c>
      <c r="T65" s="7">
        <f>T64+M65-S65</f>
        <v>0.011682585826270808</v>
      </c>
      <c r="U65" s="7">
        <f>S65-N65-O65-Q65</f>
        <v>0.011189437596546413</v>
      </c>
      <c r="V65" s="7">
        <f>V64+U65</f>
        <v>6.012571452199368</v>
      </c>
      <c r="W65" s="7">
        <f>(1-Parameters!$G$7)*(C65-E65)+(1-Parameters!$G$8)*(D65+E65)</f>
        <v>0.0023058430092136985</v>
      </c>
      <c r="X65" s="7">
        <f>Parameters!$G$7*(C65-E65)+Parameters!$G$8*Parameters!$G$9*(D65+E65)</f>
        <v>0.00490671384338205</v>
      </c>
      <c r="Y65" s="7">
        <f>Parameters!$G$8*(1-Parameters!$G$9)*(D65+E65)</f>
        <v>0.0043166581934727475</v>
      </c>
      <c r="Z65" s="7">
        <f>POWER(1/(1+Parameters!$G$32),A65-1)*(M65-N65)</f>
        <v>0.0067397872816606095</v>
      </c>
    </row>
    <row r="66" spans="1:26">
      <c r="A66" s="7">
        <v>22</v>
      </c>
      <c r="B66" s="7">
        <f>0</f>
        <v>0</v>
      </c>
      <c r="C66" s="7">
        <f>X65+B66</f>
        <v>0.00490671384338205</v>
      </c>
      <c r="D66" s="7">
        <f>Y65</f>
        <v>0.0043166581934727475</v>
      </c>
      <c r="E66" s="7">
        <f>Parameters!$G$6*C66</f>
        <v>0.0004906713843382051</v>
      </c>
      <c r="F66" s="7">
        <f>IF(Parameters!$G$5=1,E66,0)</f>
        <v>0.0</v>
      </c>
      <c r="G66" s="7">
        <f>Parameters!$G$27*G65+F66</f>
        <v>0.0</v>
      </c>
      <c r="H66" s="7">
        <f>IF(AND(Parameters!$G$5=1,Parameters!$G$26=1),SUMPRODUCT(--($A$45:A66&lt;A66),--(MOD(A66-$A$45:A66,Parameters!$G$28)=0),$F$45:F66,POWER(Parameters!$G$27,IF(A66-$A$45:A66=0,1,A66-$A$45:A66))),0)</f>
        <v>0.0</v>
      </c>
      <c r="I66" s="7">
        <f>Parameters!$G$23*I65+B66*Parameters!$G$22</f>
        <v>0.0</v>
      </c>
      <c r="J66" s="7">
        <f>E66*Parameters!$G$14*(1-Parameters!$G$15)</f>
        <v>0.009322756302425897</v>
      </c>
      <c r="K66" s="7">
        <f>H66*Parameters!$G$29</f>
        <v>0.0</v>
      </c>
      <c r="L66" s="7">
        <f>I66*Parameters!$G$24</f>
        <v>0.0</v>
      </c>
      <c r="M66" s="7">
        <f>J66+K66+L66</f>
        <v>0.009322756302425897</v>
      </c>
      <c r="N66" s="7">
        <f>C66*Parameters!$G$17+D66*Parameters!$G$18+E66*Parameters!$G$16+I66*Parameters!$G$25+G66*Parameters!$G$30</f>
        <v>0.0027670116110564396</v>
      </c>
      <c r="O66" s="7">
        <f>0</f>
        <v>0</v>
      </c>
      <c r="P66" s="7">
        <f>M66-N66-O66</f>
        <v>0.006555744691369457</v>
      </c>
      <c r="Q66" s="7">
        <f>0</f>
        <v>0</v>
      </c>
      <c r="R66" s="7">
        <f>P66-Q66</f>
        <v>0.006555744691369457</v>
      </c>
      <c r="S66" s="7">
        <f>IF(A66&lt;1+Parameters!$G$31,0,INDEX($M$45:$M$80,A66-Parameters!$G$31))</f>
        <v>0.011682585826270808</v>
      </c>
      <c r="T66" s="7">
        <f>T65+M66-S66</f>
        <v>0.009322756302425897</v>
      </c>
      <c r="U66" s="7">
        <f>S66-N66-O66-Q66</f>
        <v>0.008915574215214368</v>
      </c>
      <c r="V66" s="7">
        <f>V65+U66</f>
        <v>6.021487026414582</v>
      </c>
      <c r="W66" s="7">
        <f>(1-Parameters!$G$7)*(C66-E66)+(1-Parameters!$G$8)*(D66+E66)</f>
        <v>0.0018446744073709592</v>
      </c>
      <c r="X66" s="7">
        <f>Parameters!$G$7*(C66-E66)+Parameters!$G$8*Parameters!$G$9*(D66+E66)</f>
        <v>0.003917420333459952</v>
      </c>
      <c r="Y66" s="7">
        <f>Parameters!$G$8*(1-Parameters!$G$9)*(D66+E66)</f>
        <v>0.0034612772960238864</v>
      </c>
      <c r="Z66" s="7">
        <f>POWER(1/(1+Parameters!$G$32),A66-1)*(M66-N66)</f>
        <v>0.005319529020549423</v>
      </c>
    </row>
    <row r="67" spans="1:26">
      <c r="A67" s="7">
        <v>23</v>
      </c>
      <c r="B67" s="7">
        <f>0</f>
        <v>0</v>
      </c>
      <c r="C67" s="7">
        <f>X66+B67</f>
        <v>0.003917420333459953</v>
      </c>
      <c r="D67" s="7">
        <f>Y66</f>
        <v>0.003461277296023886</v>
      </c>
      <c r="E67" s="7">
        <f>Parameters!$G$6*C67</f>
        <v>0.0003917420333459953</v>
      </c>
      <c r="F67" s="7">
        <f>IF(Parameters!$G$5=1,E67,0)</f>
        <v>0.0</v>
      </c>
      <c r="G67" s="7">
        <f>Parameters!$G$27*G66+F67</f>
        <v>0.0</v>
      </c>
      <c r="H67" s="7">
        <f>IF(AND(Parameters!$G$5=1,Parameters!$G$26=1),SUMPRODUCT(--($A$45:A67&lt;A67),--(MOD(A67-$A$45:A67,Parameters!$G$28)=0),$F$45:F67,POWER(Parameters!$G$27,IF(A67-$A$45:A67=0,1,A67-$A$45:A67))),0)</f>
        <v>0.0</v>
      </c>
      <c r="I67" s="7">
        <f>Parameters!$G$23*I66+B67*Parameters!$G$22</f>
        <v>0.0</v>
      </c>
      <c r="J67" s="7">
        <f>E67*Parameters!$G$14*(1-Parameters!$G$15)</f>
        <v>0.00744309863357391</v>
      </c>
      <c r="K67" s="7">
        <f>H67*Parameters!$G$29</f>
        <v>0.0</v>
      </c>
      <c r="L67" s="7">
        <f>I67*Parameters!$G$24</f>
        <v>0.0</v>
      </c>
      <c r="M67" s="7">
        <f>J67+K67+L67</f>
        <v>0.00744309863357391</v>
      </c>
      <c r="N67" s="7">
        <f>C67*Parameters!$G$17+D67*Parameters!$G$18+E67*Parameters!$G$16+I67*Parameters!$G$25+G67*Parameters!$G$30</f>
        <v>0.002213609288845152</v>
      </c>
      <c r="O67" s="7">
        <f>0</f>
        <v>0</v>
      </c>
      <c r="P67" s="7">
        <f>M67-N67-O67</f>
        <v>0.005229489344728758</v>
      </c>
      <c r="Q67" s="7">
        <f>0</f>
        <v>0</v>
      </c>
      <c r="R67" s="7">
        <f>P67-Q67</f>
        <v>0.005229489344728758</v>
      </c>
      <c r="S67" s="7">
        <f>IF(A67&lt;1+Parameters!$G$31,0,INDEX($M$45:$M$80,A67-Parameters!$G$31))</f>
        <v>0.009322756302425897</v>
      </c>
      <c r="T67" s="7">
        <f>T66+M67-S67</f>
        <v>0.00744309863357391</v>
      </c>
      <c r="U67" s="7">
        <f>S67-N67-O67-Q67</f>
        <v>0.007109147013580745</v>
      </c>
      <c r="V67" s="7">
        <f>V66+U67</f>
        <v>6.028596173428163</v>
      </c>
      <c r="W67" s="7">
        <f>(1-Parameters!$G$7)*(C67-E67)+(1-Parameters!$G$8)*(D67+E67)</f>
        <v>0.0014757395258967673</v>
      </c>
      <c r="X67" s="7">
        <f>Parameters!$G$7*(C67-E67)+Parameters!$G$8*Parameters!$G$9*(D67+E67)</f>
        <v>0.003128784186440757</v>
      </c>
      <c r="Y67" s="7">
        <f>Parameters!$G$8*(1-Parameters!$G$9)*(D67+E67)</f>
        <v>0.0027741739171463146</v>
      </c>
      <c r="Z67" s="7">
        <f>POWER(1/(1+Parameters!$G$32),A67-1)*(M67-N67)</f>
        <v>0.004201351901931438</v>
      </c>
    </row>
    <row r="68" spans="1:26">
      <c r="A68" s="7">
        <v>24</v>
      </c>
      <c r="B68" s="7">
        <f>0</f>
        <v>0</v>
      </c>
      <c r="C68" s="7">
        <f>X67+B68</f>
        <v>0.003128784186440757</v>
      </c>
      <c r="D68" s="7">
        <f>Y67</f>
        <v>0.0027741739171463146</v>
      </c>
      <c r="E68" s="7">
        <f>Parameters!$G$6*C68</f>
        <v>0.0003128784186440757</v>
      </c>
      <c r="F68" s="7">
        <f>IF(Parameters!$G$5=1,E68,0)</f>
        <v>0.0</v>
      </c>
      <c r="G68" s="7">
        <f>Parameters!$G$27*G67+F68</f>
        <v>0.0</v>
      </c>
      <c r="H68" s="7">
        <f>IF(AND(Parameters!$G$5=1,Parameters!$G$26=1),SUMPRODUCT(--($A$45:A68&lt;A68),--(MOD(A68-$A$45:A68,Parameters!$G$28)=0),$F$45:F68,POWER(Parameters!$G$27,IF(A68-$A$45:A68=0,1,A68-$A$45:A68))),0)</f>
        <v>0.0</v>
      </c>
      <c r="I68" s="7">
        <f>Parameters!$G$23*I67+B68*Parameters!$G$22</f>
        <v>0.0</v>
      </c>
      <c r="J68" s="7">
        <f>E68*Parameters!$G$14*(1-Parameters!$G$15)</f>
        <v>0.005944689954237439</v>
      </c>
      <c r="K68" s="7">
        <f>H68*Parameters!$G$29</f>
        <v>0.0</v>
      </c>
      <c r="L68" s="7">
        <f>I68*Parameters!$G$24</f>
        <v>0.0</v>
      </c>
      <c r="M68" s="7">
        <f>J68+K68+L68</f>
        <v>0.005944689954237439</v>
      </c>
      <c r="N68" s="7">
        <f>C68*Parameters!$G$17+D68*Parameters!$G$18+E68*Parameters!$G$16+I68*Parameters!$G$25+G68*Parameters!$G$30</f>
        <v>0.0017708874310761217</v>
      </c>
      <c r="O68" s="7">
        <f>0</f>
        <v>0</v>
      </c>
      <c r="P68" s="7">
        <f>M68-N68-O68</f>
        <v>0.004173802523161317</v>
      </c>
      <c r="Q68" s="7">
        <f>0</f>
        <v>0</v>
      </c>
      <c r="R68" s="7">
        <f>P68-Q68</f>
        <v>0.004173802523161317</v>
      </c>
      <c r="S68" s="7">
        <f>IF(A68&lt;1+Parameters!$G$31,0,INDEX($M$45:$M$80,A68-Parameters!$G$31))</f>
        <v>0.00744309863357391</v>
      </c>
      <c r="T68" s="7">
        <f>T67+M68-S68</f>
        <v>0.005944689954237439</v>
      </c>
      <c r="U68" s="7">
        <f>S68-N68-O68-Q68</f>
        <v>0.005672211202497788</v>
      </c>
      <c r="V68" s="7">
        <f>V67+U68</f>
        <v>6.034268384630661</v>
      </c>
      <c r="W68" s="7">
        <f>(1-Parameters!$G$7)*(C68-E68)+(1-Parameters!$G$8)*(D68+E68)</f>
        <v>0.001180591620717414</v>
      </c>
      <c r="X68" s="7">
        <f>Parameters!$G$7*(C68-E68)+Parameters!$G$8*Parameters!$G$9*(D68+E68)</f>
        <v>0.002499688801100576</v>
      </c>
      <c r="Y68" s="7">
        <f>Parameters!$G$8*(1-Parameters!$G$9)*(D68+E68)</f>
        <v>0.002222677681769081</v>
      </c>
      <c r="Z68" s="7">
        <f>POWER(1/(1+Parameters!$G$32),A68-1)*(M68-N68)</f>
        <v>0.0033200169446954905</v>
      </c>
    </row>
    <row r="69" spans="1:26">
      <c r="A69" s="7">
        <v>25</v>
      </c>
      <c r="B69" s="7">
        <f>0</f>
        <v>0</v>
      </c>
      <c r="C69" s="7">
        <f>X68+B69</f>
        <v>0.0024996888011005764</v>
      </c>
      <c r="D69" s="7">
        <f>Y68</f>
        <v>0.0022226776817690815</v>
      </c>
      <c r="E69" s="7">
        <f>Parameters!$G$6*C69</f>
        <v>0.00024996888011005763</v>
      </c>
      <c r="F69" s="7">
        <f>IF(Parameters!$G$5=1,E69,0)</f>
        <v>0.0</v>
      </c>
      <c r="G69" s="7">
        <f>Parameters!$G$27*G68+F69</f>
        <v>0.0</v>
      </c>
      <c r="H69" s="7">
        <f>IF(AND(Parameters!$G$5=1,Parameters!$G$26=1),SUMPRODUCT(--($A$45:A69&lt;A69),--(MOD(A69-$A$45:A69,Parameters!$G$28)=0),$F$45:F69,POWER(Parameters!$G$27,IF(A69-$A$45:A69=0,1,A69-$A$45:A69))),0)</f>
        <v>0.0</v>
      </c>
      <c r="I69" s="7">
        <f>Parameters!$G$23*I68+B69*Parameters!$G$22</f>
        <v>0.0</v>
      </c>
      <c r="J69" s="7">
        <f>E69*Parameters!$G$14*(1-Parameters!$G$15)</f>
        <v>0.004749408722091095</v>
      </c>
      <c r="K69" s="7">
        <f>H69*Parameters!$G$29</f>
        <v>0.0</v>
      </c>
      <c r="L69" s="7">
        <f>I69*Parameters!$G$24</f>
        <v>0.0</v>
      </c>
      <c r="M69" s="7">
        <f>J69+K69+L69</f>
        <v>0.004749408722091095</v>
      </c>
      <c r="N69" s="7">
        <f>C69*Parameters!$G$17+D69*Parameters!$G$18+E69*Parameters!$G$16+I69*Parameters!$G$25+G69*Parameters!$G$30</f>
        <v>0.0014167099448608974</v>
      </c>
      <c r="O69" s="7">
        <f>0</f>
        <v>0</v>
      </c>
      <c r="P69" s="7">
        <f>M69-N69-O69</f>
        <v>0.003332698777230198</v>
      </c>
      <c r="Q69" s="7">
        <f>0</f>
        <v>0</v>
      </c>
      <c r="R69" s="7">
        <f>P69-Q69</f>
        <v>0.003332698777230198</v>
      </c>
      <c r="S69" s="7">
        <f>IF(A69&lt;1+Parameters!$G$31,0,INDEX($M$45:$M$80,A69-Parameters!$G$31))</f>
        <v>0.005944689954237439</v>
      </c>
      <c r="T69" s="7">
        <f>T68+M69-S69</f>
        <v>0.004749408722091095</v>
      </c>
      <c r="U69" s="7">
        <f>S69-N69-O69-Q69</f>
        <v>0.004527980009376541</v>
      </c>
      <c r="V69" s="7">
        <f>V68+U69</f>
        <v>6.038796364640037</v>
      </c>
      <c r="W69" s="7">
        <f>(1-Parameters!$G$7)*(C69-E69)+(1-Parameters!$G$8)*(D69+E69)</f>
        <v>0.0009444732965739314</v>
      </c>
      <c r="X69" s="7">
        <f>Parameters!$G$7*(C69-E69)+Parameters!$G$8*Parameters!$G$9*(D69+E69)</f>
        <v>0.0019975876617427464</v>
      </c>
      <c r="Y69" s="7">
        <f>Parameters!$G$8*(1-Parameters!$G$9)*(D69+E69)</f>
        <v>0.0017803055245529803</v>
      </c>
      <c r="Z69" s="7">
        <f>POWER(1/(1+Parameters!$G$32),A69-1)*(M69-N69)</f>
        <v>0.0026247206698529583</v>
      </c>
    </row>
    <row r="70" spans="1:26">
      <c r="A70" s="7">
        <v>26</v>
      </c>
      <c r="B70" s="7">
        <f>0</f>
        <v>0</v>
      </c>
      <c r="C70" s="7">
        <f>X69+B70</f>
        <v>0.0019975876617427464</v>
      </c>
      <c r="D70" s="7">
        <f>Y69</f>
        <v>0.0017803055245529803</v>
      </c>
      <c r="E70" s="7">
        <f>Parameters!$G$6*C70</f>
        <v>0.00019975876617427465</v>
      </c>
      <c r="F70" s="7">
        <f>IF(Parameters!$G$5=1,E70,0)</f>
        <v>0.0</v>
      </c>
      <c r="G70" s="7">
        <f>Parameters!$G$27*G69+F70</f>
        <v>0.0</v>
      </c>
      <c r="H70" s="7">
        <f>IF(AND(Parameters!$G$5=1,Parameters!$G$26=1),SUMPRODUCT(--($A$45:A70&lt;A70),--(MOD(A70-$A$45:A70,Parameters!$G$28)=0),$F$45:F70,POWER(Parameters!$G$27,IF(A70-$A$45:A70=0,1,A70-$A$45:A70))),0)</f>
        <v>0.0</v>
      </c>
      <c r="I70" s="7">
        <f>Parameters!$G$23*I69+B70*Parameters!$G$22</f>
        <v>0.0</v>
      </c>
      <c r="J70" s="7">
        <f>E70*Parameters!$G$14*(1-Parameters!$G$15)</f>
        <v>0.003795416557311218</v>
      </c>
      <c r="K70" s="7">
        <f>H70*Parameters!$G$29</f>
        <v>0.0</v>
      </c>
      <c r="L70" s="7">
        <f>I70*Parameters!$G$24</f>
        <v>0.0</v>
      </c>
      <c r="M70" s="7">
        <f>J70+K70+L70</f>
        <v>0.003795416557311218</v>
      </c>
      <c r="N70" s="7">
        <f>C70*Parameters!$G$17+D70*Parameters!$G$18+E70*Parameters!$G$16+I70*Parameters!$G$25+G70*Parameters!$G$30</f>
        <v>0.001133367955888718</v>
      </c>
      <c r="O70" s="7">
        <f>0</f>
        <v>0</v>
      </c>
      <c r="P70" s="7">
        <f>M70-N70-O70</f>
        <v>0.0026620486014224997</v>
      </c>
      <c r="Q70" s="7">
        <f>0</f>
        <v>0</v>
      </c>
      <c r="R70" s="7">
        <f>P70-Q70</f>
        <v>0.0026620486014224997</v>
      </c>
      <c r="S70" s="7">
        <f>IF(A70&lt;1+Parameters!$G$31,0,INDEX($M$45:$M$80,A70-Parameters!$G$31))</f>
        <v>0.004749408722091095</v>
      </c>
      <c r="T70" s="7">
        <f>T69+M70-S70</f>
        <v>0.003795416557311218</v>
      </c>
      <c r="U70" s="7">
        <f>S70-N70-O70-Q70</f>
        <v>0.0036160407662023776</v>
      </c>
      <c r="V70" s="7">
        <f>V69+U70</f>
        <v>6.042412405406239</v>
      </c>
      <c r="W70" s="7">
        <f>(1-Parameters!$G$7)*(C70-E70)+(1-Parameters!$G$8)*(D70+E70)</f>
        <v>0.0007555786372591452</v>
      </c>
      <c r="X70" s="7">
        <f>Parameters!$G$7*(C70-E70)+Parameters!$G$8*Parameters!$G$9*(D70+E70)</f>
        <v>0.001596668259712958</v>
      </c>
      <c r="Y70" s="7">
        <f>Parameters!$G$8*(1-Parameters!$G$9)*(D70+E70)</f>
        <v>0.0014256462893236237</v>
      </c>
      <c r="Z70" s="7">
        <f>POWER(1/(1+Parameters!$G$32),A70-1)*(M70-N70)</f>
        <v>0.0020757814931050013</v>
      </c>
    </row>
    <row r="71" spans="1:26">
      <c r="A71" s="7">
        <v>27</v>
      </c>
      <c r="B71" s="7">
        <f>0</f>
        <v>0</v>
      </c>
      <c r="C71" s="7">
        <f>X70+B71</f>
        <v>0.001596668259712958</v>
      </c>
      <c r="D71" s="7">
        <f>Y70</f>
        <v>0.0014256462893236237</v>
      </c>
      <c r="E71" s="7">
        <f>Parameters!$G$6*C71</f>
        <v>0.00015966682597129582</v>
      </c>
      <c r="F71" s="7">
        <f>IF(Parameters!$G$5=1,E71,0)</f>
        <v>0.0</v>
      </c>
      <c r="G71" s="7">
        <f>Parameters!$G$27*G70+F71</f>
        <v>0.0</v>
      </c>
      <c r="H71" s="7">
        <f>IF(AND(Parameters!$G$5=1,Parameters!$G$26=1),SUMPRODUCT(--($A$45:A71&lt;A71),--(MOD(A71-$A$45:A71,Parameters!$G$28)=0),$F$45:F71,POWER(Parameters!$G$27,IF(A71-$A$45:A71=0,1,A71-$A$45:A71))),0)</f>
        <v>0.0</v>
      </c>
      <c r="I71" s="7">
        <f>Parameters!$G$23*I70+B71*Parameters!$G$22</f>
        <v>0.0</v>
      </c>
      <c r="J71" s="7">
        <f>E71*Parameters!$G$14*(1-Parameters!$G$15)</f>
        <v>0.0030336696934546207</v>
      </c>
      <c r="K71" s="7">
        <f>H71*Parameters!$G$29</f>
        <v>0.0</v>
      </c>
      <c r="L71" s="7">
        <f>I71*Parameters!$G$24</f>
        <v>0.0</v>
      </c>
      <c r="M71" s="7">
        <f>J71+K71+L71</f>
        <v>0.0030336696934546207</v>
      </c>
      <c r="N71" s="7">
        <f>C71*Parameters!$G$17+D71*Parameters!$G$18+E71*Parameters!$G$16+I71*Parameters!$G$25+G71*Parameters!$G$30</f>
        <v>0.0009066943647109745</v>
      </c>
      <c r="O71" s="7">
        <f>0</f>
        <v>0</v>
      </c>
      <c r="P71" s="7">
        <f>M71-N71-O71</f>
        <v>0.002126975328743646</v>
      </c>
      <c r="Q71" s="7">
        <f>0</f>
        <v>0</v>
      </c>
      <c r="R71" s="7">
        <f>P71-Q71</f>
        <v>0.002126975328743646</v>
      </c>
      <c r="S71" s="7">
        <f>IF(A71&lt;1+Parameters!$G$31,0,INDEX($M$45:$M$80,A71-Parameters!$G$31))</f>
        <v>0.003795416557311218</v>
      </c>
      <c r="T71" s="7">
        <f>T70+M71-S71</f>
        <v>0.0030336696934546207</v>
      </c>
      <c r="U71" s="7">
        <f>S71-N71-O71-Q71</f>
        <v>0.0028887221926002433</v>
      </c>
      <c r="V71" s="7">
        <f>V70+U71</f>
        <v>6.045301127598839</v>
      </c>
      <c r="W71" s="7">
        <f>(1-Parameters!$G$7)*(C71-E71)+(1-Parameters!$G$8)*(D71+E71)</f>
        <v>0.0006044629098073162</v>
      </c>
      <c r="X71" s="7">
        <f>Parameters!$G$7*(C71-E71)+Parameters!$G$8*Parameters!$G$9*(D71+E71)</f>
        <v>0.0012764261962169233</v>
      </c>
      <c r="Y71" s="7">
        <f>Parameters!$G$8*(1-Parameters!$G$9)*(D71+E71)</f>
        <v>0.0011414254430123423</v>
      </c>
      <c r="Z71" s="7">
        <f>POWER(1/(1+Parameters!$G$32),A71-1)*(M71-N71)</f>
        <v>0.0016421269706738848</v>
      </c>
    </row>
    <row r="72" spans="1:26">
      <c r="A72" s="7">
        <v>28</v>
      </c>
      <c r="B72" s="7">
        <f>0</f>
        <v>0</v>
      </c>
      <c r="C72" s="7">
        <f>X71+B72</f>
        <v>0.0012764261962169233</v>
      </c>
      <c r="D72" s="7">
        <f>Y71</f>
        <v>0.0011414254430123423</v>
      </c>
      <c r="E72" s="7">
        <f>Parameters!$G$6*C72</f>
        <v>0.00012764261962169233</v>
      </c>
      <c r="F72" s="7">
        <f>IF(Parameters!$G$5=1,E72,0)</f>
        <v>0.0</v>
      </c>
      <c r="G72" s="7">
        <f>Parameters!$G$27*G71+F72</f>
        <v>0.0</v>
      </c>
      <c r="H72" s="7">
        <f>IF(AND(Parameters!$G$5=1,Parameters!$G$26=1),SUMPRODUCT(--($A$45:A72&lt;A72),--(MOD(A72-$A$45:A72,Parameters!$G$28)=0),$F$45:F72,POWER(Parameters!$G$27,IF(A72-$A$45:A72=0,1,A72-$A$45:A72))),0)</f>
        <v>0.0</v>
      </c>
      <c r="I72" s="7">
        <f>Parameters!$G$23*I71+B72*Parameters!$G$22</f>
        <v>0.0</v>
      </c>
      <c r="J72" s="7">
        <f>E72*Parameters!$G$14*(1-Parameters!$G$15)</f>
        <v>0.0024252097728121543</v>
      </c>
      <c r="K72" s="7">
        <f>H72*Parameters!$G$29</f>
        <v>0.0</v>
      </c>
      <c r="L72" s="7">
        <f>I72*Parameters!$G$24</f>
        <v>0.0</v>
      </c>
      <c r="M72" s="7">
        <f>J72+K72+L72</f>
        <v>0.0024252097728121543</v>
      </c>
      <c r="N72" s="7">
        <f>C72*Parameters!$G$17+D72*Parameters!$G$18+E72*Parameters!$G$16+I72*Parameters!$G$25+G72*Parameters!$G$30</f>
        <v>0.0007253554917687797</v>
      </c>
      <c r="O72" s="7">
        <f>0</f>
        <v>0</v>
      </c>
      <c r="P72" s="7">
        <f>M72-N72-O72</f>
        <v>0.0016998542810433745</v>
      </c>
      <c r="Q72" s="7">
        <f>0</f>
        <v>0</v>
      </c>
      <c r="R72" s="7">
        <f>P72-Q72</f>
        <v>0.0016998542810433745</v>
      </c>
      <c r="S72" s="7">
        <f>IF(A72&lt;1+Parameters!$G$31,0,INDEX($M$45:$M$80,A72-Parameters!$G$31))</f>
        <v>0.0030336696934546207</v>
      </c>
      <c r="T72" s="7">
        <f>T71+M72-S72</f>
        <v>0.0024252097728121543</v>
      </c>
      <c r="U72" s="7">
        <f>S72-N72-O72-Q72</f>
        <v>0.002308314201685841</v>
      </c>
      <c r="V72" s="7">
        <f>V71+U72</f>
        <v>6.0476094418005255</v>
      </c>
      <c r="W72" s="7">
        <f>(1-Parameters!$G$7)*(C72-E72)+(1-Parameters!$G$8)*(D72+E72)</f>
        <v>0.000483570327845853</v>
      </c>
      <c r="X72" s="7">
        <f>Parameters!$G$7*(C72-E72)+Parameters!$G$8*Parameters!$G$9*(D72+E72)</f>
        <v>0.0010205523062869076</v>
      </c>
      <c r="Y72" s="7">
        <f>Parameters!$G$8*(1-Parameters!$G$9)*(D72+E72)</f>
        <v>0.000913729005096505</v>
      </c>
      <c r="Z72" s="7">
        <f>POWER(1/(1+Parameters!$G$32),A72-1)*(M72-N72)</f>
        <v>0.001299375282860023</v>
      </c>
    </row>
    <row r="73" spans="1:26">
      <c r="A73" s="7">
        <v>29</v>
      </c>
      <c r="B73" s="7">
        <f>0</f>
        <v>0</v>
      </c>
      <c r="C73" s="7">
        <f>X72+B73</f>
        <v>0.0010205523062869078</v>
      </c>
      <c r="D73" s="7">
        <f>Y72</f>
        <v>0.0009137290050965051</v>
      </c>
      <c r="E73" s="7">
        <f>Parameters!$G$6*C73</f>
        <v>0.00010205523062869078</v>
      </c>
      <c r="F73" s="7">
        <f>IF(Parameters!$G$5=1,E73,0)</f>
        <v>0.0</v>
      </c>
      <c r="G73" s="7">
        <f>Parameters!$G$27*G72+F73</f>
        <v>0.0</v>
      </c>
      <c r="H73" s="7">
        <f>IF(AND(Parameters!$G$5=1,Parameters!$G$26=1),SUMPRODUCT(--($A$45:A73&lt;A73),--(MOD(A73-$A$45:A73,Parameters!$G$28)=0),$F$45:F73,POWER(Parameters!$G$27,IF(A73-$A$45:A73=0,1,A73-$A$45:A73))),0)</f>
        <v>0.0</v>
      </c>
      <c r="I73" s="7">
        <f>Parameters!$G$23*I72+B73*Parameters!$G$22</f>
        <v>0.0</v>
      </c>
      <c r="J73" s="7">
        <f>E73*Parameters!$G$14*(1-Parameters!$G$15)</f>
        <v>0.0019390493819451248</v>
      </c>
      <c r="K73" s="7">
        <f>H73*Parameters!$G$29</f>
        <v>0.0</v>
      </c>
      <c r="L73" s="7">
        <f>I73*Parameters!$G$24</f>
        <v>0.0</v>
      </c>
      <c r="M73" s="7">
        <f>J73+K73+L73</f>
        <v>0.0019390493819451248</v>
      </c>
      <c r="N73" s="7">
        <f>C73*Parameters!$G$17+D73*Parameters!$G$18+E73*Parameters!$G$16+I73*Parameters!$G$25+G73*Parameters!$G$30</f>
        <v>0.0005802843934150239</v>
      </c>
      <c r="O73" s="7">
        <f>0</f>
        <v>0</v>
      </c>
      <c r="P73" s="7">
        <f>M73-N73-O73</f>
        <v>0.0013587649885301008</v>
      </c>
      <c r="Q73" s="7">
        <f>0</f>
        <v>0</v>
      </c>
      <c r="R73" s="7">
        <f>P73-Q73</f>
        <v>0.0013587649885301008</v>
      </c>
      <c r="S73" s="7">
        <f>IF(A73&lt;1+Parameters!$G$31,0,INDEX($M$45:$M$80,A73-Parameters!$G$31))</f>
        <v>0.0024252097728121543</v>
      </c>
      <c r="T73" s="7">
        <f>T72+M73-S73</f>
        <v>0.0019390493819451248</v>
      </c>
      <c r="U73" s="7">
        <f>S73-N73-O73-Q73</f>
        <v>0.0018449253793971303</v>
      </c>
      <c r="V73" s="7">
        <f>V72+U73</f>
        <v>6.049454367179923</v>
      </c>
      <c r="W73" s="7">
        <f>(1-Parameters!$G$7)*(C73-E73)+(1-Parameters!$G$8)*(D73+E73)</f>
        <v>0.0003868562622766825</v>
      </c>
      <c r="X73" s="7">
        <f>Parameters!$G$7*(C73-E73)+Parameters!$G$8*Parameters!$G$9*(D73+E73)</f>
        <v>0.0008160603993845894</v>
      </c>
      <c r="Y73" s="7">
        <f>Parameters!$G$8*(1-Parameters!$G$9)*(D73+E73)</f>
        <v>0.0007313646497221412</v>
      </c>
      <c r="Z73" s="7">
        <f>POWER(1/(1+Parameters!$G$32),A73-1)*(M73-N73)</f>
        <v>0.0010283616724632732</v>
      </c>
    </row>
    <row r="74" spans="1:26">
      <c r="A74" s="7">
        <v>30</v>
      </c>
      <c r="B74" s="7">
        <f>0</f>
        <v>0</v>
      </c>
      <c r="C74" s="7">
        <f>X73+B74</f>
        <v>0.0008160603993845894</v>
      </c>
      <c r="D74" s="7">
        <f>Y73</f>
        <v>0.0007313646497221412</v>
      </c>
      <c r="E74" s="7">
        <f>Parameters!$G$6*C74</f>
        <v>8.160603993845894e-05</v>
      </c>
      <c r="F74" s="7">
        <f>IF(Parameters!$G$5=1,E74,0)</f>
        <v>0.0</v>
      </c>
      <c r="G74" s="7">
        <f>Parameters!$G$27*G73+F74</f>
        <v>0.0</v>
      </c>
      <c r="H74" s="7">
        <f>IF(AND(Parameters!$G$5=1,Parameters!$G$26=1),SUMPRODUCT(--($A$45:A74&lt;A74),--(MOD(A74-$A$45:A74,Parameters!$G$28)=0),$F$45:F74,POWER(Parameters!$G$27,IF(A74-$A$45:A74=0,1,A74-$A$45:A74))),0)</f>
        <v>0.0</v>
      </c>
      <c r="I74" s="7">
        <f>Parameters!$G$23*I73+B74*Parameters!$G$22</f>
        <v>0.0</v>
      </c>
      <c r="J74" s="7">
        <f>E74*Parameters!$G$14*(1-Parameters!$G$15)</f>
        <v>0.0015505147588307198</v>
      </c>
      <c r="K74" s="7">
        <f>H74*Parameters!$G$29</f>
        <v>0.0</v>
      </c>
      <c r="L74" s="7">
        <f>I74*Parameters!$G$24</f>
        <v>0.0</v>
      </c>
      <c r="M74" s="7">
        <f>J74+K74+L74</f>
        <v>0.0015505147588307198</v>
      </c>
      <c r="N74" s="7">
        <f>C74*Parameters!$G$17+D74*Parameters!$G$18+E74*Parameters!$G$16+I74*Parameters!$G$25+G74*Parameters!$G$30</f>
        <v>0.00046422751473201916</v>
      </c>
      <c r="O74" s="7">
        <f>0</f>
        <v>0</v>
      </c>
      <c r="P74" s="7">
        <f>M74-N74-O74</f>
        <v>0.0010862872440987007</v>
      </c>
      <c r="Q74" s="7">
        <f>0</f>
        <v>0</v>
      </c>
      <c r="R74" s="7">
        <f>P74-Q74</f>
        <v>0.0010862872440987007</v>
      </c>
      <c r="S74" s="7">
        <f>IF(A74&lt;1+Parameters!$G$31,0,INDEX($M$45:$M$80,A74-Parameters!$G$31))</f>
        <v>0.0019390493819451248</v>
      </c>
      <c r="T74" s="7">
        <f>T73+M74-S74</f>
        <v>0.0015505147588307198</v>
      </c>
      <c r="U74" s="7">
        <f>S74-N74-O74-Q74</f>
        <v>0.0014748218672131057</v>
      </c>
      <c r="V74" s="7">
        <f>V73+U74</f>
        <v>6.050929189047136</v>
      </c>
      <c r="W74" s="7">
        <f>(1-Parameters!$G$7)*(C74-E74)+(1-Parameters!$G$8)*(D74+E74)</f>
        <v>0.00030948500982134607</v>
      </c>
      <c r="X74" s="7">
        <f>Parameters!$G$7*(C74-E74)+Parameters!$G$8*Parameters!$G$9*(D74+E74)</f>
        <v>0.0006526011427297524</v>
      </c>
      <c r="Y74" s="7">
        <f>Parameters!$G$8*(1-Parameters!$G$9)*(D74+E74)</f>
        <v>0.0005853388965556322</v>
      </c>
      <c r="Z74" s="7">
        <f>POWER(1/(1+Parameters!$G$32),A74-1)*(M74-N74)</f>
        <v>0.0008140008157136084</v>
      </c>
    </row>
    <row r="75" spans="1:26">
      <c r="A75" s="7">
        <v>31</v>
      </c>
      <c r="B75" s="7">
        <f>0</f>
        <v>0</v>
      </c>
      <c r="C75" s="7">
        <f>X74+B75</f>
        <v>0.0006526011427297524</v>
      </c>
      <c r="D75" s="7">
        <f>Y74</f>
        <v>0.0005853388965556322</v>
      </c>
      <c r="E75" s="7">
        <f>Parameters!$G$6*C75</f>
        <v>6.526011427297525e-05</v>
      </c>
      <c r="F75" s="7">
        <f>IF(Parameters!$G$5=1,E75,0)</f>
        <v>0.0</v>
      </c>
      <c r="G75" s="7">
        <f>Parameters!$G$27*G74+F75</f>
        <v>0.0</v>
      </c>
      <c r="H75" s="7">
        <f>IF(AND(Parameters!$G$5=1,Parameters!$G$26=1),SUMPRODUCT(--($A$45:A75&lt;A75),--(MOD(A75-$A$45:A75,Parameters!$G$28)=0),$F$45:F75,POWER(Parameters!$G$27,IF(A75-$A$45:A75=0,1,A75-$A$45:A75))),0)</f>
        <v>0.0</v>
      </c>
      <c r="I75" s="7">
        <f>Parameters!$G$23*I74+B75*Parameters!$G$22</f>
        <v>0.0</v>
      </c>
      <c r="J75" s="7">
        <f>E75*Parameters!$G$14*(1-Parameters!$G$15)</f>
        <v>0.0012399421711865295</v>
      </c>
      <c r="K75" s="7">
        <f>H75*Parameters!$G$29</f>
        <v>0.0</v>
      </c>
      <c r="L75" s="7">
        <f>I75*Parameters!$G$24</f>
        <v>0.0</v>
      </c>
      <c r="M75" s="7">
        <f>J75+K75+L75</f>
        <v>0.0012399421711865295</v>
      </c>
      <c r="N75" s="7">
        <f>C75*Parameters!$G$17+D75*Parameters!$G$18+E75*Parameters!$G$16+I75*Parameters!$G$25+G75*Parameters!$G$30</f>
        <v>0.00037138201178561536</v>
      </c>
      <c r="O75" s="7">
        <f>0</f>
        <v>0</v>
      </c>
      <c r="P75" s="7">
        <f>M75-N75-O75</f>
        <v>0.0008685601594009141</v>
      </c>
      <c r="Q75" s="7">
        <f>0</f>
        <v>0</v>
      </c>
      <c r="R75" s="7">
        <f>P75-Q75</f>
        <v>0.0008685601594009141</v>
      </c>
      <c r="S75" s="7">
        <f>IF(A75&lt;1+Parameters!$G$31,0,INDEX($M$45:$M$80,A75-Parameters!$G$31))</f>
        <v>0.0015505147588307198</v>
      </c>
      <c r="T75" s="7">
        <f>T74+M75-S75</f>
        <v>0.0012399421711865295</v>
      </c>
      <c r="U75" s="7">
        <f>S75-N75-O75-Q75</f>
        <v>0.0011791327470451044</v>
      </c>
      <c r="V75" s="7">
        <f>V74+U75</f>
        <v>6.052108321794181</v>
      </c>
      <c r="W75" s="7">
        <f>(1-Parameters!$G$7)*(C75-E75)+(1-Parameters!$G$8)*(D75+E75)</f>
        <v>0.00024758800785707683</v>
      </c>
      <c r="X75" s="7">
        <f>Parameters!$G$7*(C75-E75)+Parameters!$G$8*Parameters!$G$9*(D75+E75)</f>
        <v>0.0005219207436317104</v>
      </c>
      <c r="Y75" s="7">
        <f>Parameters!$G$8*(1-Parameters!$G$9)*(D75+E75)</f>
        <v>0.0004684312877965974</v>
      </c>
      <c r="Z75" s="7">
        <f>POWER(1/(1+Parameters!$G$32),A75-1)*(M75-N75)</f>
        <v>0.0006444046877363758</v>
      </c>
    </row>
    <row r="76" spans="1:26">
      <c r="A76" s="7">
        <v>32</v>
      </c>
      <c r="B76" s="7">
        <f>0</f>
        <v>0</v>
      </c>
      <c r="C76" s="7">
        <f>X75+B76</f>
        <v>0.0005219207436317104</v>
      </c>
      <c r="D76" s="7">
        <f>Y75</f>
        <v>0.0004684312877965974</v>
      </c>
      <c r="E76" s="7">
        <f>Parameters!$G$6*C76</f>
        <v>5.219207436317104e-05</v>
      </c>
      <c r="F76" s="7">
        <f>IF(Parameters!$G$5=1,E76,0)</f>
        <v>0.0</v>
      </c>
      <c r="G76" s="7">
        <f>Parameters!$G$27*G75+F76</f>
        <v>0.0</v>
      </c>
      <c r="H76" s="7">
        <f>IF(AND(Parameters!$G$5=1,Parameters!$G$26=1),SUMPRODUCT(--($A$45:A76&lt;A76),--(MOD(A76-$A$45:A76,Parameters!$G$28)=0),$F$45:F76,POWER(Parameters!$G$27,IF(A76-$A$45:A76=0,1,A76-$A$45:A76))),0)</f>
        <v>0.0</v>
      </c>
      <c r="I76" s="7">
        <f>Parameters!$G$23*I75+B76*Parameters!$G$22</f>
        <v>0.0</v>
      </c>
      <c r="J76" s="7">
        <f>E76*Parameters!$G$14*(1-Parameters!$G$15)</f>
        <v>0.0009916494129002496</v>
      </c>
      <c r="K76" s="7">
        <f>H76*Parameters!$G$29</f>
        <v>0.0</v>
      </c>
      <c r="L76" s="7">
        <f>I76*Parameters!$G$24</f>
        <v>0.0</v>
      </c>
      <c r="M76" s="7">
        <f>J76+K76+L76</f>
        <v>0.0009916494129002496</v>
      </c>
      <c r="N76" s="7">
        <f>C76*Parameters!$G$17+D76*Parameters!$G$18+E76*Parameters!$G$16+I76*Parameters!$G$25+G76*Parameters!$G$30</f>
        <v>0.00029710560942849235</v>
      </c>
      <c r="O76" s="7">
        <f>0</f>
        <v>0</v>
      </c>
      <c r="P76" s="7">
        <f>M76-N76-O76</f>
        <v>0.0006945438034717573</v>
      </c>
      <c r="Q76" s="7">
        <f>0</f>
        <v>0</v>
      </c>
      <c r="R76" s="7">
        <f>P76-Q76</f>
        <v>0.0006945438034717573</v>
      </c>
      <c r="S76" s="7">
        <f>IF(A76&lt;1+Parameters!$G$31,0,INDEX($M$45:$M$80,A76-Parameters!$G$31))</f>
        <v>0.0012399421711865295</v>
      </c>
      <c r="T76" s="7">
        <f>T75+M76-S76</f>
        <v>0.0009916494129002496</v>
      </c>
      <c r="U76" s="7">
        <f>S76-N76-O76-Q76</f>
        <v>0.0009428365617580372</v>
      </c>
      <c r="V76" s="7">
        <f>V75+U76</f>
        <v>6.053051158355939</v>
      </c>
      <c r="W76" s="7">
        <f>(1-Parameters!$G$7)*(C76-E76)+(1-Parameters!$G$8)*(D76+E76)</f>
        <v>0.0001980704062856615</v>
      </c>
      <c r="X76" s="7">
        <f>Parameters!$G$7*(C76-E76)+Parameters!$G$8*Parameters!$G$9*(D76+E76)</f>
        <v>0.00041743280438761297</v>
      </c>
      <c r="Y76" s="7">
        <f>Parameters!$G$8*(1-Parameters!$G$9)*(D76+E76)</f>
        <v>0.00037484882075503333</v>
      </c>
      <c r="Z76" s="7">
        <f>POWER(1/(1+Parameters!$G$32),A76-1)*(M76-N76)</f>
        <v>0.0005101960051512209</v>
      </c>
    </row>
    <row r="77" spans="1:26">
      <c r="A77" s="7">
        <v>33</v>
      </c>
      <c r="B77" s="7">
        <f>0</f>
        <v>0</v>
      </c>
      <c r="C77" s="7">
        <f>X76+B77</f>
        <v>0.00041743280438761297</v>
      </c>
      <c r="D77" s="7">
        <f>Y76</f>
        <v>0.0003748488207550333</v>
      </c>
      <c r="E77" s="7">
        <f>Parameters!$G$6*C77</f>
        <v>4.17432804387613e-05</v>
      </c>
      <c r="F77" s="7">
        <f>IF(Parameters!$G$5=1,E77,0)</f>
        <v>0.0</v>
      </c>
      <c r="G77" s="7">
        <f>Parameters!$G$27*G76+F77</f>
        <v>0.0</v>
      </c>
      <c r="H77" s="7">
        <f>IF(AND(Parameters!$G$5=1,Parameters!$G$26=1),SUMPRODUCT(--($A$45:A77&lt;A77),--(MOD(A77-$A$45:A77,Parameters!$G$28)=0),$F$45:F77,POWER(Parameters!$G$27,IF(A77-$A$45:A77=0,1,A77-$A$45:A77))),0)</f>
        <v>0.0</v>
      </c>
      <c r="I77" s="7">
        <f>Parameters!$G$23*I76+B77*Parameters!$G$22</f>
        <v>0.0</v>
      </c>
      <c r="J77" s="7">
        <f>E77*Parameters!$G$14*(1-Parameters!$G$15)</f>
        <v>0.0007931223283364647</v>
      </c>
      <c r="K77" s="7">
        <f>H77*Parameters!$G$29</f>
        <v>0.0</v>
      </c>
      <c r="L77" s="7">
        <f>I77*Parameters!$G$24</f>
        <v>0.0</v>
      </c>
      <c r="M77" s="7">
        <f>J77+K77+L77</f>
        <v>0.0007931223283364647</v>
      </c>
      <c r="N77" s="7">
        <f>C77*Parameters!$G$17+D77*Parameters!$G$18+E77*Parameters!$G$16+I77*Parameters!$G$25+G77*Parameters!$G$30</f>
        <v>0.0002376844875427939</v>
      </c>
      <c r="O77" s="7">
        <f>0</f>
        <v>0</v>
      </c>
      <c r="P77" s="7">
        <f>M77-N77-O77</f>
        <v>0.0005554378407936708</v>
      </c>
      <c r="Q77" s="7">
        <f>0</f>
        <v>0</v>
      </c>
      <c r="R77" s="7">
        <f>P77-Q77</f>
        <v>0.0005554378407936708</v>
      </c>
      <c r="S77" s="7">
        <f>IF(A77&lt;1+Parameters!$G$31,0,INDEX($M$45:$M$80,A77-Parameters!$G$31))</f>
        <v>0.0009916494129002496</v>
      </c>
      <c r="T77" s="7">
        <f>T76+M77-S77</f>
        <v>0.0007931223283364647</v>
      </c>
      <c r="U77" s="7">
        <f>S77-N77-O77-Q77</f>
        <v>0.0007539649253574558</v>
      </c>
      <c r="V77" s="7">
        <f>V76+U77</f>
        <v>6.053805123281297</v>
      </c>
      <c r="W77" s="7">
        <f>(1-Parameters!$G$7)*(C77-E77)+(1-Parameters!$G$8)*(D77+E77)</f>
        <v>0.00015845632502852923</v>
      </c>
      <c r="X77" s="7">
        <f>Parameters!$G$7*(C77-E77)+Parameters!$G$8*Parameters!$G$9*(D77+E77)</f>
        <v>0.0003338789872545849</v>
      </c>
      <c r="Y77" s="7">
        <f>Parameters!$G$8*(1-Parameters!$G$9)*(D77+E77)</f>
        <v>0.0002999463128595321</v>
      </c>
      <c r="Z77" s="7">
        <f>POWER(1/(1+Parameters!$G$32),A77-1)*(M77-N77)</f>
        <v>0.00040397222183219324</v>
      </c>
    </row>
    <row r="78" spans="1:26">
      <c r="A78" s="7">
        <v>34</v>
      </c>
      <c r="B78" s="7">
        <f>0</f>
        <v>0</v>
      </c>
      <c r="C78" s="7">
        <f>X77+B78</f>
        <v>0.00033387898725458496</v>
      </c>
      <c r="D78" s="7">
        <f>Y77</f>
        <v>0.0002999463128595321</v>
      </c>
      <c r="E78" s="7">
        <f>Parameters!$G$6*C78</f>
        <v>3.33878987254585e-05</v>
      </c>
      <c r="F78" s="7">
        <f>IF(Parameters!$G$5=1,E78,0)</f>
        <v>0.0</v>
      </c>
      <c r="G78" s="7">
        <f>Parameters!$G$27*G77+F78</f>
        <v>0.0</v>
      </c>
      <c r="H78" s="7">
        <f>IF(AND(Parameters!$G$5=1,Parameters!$G$26=1),SUMPRODUCT(--($A$45:A78&lt;A78),--(MOD(A78-$A$45:A78,Parameters!$G$28)=0),$F$45:F78,POWER(Parameters!$G$27,IF(A78-$A$45:A78=0,1,A78-$A$45:A78))),0)</f>
        <v>0.0</v>
      </c>
      <c r="I78" s="7">
        <f>Parameters!$G$23*I77+B78*Parameters!$G$22</f>
        <v>0.0</v>
      </c>
      <c r="J78" s="7">
        <f>E78*Parameters!$G$14*(1-Parameters!$G$15)</f>
        <v>0.0006343700757837114</v>
      </c>
      <c r="K78" s="7">
        <f>H78*Parameters!$G$29</f>
        <v>0.0</v>
      </c>
      <c r="L78" s="7">
        <f>I78*Parameters!$G$24</f>
        <v>0.0</v>
      </c>
      <c r="M78" s="7">
        <f>J78+K78+L78</f>
        <v>0.0006343700757837114</v>
      </c>
      <c r="N78" s="7">
        <f>C78*Parameters!$G$17+D78*Parameters!$G$18+E78*Parameters!$G$16+I78*Parameters!$G$25+G78*Parameters!$G$30</f>
        <v>0.00019014759003423511</v>
      </c>
      <c r="O78" s="7">
        <f>0</f>
        <v>0</v>
      </c>
      <c r="P78" s="7">
        <f>M78-N78-O78</f>
        <v>0.0004442224857494763</v>
      </c>
      <c r="Q78" s="7">
        <f>0</f>
        <v>0</v>
      </c>
      <c r="R78" s="7">
        <f>P78-Q78</f>
        <v>0.0004442224857494763</v>
      </c>
      <c r="S78" s="7">
        <f>IF(A78&lt;1+Parameters!$G$31,0,INDEX($M$45:$M$80,A78-Parameters!$G$31))</f>
        <v>0.0007931223283364647</v>
      </c>
      <c r="T78" s="7">
        <f>T77+M78-S78</f>
        <v>0.0006343700757837114</v>
      </c>
      <c r="U78" s="7">
        <f>S78-N78-O78-Q78</f>
        <v>0.0006029747383022296</v>
      </c>
      <c r="V78" s="7">
        <f>V77+U78</f>
        <v>6.054408098019599</v>
      </c>
      <c r="W78" s="7">
        <f>(1-Parameters!$G$7)*(C78-E78)+(1-Parameters!$G$8)*(D78+E78)</f>
        <v>0.0001267650600228234</v>
      </c>
      <c r="X78" s="7">
        <f>Parameters!$G$7*(C78-E78)+Parameters!$G$8*Parameters!$G$9*(D78+E78)</f>
        <v>0.00026705960775010045</v>
      </c>
      <c r="Y78" s="7">
        <f>Parameters!$G$8*(1-Parameters!$G$9)*(D78+E78)</f>
        <v>0.00024000063234119325</v>
      </c>
      <c r="Z78" s="7">
        <f>POWER(1/(1+Parameters!$G$32),A78-1)*(M78-N78)</f>
        <v>0.00031988597776174207</v>
      </c>
    </row>
    <row r="79" spans="1:26">
      <c r="A79" s="7">
        <v>35</v>
      </c>
      <c r="B79" s="7">
        <f>0</f>
        <v>0</v>
      </c>
      <c r="C79" s="7">
        <f>X78+B79</f>
        <v>0.00026705960775010045</v>
      </c>
      <c r="D79" s="7">
        <f>Y78</f>
        <v>0.00024000063234119325</v>
      </c>
      <c r="E79" s="7">
        <f>Parameters!$G$6*C79</f>
        <v>2.6705960775010046e-05</v>
      </c>
      <c r="F79" s="7">
        <f>IF(Parameters!$G$5=1,E79,0)</f>
        <v>0.0</v>
      </c>
      <c r="G79" s="7">
        <f>Parameters!$G$27*G78+F79</f>
        <v>0.0</v>
      </c>
      <c r="H79" s="7">
        <f>IF(AND(Parameters!$G$5=1,Parameters!$G$26=1),SUMPRODUCT(--($A$45:A79&lt;A79),--(MOD(A79-$A$45:A79,Parameters!$G$28)=0),$F$45:F79,POWER(Parameters!$G$27,IF(A79-$A$45:A79=0,1,A79-$A$45:A79))),0)</f>
        <v>0.0</v>
      </c>
      <c r="I79" s="7">
        <f>Parameters!$G$23*I78+B79*Parameters!$G$22</f>
        <v>0.0</v>
      </c>
      <c r="J79" s="7">
        <f>E79*Parameters!$G$14*(1-Parameters!$G$15)</f>
        <v>0.0005074132547251909</v>
      </c>
      <c r="K79" s="7">
        <f>H79*Parameters!$G$29</f>
        <v>0.0</v>
      </c>
      <c r="L79" s="7">
        <f>I79*Parameters!$G$24</f>
        <v>0.0</v>
      </c>
      <c r="M79" s="7">
        <f>J79+K79+L79</f>
        <v>0.0005074132547251909</v>
      </c>
      <c r="N79" s="7">
        <f>C79*Parameters!$G$17+D79*Parameters!$G$18+E79*Parameters!$G$16+I79*Parameters!$G$25+G79*Parameters!$G$30</f>
        <v>0.00015211807202738812</v>
      </c>
      <c r="O79" s="7">
        <f>0</f>
        <v>0</v>
      </c>
      <c r="P79" s="7">
        <f>M79-N79-O79</f>
        <v>0.0003552951826978028</v>
      </c>
      <c r="Q79" s="7">
        <f>0</f>
        <v>0</v>
      </c>
      <c r="R79" s="7">
        <f>P79-Q79</f>
        <v>0.0003552951826978028</v>
      </c>
      <c r="S79" s="7">
        <f>IF(A79&lt;1+Parameters!$G$31,0,INDEX($M$45:$M$80,A79-Parameters!$G$31))</f>
        <v>0.0006343700757837114</v>
      </c>
      <c r="T79" s="7">
        <f>T78+M79-S79</f>
        <v>0.0005074132547251909</v>
      </c>
      <c r="U79" s="7">
        <f>S79-N79-O79-Q79</f>
        <v>0.00048225200375632334</v>
      </c>
      <c r="V79" s="7">
        <f>V78+U79</f>
        <v>6.0548903500233555</v>
      </c>
      <c r="W79" s="7">
        <f>(1-Parameters!$G$7)*(C79-E79)+(1-Parameters!$G$8)*(D79+E79)</f>
        <v>0.00010141204801825872</v>
      </c>
      <c r="X79" s="7">
        <f>Parameters!$G$7*(C79-E79)+Parameters!$G$8*Parameters!$G$9*(D79+E79)</f>
        <v>0.0002136194450293686</v>
      </c>
      <c r="Y79" s="7">
        <f>Parameters!$G$8*(1-Parameters!$G$9)*(D79+E79)</f>
        <v>0.00019202874704366641</v>
      </c>
      <c r="Z79" s="7">
        <f>POWER(1/(1+Parameters!$G$32),A79-1)*(M79-N79)</f>
        <v>0.0002533159934900339</v>
      </c>
    </row>
    <row r="80" spans="1:26">
      <c r="A80" s="7">
        <v>36</v>
      </c>
      <c r="B80" s="7">
        <f>0</f>
        <v>0</v>
      </c>
      <c r="C80" s="7">
        <f>X79+B80</f>
        <v>0.0002136194450293686</v>
      </c>
      <c r="D80" s="7">
        <f>Y79</f>
        <v>0.0001920287470436664</v>
      </c>
      <c r="E80" s="7">
        <f>Parameters!$G$6*C80</f>
        <v>2.136194450293686e-05</v>
      </c>
      <c r="F80" s="7">
        <f>IF(Parameters!$G$5=1,E80,0)</f>
        <v>0.0</v>
      </c>
      <c r="G80" s="7">
        <f>Parameters!$G$27*G79+F80</f>
        <v>0.0</v>
      </c>
      <c r="H80" s="7">
        <f>IF(AND(Parameters!$G$5=1,Parameters!$G$26=1),SUMPRODUCT(--($A$45:A80&lt;A80),--(MOD(A80-$A$45:A80,Parameters!$G$28)=0),$F$45:F80,POWER(Parameters!$G$27,IF(A80-$A$45:A80=0,1,A80-$A$45:A80))),0)</f>
        <v>0.0</v>
      </c>
      <c r="I80" s="7">
        <f>Parameters!$G$23*I79+B80*Parameters!$G$22</f>
        <v>0.0</v>
      </c>
      <c r="J80" s="7">
        <f>E80*Parameters!$G$14*(1-Parameters!$G$15)</f>
        <v>0.0004058769455558004</v>
      </c>
      <c r="K80" s="7">
        <f>H80*Parameters!$G$29</f>
        <v>0.0</v>
      </c>
      <c r="L80" s="7">
        <f>I80*Parameters!$G$24</f>
        <v>0.0</v>
      </c>
      <c r="M80" s="7">
        <f>J80+K80+L80</f>
        <v>0.0004058769455558004</v>
      </c>
      <c r="N80" s="7">
        <f>C80*Parameters!$G$17+D80*Parameters!$G$18+E80*Parameters!$G$16+I80*Parameters!$G$25+G80*Parameters!$G$30</f>
        <v>0.00012169445762191049</v>
      </c>
      <c r="O80" s="7">
        <f>0</f>
        <v>0</v>
      </c>
      <c r="P80" s="7">
        <f>M80-N80-O80</f>
        <v>0.0002841824879338899</v>
      </c>
      <c r="Q80" s="7">
        <f>0</f>
        <v>0</v>
      </c>
      <c r="R80" s="7">
        <f>P80-Q80</f>
        <v>0.0002841824879338899</v>
      </c>
      <c r="S80" s="7">
        <f>IF(A80&lt;1+Parameters!$G$31,0,INDEX($M$45:$M$80,A80-Parameters!$G$31))</f>
        <v>0.0005074132547251909</v>
      </c>
      <c r="T80" s="7">
        <f>T79+M80-S80</f>
        <v>0.0004058769455558004</v>
      </c>
      <c r="U80" s="7">
        <f>S80-N80-O80-Q80</f>
        <v>0.00038571879710328036</v>
      </c>
      <c r="V80" s="7">
        <f>V79+U80</f>
        <v>6.055276068820459</v>
      </c>
      <c r="W80" s="7">
        <f>(1-Parameters!$G$7)*(C80-E80)+(1-Parameters!$G$8)*(D80+E80)</f>
        <v>8.112963841460698e-05</v>
      </c>
      <c r="X80" s="7">
        <f>Parameters!$G$7*(C80-E80)+Parameters!$G$8*Parameters!$G$9*(D80+E80)</f>
        <v>0.00017087725574487365</v>
      </c>
      <c r="Y80" s="7">
        <f>Parameters!$G$8*(1-Parameters!$G$9)*(D80+E80)</f>
        <v>0.00015364129791355436</v>
      </c>
      <c r="Z80" s="7">
        <f>POWER(1/(1+Parameters!$G$32),A80-1)*(M80-N80)</f>
        <v>0.0002006084533747845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95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179</v>
      </c>
      <c r="V4" s="4" t="s">
        <v>180</v>
      </c>
      <c r="W4" s="4" t="s">
        <v>181</v>
      </c>
      <c r="X4" s="4" t="s">
        <v>182</v>
      </c>
      <c r="Y4" s="4" t="s">
        <v>183</v>
      </c>
      <c r="Z4" s="4" t="s">
        <v>184</v>
      </c>
    </row>
    <row r="5" spans="1:26">
      <c r="A5" s="7">
        <v>1</v>
      </c>
      <c r="B5" s="7">
        <f>Parameters!$H$20</f>
        <v>1000</v>
      </c>
      <c r="C5" s="7">
        <f>B5</f>
        <v>1000</v>
      </c>
      <c r="D5" s="7">
        <f>0</f>
        <v>0.0</v>
      </c>
      <c r="E5" s="7">
        <f>Parameters!$H$6*C5</f>
        <v>100.0</v>
      </c>
      <c r="F5" s="7">
        <f>IF(Parameters!$H$5=1,E5,0)</f>
        <v>0.0</v>
      </c>
      <c r="G5" s="7">
        <f>F5</f>
        <v>0.0</v>
      </c>
      <c r="H5" s="7">
        <f>IF(AND(Parameters!$H$5=1,Parameters!$H$26=1),SUMPRODUCT(--($A$5:A5&lt;A5),--(MOD(A5-$A$5:A5,Parameters!$H$28)=0),$F$5:F5,POWER(Parameters!$H$27,IF(A5-$A$5:A5=0,1,A5-$A$5:A5))),0)</f>
        <v>0.0</v>
      </c>
      <c r="I5" s="7">
        <f>B5*Parameters!$H$22</f>
        <v>50.0</v>
      </c>
      <c r="J5" s="7">
        <f>E5*Parameters!$H$14*(1-Parameters!$H$15)</f>
        <v>1900.0</v>
      </c>
      <c r="K5" s="7">
        <f>H5*Parameters!$H$29</f>
        <v>0.0</v>
      </c>
      <c r="L5" s="7">
        <f>I5*Parameters!$H$24</f>
        <v>150.0</v>
      </c>
      <c r="M5" s="7">
        <f>J5+K5+L5</f>
        <v>2050.0</v>
      </c>
      <c r="N5" s="7">
        <f>C5*Parameters!$H$17+D5*Parameters!$H$18+E5*Parameters!$H$16+I5*Parameters!$H$25+G5*Parameters!$H$30</f>
        <v>325.0</v>
      </c>
      <c r="O5" s="7">
        <f>B5*Parameters!$H$19</f>
        <v>4000</v>
      </c>
      <c r="P5" s="7">
        <f>M5-N5-O5</f>
        <v>-2275.0</v>
      </c>
      <c r="Q5" s="7">
        <f>Parameters!$H$21</f>
        <v>1000</v>
      </c>
      <c r="R5" s="7">
        <f>P5-Q5</f>
        <v>-3275.0</v>
      </c>
      <c r="S5" s="7">
        <f>IF(A5&lt;1+Parameters!$H$31,0,INDEX($M$5:$M$40,A5-Parameters!$H$31))</f>
        <v>0.0</v>
      </c>
      <c r="T5" s="7">
        <f>M5-S5</f>
        <v>2050.0</v>
      </c>
      <c r="U5" s="7">
        <f>S5-N5-O5-Q5</f>
        <v>-5325.0</v>
      </c>
      <c r="V5" s="7">
        <f>U5</f>
        <v>-5325.0</v>
      </c>
      <c r="W5" s="7">
        <f>(1-Parameters!$H$7)*(C5-E5)+(1-Parameters!$H$8)*(D5+E5)</f>
        <v>920.0</v>
      </c>
      <c r="X5" s="7">
        <f>Parameters!$H$7*(C5-E5)+Parameters!$H$8*Parameters!$H$9*(D5+E5)</f>
        <v>0.0</v>
      </c>
      <c r="Y5" s="7">
        <f>Parameters!$H$8*(1-Parameters!$H$9)*(D5+E5)</f>
        <v>80.0</v>
      </c>
      <c r="Z5" s="7">
        <f>POWER(1/(1+Parameters!$H$32),A5-1)*(M5-N5)</f>
        <v>1725.0</v>
      </c>
    </row>
    <row r="6" spans="1:26">
      <c r="A6" s="7">
        <v>2</v>
      </c>
      <c r="B6" s="7">
        <f>Parameters!$H$20</f>
        <v>1000</v>
      </c>
      <c r="C6" s="7">
        <f>X5+B6</f>
        <v>1000.0</v>
      </c>
      <c r="D6" s="7">
        <f>Y5</f>
        <v>80.00000000000001</v>
      </c>
      <c r="E6" s="7">
        <f>Parameters!$H$6*C6</f>
        <v>100.0</v>
      </c>
      <c r="F6" s="7">
        <f>IF(Parameters!$H$5=1,E6,0)</f>
        <v>0.0</v>
      </c>
      <c r="G6" s="7">
        <f>Parameters!$H$27*G5+F6</f>
        <v>0.0</v>
      </c>
      <c r="H6" s="7">
        <f>IF(AND(Parameters!$H$5=1,Parameters!$H$26=1),SUMPRODUCT(--($A$5:A6&lt;A6),--(MOD(A6-$A$5:A6,Parameters!$H$28)=0),$F$5:F6,POWER(Parameters!$H$27,IF(A6-$A$5:A6=0,1,A6-$A$5:A6))),0)</f>
        <v>0.0</v>
      </c>
      <c r="I6" s="7">
        <f>Parameters!$H$23*I5+B6*Parameters!$H$22</f>
        <v>97.5</v>
      </c>
      <c r="J6" s="7">
        <f>E6*Parameters!$H$14*(1-Parameters!$H$15)</f>
        <v>1900.0</v>
      </c>
      <c r="K6" s="7">
        <f>H6*Parameters!$H$29</f>
        <v>0.0</v>
      </c>
      <c r="L6" s="7">
        <f>I6*Parameters!$H$24</f>
        <v>292.5</v>
      </c>
      <c r="M6" s="7">
        <f>J6+K6+L6</f>
        <v>2192.5</v>
      </c>
      <c r="N6" s="7">
        <f>C6*Parameters!$H$17+D6*Parameters!$H$18+E6*Parameters!$H$16+I6*Parameters!$H$25+G6*Parameters!$H$30</f>
        <v>372.75</v>
      </c>
      <c r="O6" s="7">
        <f>B6*Parameters!$H$19</f>
        <v>4000</v>
      </c>
      <c r="P6" s="7">
        <f>M6-N6-O6</f>
        <v>-2180.25</v>
      </c>
      <c r="Q6" s="7">
        <f>Parameters!$H$21</f>
        <v>1000</v>
      </c>
      <c r="R6" s="7">
        <f>P6-Q6</f>
        <v>-3180.25</v>
      </c>
      <c r="S6" s="7">
        <f>IF(A6&lt;1+Parameters!$H$31,0,INDEX($M$5:$M$40,A6-Parameters!$H$31))</f>
        <v>2050.0</v>
      </c>
      <c r="T6" s="7">
        <f>T5+M6-S6</f>
        <v>2192.5</v>
      </c>
      <c r="U6" s="7">
        <f>S6-N6-O6-Q6</f>
        <v>-3322.75</v>
      </c>
      <c r="V6" s="7">
        <f>V5+U6</f>
        <v>-8647.75</v>
      </c>
      <c r="W6" s="7">
        <f>(1-Parameters!$H$7)*(C6-E6)+(1-Parameters!$H$8)*(D6+E6)</f>
        <v>936.0</v>
      </c>
      <c r="X6" s="7">
        <f>Parameters!$H$7*(C6-E6)+Parameters!$H$8*Parameters!$H$9*(D6+E6)</f>
        <v>0.0</v>
      </c>
      <c r="Y6" s="7">
        <f>Parameters!$H$8*(1-Parameters!$H$9)*(D6+E6)</f>
        <v>144.0</v>
      </c>
      <c r="Z6" s="7">
        <f>POWER(1/(1+Parameters!$H$32),A6-1)*(M6-N6)</f>
        <v>1801.7326732673266</v>
      </c>
    </row>
    <row r="7" spans="1:26">
      <c r="A7" s="7">
        <v>3</v>
      </c>
      <c r="B7" s="7">
        <f>Parameters!$H$20</f>
        <v>1000</v>
      </c>
      <c r="C7" s="7">
        <f>X6+B7</f>
        <v>1000.0</v>
      </c>
      <c r="D7" s="7">
        <f>Y6</f>
        <v>144.00000000000003</v>
      </c>
      <c r="E7" s="7">
        <f>Parameters!$H$6*C7</f>
        <v>100.0</v>
      </c>
      <c r="F7" s="7">
        <f>IF(Parameters!$H$5=1,E7,0)</f>
        <v>0.0</v>
      </c>
      <c r="G7" s="7">
        <f>Parameters!$H$27*G6+F7</f>
        <v>0.0</v>
      </c>
      <c r="H7" s="7">
        <f>IF(AND(Parameters!$H$5=1,Parameters!$H$26=1),SUMPRODUCT(--($A$5:A7&lt;A7),--(MOD(A7-$A$5:A7,Parameters!$H$28)=0),$F$5:F7,POWER(Parameters!$H$27,IF(A7-$A$5:A7=0,1,A7-$A$5:A7))),0)</f>
        <v>0.0</v>
      </c>
      <c r="I7" s="7">
        <f>Parameters!$H$23*I6+B7*Parameters!$H$22</f>
        <v>142.625</v>
      </c>
      <c r="J7" s="7">
        <f>E7*Parameters!$H$14*(1-Parameters!$H$15)</f>
        <v>1900.0</v>
      </c>
      <c r="K7" s="7">
        <f>H7*Parameters!$H$29</f>
        <v>0.0</v>
      </c>
      <c r="L7" s="7">
        <f>I7*Parameters!$H$24</f>
        <v>427.875</v>
      </c>
      <c r="M7" s="7">
        <f>J7+K7+L7</f>
        <v>2327.875</v>
      </c>
      <c r="N7" s="7">
        <f>C7*Parameters!$H$17+D7*Parameters!$H$18+E7*Parameters!$H$16+I7*Parameters!$H$25+G7*Parameters!$H$30</f>
        <v>414.51250000000005</v>
      </c>
      <c r="O7" s="7">
        <f>B7*Parameters!$H$19</f>
        <v>4000</v>
      </c>
      <c r="P7" s="7">
        <f>M7-N7-O7</f>
        <v>-2086.6375</v>
      </c>
      <c r="Q7" s="7">
        <f>Parameters!$H$21</f>
        <v>1000</v>
      </c>
      <c r="R7" s="7">
        <f>P7-Q7</f>
        <v>-3086.6375</v>
      </c>
      <c r="S7" s="7">
        <f>IF(A7&lt;1+Parameters!$H$31,0,INDEX($M$5:$M$40,A7-Parameters!$H$31))</f>
        <v>2192.5</v>
      </c>
      <c r="T7" s="7">
        <f>T6+M7-S7</f>
        <v>2327.875</v>
      </c>
      <c r="U7" s="7">
        <f>S7-N7-O7-Q7</f>
        <v>-3222.0125</v>
      </c>
      <c r="V7" s="7">
        <f>V6+U7</f>
        <v>-11869.7625</v>
      </c>
      <c r="W7" s="7">
        <f>(1-Parameters!$H$7)*(C7-E7)+(1-Parameters!$H$8)*(D7+E7)</f>
        <v>948.8</v>
      </c>
      <c r="X7" s="7">
        <f>Parameters!$H$7*(C7-E7)+Parameters!$H$8*Parameters!$H$9*(D7+E7)</f>
        <v>0.0</v>
      </c>
      <c r="Y7" s="7">
        <f>Parameters!$H$8*(1-Parameters!$H$9)*(D7+E7)</f>
        <v>195.20000000000005</v>
      </c>
      <c r="Z7" s="7">
        <f>POWER(1/(1+Parameters!$H$32),A7-1)*(M7-N7)</f>
        <v>1875.6616998333495</v>
      </c>
    </row>
    <row r="8" spans="1:26">
      <c r="A8" s="7">
        <v>4</v>
      </c>
      <c r="B8" s="7">
        <f>Parameters!$H$20</f>
        <v>1000</v>
      </c>
      <c r="C8" s="7">
        <f>X7+B8</f>
        <v>1000.0</v>
      </c>
      <c r="D8" s="7">
        <f>Y7</f>
        <v>195.20000000000005</v>
      </c>
      <c r="E8" s="7">
        <f>Parameters!$H$6*C8</f>
        <v>100.0</v>
      </c>
      <c r="F8" s="7">
        <f>IF(Parameters!$H$5=1,E8,0)</f>
        <v>0.0</v>
      </c>
      <c r="G8" s="7">
        <f>Parameters!$H$27*G7+F8</f>
        <v>0.0</v>
      </c>
      <c r="H8" s="7">
        <f>IF(AND(Parameters!$H$5=1,Parameters!$H$26=1),SUMPRODUCT(--($A$5:A8&lt;A8),--(MOD(A8-$A$5:A8,Parameters!$H$28)=0),$F$5:F8,POWER(Parameters!$H$27,IF(A8-$A$5:A8=0,1,A8-$A$5:A8))),0)</f>
        <v>0.0</v>
      </c>
      <c r="I8" s="7">
        <f>Parameters!$H$23*I7+B8*Parameters!$H$22</f>
        <v>185.49375</v>
      </c>
      <c r="J8" s="7">
        <f>E8*Parameters!$H$14*(1-Parameters!$H$15)</f>
        <v>1900.0</v>
      </c>
      <c r="K8" s="7">
        <f>H8*Parameters!$H$29</f>
        <v>0.0</v>
      </c>
      <c r="L8" s="7">
        <f>I8*Parameters!$H$24</f>
        <v>556.48125</v>
      </c>
      <c r="M8" s="7">
        <f>J8+K8+L8</f>
        <v>2456.48125</v>
      </c>
      <c r="N8" s="7">
        <f>C8*Parameters!$H$17+D8*Parameters!$H$18+E8*Parameters!$H$16+I8*Parameters!$H$25+G8*Parameters!$H$30</f>
        <v>451.306875</v>
      </c>
      <c r="O8" s="7">
        <f>B8*Parameters!$H$19</f>
        <v>4000</v>
      </c>
      <c r="P8" s="7">
        <f>M8-N8-O8</f>
        <v>-1994.8256250000002</v>
      </c>
      <c r="Q8" s="7">
        <f>Parameters!$H$21</f>
        <v>1000</v>
      </c>
      <c r="R8" s="7">
        <f>P8-Q8</f>
        <v>-2994.8256250000004</v>
      </c>
      <c r="S8" s="7">
        <f>IF(A8&lt;1+Parameters!$H$31,0,INDEX($M$5:$M$40,A8-Parameters!$H$31))</f>
        <v>2327.875</v>
      </c>
      <c r="T8" s="7">
        <f>T7+M8-S8</f>
        <v>2456.48125</v>
      </c>
      <c r="U8" s="7">
        <f>S8-N8-O8-Q8</f>
        <v>-3123.431875</v>
      </c>
      <c r="V8" s="7">
        <f>V7+U8</f>
        <v>-14993.194375000001</v>
      </c>
      <c r="W8" s="7">
        <f>(1-Parameters!$H$7)*(C8-E8)+(1-Parameters!$H$8)*(D8+E8)</f>
        <v>959.04</v>
      </c>
      <c r="X8" s="7">
        <f>Parameters!$H$7*(C8-E8)+Parameters!$H$8*Parameters!$H$9*(D8+E8)</f>
        <v>0.0</v>
      </c>
      <c r="Y8" s="7">
        <f>Parameters!$H$8*(1-Parameters!$H$9)*(D8+E8)</f>
        <v>236.16000000000005</v>
      </c>
      <c r="Z8" s="7">
        <f>POWER(1/(1+Parameters!$H$32),A8-1)*(M8-N8)</f>
        <v>1946.2024932519719</v>
      </c>
    </row>
    <row r="9" spans="1:26">
      <c r="A9" s="7">
        <v>5</v>
      </c>
      <c r="B9" s="7">
        <f>Parameters!$H$20</f>
        <v>1000</v>
      </c>
      <c r="C9" s="7">
        <f>X8+B9</f>
        <v>1000.0</v>
      </c>
      <c r="D9" s="7">
        <f>Y8</f>
        <v>236.16000000000005</v>
      </c>
      <c r="E9" s="7">
        <f>Parameters!$H$6*C9</f>
        <v>100.0</v>
      </c>
      <c r="F9" s="7">
        <f>IF(Parameters!$H$5=1,E9,0)</f>
        <v>0.0</v>
      </c>
      <c r="G9" s="7">
        <f>Parameters!$H$27*G8+F9</f>
        <v>0.0</v>
      </c>
      <c r="H9" s="7">
        <f>IF(AND(Parameters!$H$5=1,Parameters!$H$26=1),SUMPRODUCT(--($A$5:A9&lt;A9),--(MOD(A9-$A$5:A9,Parameters!$H$28)=0),$F$5:F9,POWER(Parameters!$H$27,IF(A9-$A$5:A9=0,1,A9-$A$5:A9))),0)</f>
        <v>0.0</v>
      </c>
      <c r="I9" s="7">
        <f>Parameters!$H$23*I8+B9*Parameters!$H$22</f>
        <v>226.2190625</v>
      </c>
      <c r="J9" s="7">
        <f>E9*Parameters!$H$14*(1-Parameters!$H$15)</f>
        <v>1900.0</v>
      </c>
      <c r="K9" s="7">
        <f>H9*Parameters!$H$29</f>
        <v>0.0</v>
      </c>
      <c r="L9" s="7">
        <f>I9*Parameters!$H$24</f>
        <v>678.6571875</v>
      </c>
      <c r="M9" s="7">
        <f>J9+K9+L9</f>
        <v>2578.6571875</v>
      </c>
      <c r="N9" s="7">
        <f>C9*Parameters!$H$17+D9*Parameters!$H$18+E9*Parameters!$H$16+I9*Parameters!$H$25+G9*Parameters!$H$30</f>
        <v>483.95753125</v>
      </c>
      <c r="O9" s="7">
        <f>B9*Parameters!$H$19</f>
        <v>4000</v>
      </c>
      <c r="P9" s="7">
        <f>M9-N9-O9</f>
        <v>-1905.3003437500001</v>
      </c>
      <c r="Q9" s="7">
        <f>Parameters!$H$21</f>
        <v>1000</v>
      </c>
      <c r="R9" s="7">
        <f>P9-Q9</f>
        <v>-2905.30034375</v>
      </c>
      <c r="S9" s="7">
        <f>IF(A9&lt;1+Parameters!$H$31,0,INDEX($M$5:$M$40,A9-Parameters!$H$31))</f>
        <v>2456.48125</v>
      </c>
      <c r="T9" s="7">
        <f>T8+M9-S9</f>
        <v>2578.6571875</v>
      </c>
      <c r="U9" s="7">
        <f>S9-N9-O9-Q9</f>
        <v>-3027.4762812500003</v>
      </c>
      <c r="V9" s="7">
        <f>V8+U9</f>
        <v>-18020.67065625</v>
      </c>
      <c r="W9" s="7">
        <f>(1-Parameters!$H$7)*(C9-E9)+(1-Parameters!$H$8)*(D9+E9)</f>
        <v>967.232</v>
      </c>
      <c r="X9" s="7">
        <f>Parameters!$H$7*(C9-E9)+Parameters!$H$8*Parameters!$H$9*(D9+E9)</f>
        <v>0.0</v>
      </c>
      <c r="Y9" s="7">
        <f>Parameters!$H$8*(1-Parameters!$H$9)*(D9+E9)</f>
        <v>268.92800000000005</v>
      </c>
      <c r="Z9" s="7">
        <f>POWER(1/(1+Parameters!$H$32),A9-1)*(M9-N9)</f>
        <v>2012.9651972511615</v>
      </c>
    </row>
    <row r="10" spans="1:26">
      <c r="A10" s="7">
        <v>6</v>
      </c>
      <c r="B10" s="7">
        <f>Parameters!$H$20</f>
        <v>1000</v>
      </c>
      <c r="C10" s="7">
        <f>X9+B10</f>
        <v>1000.0</v>
      </c>
      <c r="D10" s="7">
        <f>Y9</f>
        <v>268.92800000000005</v>
      </c>
      <c r="E10" s="7">
        <f>Parameters!$H$6*C10</f>
        <v>100.0</v>
      </c>
      <c r="F10" s="7">
        <f>IF(Parameters!$H$5=1,E10,0)</f>
        <v>0.0</v>
      </c>
      <c r="G10" s="7">
        <f>Parameters!$H$27*G9+F10</f>
        <v>0.0</v>
      </c>
      <c r="H10" s="7">
        <f>IF(AND(Parameters!$H$5=1,Parameters!$H$26=1),SUMPRODUCT(--($A$5:A10&lt;A10),--(MOD(A10-$A$5:A10,Parameters!$H$28)=0),$F$5:F10,POWER(Parameters!$H$27,IF(A10-$A$5:A10=0,1,A10-$A$5:A10))),0)</f>
        <v>0.0</v>
      </c>
      <c r="I10" s="7">
        <f>Parameters!$H$23*I9+B10*Parameters!$H$22</f>
        <v>264.908109375</v>
      </c>
      <c r="J10" s="7">
        <f>E10*Parameters!$H$14*(1-Parameters!$H$15)</f>
        <v>1900.0</v>
      </c>
      <c r="K10" s="7">
        <f>H10*Parameters!$H$29</f>
        <v>0.0</v>
      </c>
      <c r="L10" s="7">
        <f>I10*Parameters!$H$24</f>
        <v>794.7243281249999</v>
      </c>
      <c r="M10" s="7">
        <f>J10+K10+L10</f>
        <v>2694.724328125</v>
      </c>
      <c r="N10" s="7">
        <f>C10*Parameters!$H$17+D10*Parameters!$H$18+E10*Parameters!$H$16+I10*Parameters!$H$25+G10*Parameters!$H$30</f>
        <v>513.1324546875001</v>
      </c>
      <c r="O10" s="7">
        <f>B10*Parameters!$H$19</f>
        <v>4000</v>
      </c>
      <c r="P10" s="7">
        <f>M10-N10-O10</f>
        <v>-1818.4081265625</v>
      </c>
      <c r="Q10" s="7">
        <f>Parameters!$H$21</f>
        <v>1000</v>
      </c>
      <c r="R10" s="7">
        <f>P10-Q10</f>
        <v>-2818.4081265625</v>
      </c>
      <c r="S10" s="7">
        <f>IF(A10&lt;1+Parameters!$H$31,0,INDEX($M$5:$M$40,A10-Parameters!$H$31))</f>
        <v>2578.6571875</v>
      </c>
      <c r="T10" s="7">
        <f>T9+M10-S10</f>
        <v>2694.724328125</v>
      </c>
      <c r="U10" s="7">
        <f>S10-N10-O10-Q10</f>
        <v>-2934.4752671875003</v>
      </c>
      <c r="V10" s="7">
        <f>V9+U10</f>
        <v>-20955.1459234375</v>
      </c>
      <c r="W10" s="7">
        <f>(1-Parameters!$H$7)*(C10-E10)+(1-Parameters!$H$8)*(D10+E10)</f>
        <v>973.7856</v>
      </c>
      <c r="X10" s="7">
        <f>Parameters!$H$7*(C10-E10)+Parameters!$H$8*Parameters!$H$9*(D10+E10)</f>
        <v>0.0</v>
      </c>
      <c r="Y10" s="7">
        <f>Parameters!$H$8*(1-Parameters!$H$9)*(D10+E10)</f>
        <v>295.14240000000007</v>
      </c>
      <c r="Z10" s="7">
        <f>POWER(1/(1+Parameters!$H$32),A10-1)*(M10-N10)</f>
        <v>2075.709811937506</v>
      </c>
    </row>
    <row r="11" spans="1:26">
      <c r="A11" s="7">
        <v>7</v>
      </c>
      <c r="B11" s="7">
        <f>Parameters!$H$20</f>
        <v>1000</v>
      </c>
      <c r="C11" s="7">
        <f>X10+B11</f>
        <v>1000.0</v>
      </c>
      <c r="D11" s="7">
        <f>Y10</f>
        <v>295.14240000000007</v>
      </c>
      <c r="E11" s="7">
        <f>Parameters!$H$6*C11</f>
        <v>100.0</v>
      </c>
      <c r="F11" s="7">
        <f>IF(Parameters!$H$5=1,E11,0)</f>
        <v>0.0</v>
      </c>
      <c r="G11" s="7">
        <f>Parameters!$H$27*G10+F11</f>
        <v>0.0</v>
      </c>
      <c r="H11" s="7">
        <f>IF(AND(Parameters!$H$5=1,Parameters!$H$26=1),SUMPRODUCT(--($A$5:A11&lt;A11),--(MOD(A11-$A$5:A11,Parameters!$H$28)=0),$F$5:F11,POWER(Parameters!$H$27,IF(A11-$A$5:A11=0,1,A11-$A$5:A11))),0)</f>
        <v>0.0</v>
      </c>
      <c r="I11" s="7">
        <f>Parameters!$H$23*I10+B11*Parameters!$H$22</f>
        <v>301.66270390624993</v>
      </c>
      <c r="J11" s="7">
        <f>E11*Parameters!$H$14*(1-Parameters!$H$15)</f>
        <v>1900.0</v>
      </c>
      <c r="K11" s="7">
        <f>H11*Parameters!$H$29</f>
        <v>0.0</v>
      </c>
      <c r="L11" s="7">
        <f>I11*Parameters!$H$24</f>
        <v>904.9881117187498</v>
      </c>
      <c r="M11" s="7">
        <f>J11+K11+L11</f>
        <v>2804.9881117187497</v>
      </c>
      <c r="N11" s="7">
        <f>C11*Parameters!$H$17+D11*Parameters!$H$18+E11*Parameters!$H$16+I11*Parameters!$H$25+G11*Parameters!$H$30</f>
        <v>539.3740719531249</v>
      </c>
      <c r="O11" s="7">
        <f>B11*Parameters!$H$19</f>
        <v>4000</v>
      </c>
      <c r="P11" s="7">
        <f>M11-N11-O11</f>
        <v>-1734.3859602343755</v>
      </c>
      <c r="Q11" s="7">
        <f>Parameters!$H$21</f>
        <v>1000</v>
      </c>
      <c r="R11" s="7">
        <f>P11-Q11</f>
        <v>-2734.3859602343755</v>
      </c>
      <c r="S11" s="7">
        <f>IF(A11&lt;1+Parameters!$H$31,0,INDEX($M$5:$M$40,A11-Parameters!$H$31))</f>
        <v>2694.724328125</v>
      </c>
      <c r="T11" s="7">
        <f>T10+M11-S11</f>
        <v>2804.9881117187497</v>
      </c>
      <c r="U11" s="7">
        <f>S11-N11-O11-Q11</f>
        <v>-2844.649743828125</v>
      </c>
      <c r="V11" s="7">
        <f>V10+U11</f>
        <v>-23799.795667265626</v>
      </c>
      <c r="W11" s="7">
        <f>(1-Parameters!$H$7)*(C11-E11)+(1-Parameters!$H$8)*(D11+E11)</f>
        <v>979.02848</v>
      </c>
      <c r="X11" s="7">
        <f>Parameters!$H$7*(C11-E11)+Parameters!$H$8*Parameters!$H$9*(D11+E11)</f>
        <v>0.0</v>
      </c>
      <c r="Y11" s="7">
        <f>Parameters!$H$8*(1-Parameters!$H$9)*(D11+E11)</f>
        <v>316.11392000000006</v>
      </c>
      <c r="Z11" s="7">
        <f>POWER(1/(1+Parameters!$H$32),A11-1)*(M11-N11)</f>
        <v>2134.3109110862415</v>
      </c>
    </row>
    <row r="12" spans="1:26">
      <c r="A12" s="7">
        <v>8</v>
      </c>
      <c r="B12" s="7">
        <f>Parameters!$H$20</f>
        <v>1000</v>
      </c>
      <c r="C12" s="7">
        <f>X11+B12</f>
        <v>1000.0</v>
      </c>
      <c r="D12" s="7">
        <f>Y11</f>
        <v>316.1139200000001</v>
      </c>
      <c r="E12" s="7">
        <f>Parameters!$H$6*C12</f>
        <v>100.0</v>
      </c>
      <c r="F12" s="7">
        <f>IF(Parameters!$H$5=1,E12,0)</f>
        <v>0.0</v>
      </c>
      <c r="G12" s="7">
        <f>Parameters!$H$27*G11+F12</f>
        <v>0.0</v>
      </c>
      <c r="H12" s="7">
        <f>IF(AND(Parameters!$H$5=1,Parameters!$H$26=1),SUMPRODUCT(--($A$5:A12&lt;A12),--(MOD(A12-$A$5:A12,Parameters!$H$28)=0),$F$5:F12,POWER(Parameters!$H$27,IF(A12-$A$5:A12=0,1,A12-$A$5:A12))),0)</f>
        <v>0.0</v>
      </c>
      <c r="I12" s="7">
        <f>Parameters!$H$23*I11+B12*Parameters!$H$22</f>
        <v>336.5795687109374</v>
      </c>
      <c r="J12" s="7">
        <f>E12*Parameters!$H$14*(1-Parameters!$H$15)</f>
        <v>1900.0</v>
      </c>
      <c r="K12" s="7">
        <f>H12*Parameters!$H$29</f>
        <v>0.0</v>
      </c>
      <c r="L12" s="7">
        <f>I12*Parameters!$H$24</f>
        <v>1009.7387061328122</v>
      </c>
      <c r="M12" s="7">
        <f>J12+K12+L12</f>
        <v>2909.7387061328122</v>
      </c>
      <c r="N12" s="7">
        <f>C12*Parameters!$H$17+D12*Parameters!$H$18+E12*Parameters!$H$16+I12*Parameters!$H$25+G12*Parameters!$H$30</f>
        <v>563.1239603554687</v>
      </c>
      <c r="O12" s="7">
        <f>B12*Parameters!$H$19</f>
        <v>4000</v>
      </c>
      <c r="P12" s="7">
        <f>M12-N12-O12</f>
        <v>-1653.3852542226564</v>
      </c>
      <c r="Q12" s="7">
        <f>Parameters!$H$21</f>
        <v>1000</v>
      </c>
      <c r="R12" s="7">
        <f>P12-Q12</f>
        <v>-2653.3852542226564</v>
      </c>
      <c r="S12" s="7">
        <f>IF(A12&lt;1+Parameters!$H$31,0,INDEX($M$5:$M$40,A12-Parameters!$H$31))</f>
        <v>2804.9881117187497</v>
      </c>
      <c r="T12" s="7">
        <f>T11+M12-S12</f>
        <v>2909.7387061328122</v>
      </c>
      <c r="U12" s="7">
        <f>S12-N12-O12-Q12</f>
        <v>-2758.135848636719</v>
      </c>
      <c r="V12" s="7">
        <f>V11+U12</f>
        <v>-26557.931515902346</v>
      </c>
      <c r="W12" s="7">
        <f>(1-Parameters!$H$7)*(C12-E12)+(1-Parameters!$H$8)*(D12+E12)</f>
        <v>983.222784</v>
      </c>
      <c r="X12" s="7">
        <f>Parameters!$H$7*(C12-E12)+Parameters!$H$8*Parameters!$H$9*(D12+E12)</f>
        <v>0.0</v>
      </c>
      <c r="Y12" s="7">
        <f>Parameters!$H$8*(1-Parameters!$H$9)*(D12+E12)</f>
        <v>332.89113600000013</v>
      </c>
      <c r="Z12" s="7">
        <f>POWER(1/(1+Parameters!$H$32),A12-1)*(M12-N12)</f>
        <v>2188.729940828523</v>
      </c>
    </row>
    <row r="13" spans="1:26">
      <c r="A13" s="7">
        <v>9</v>
      </c>
      <c r="B13" s="7">
        <f>Parameters!$H$20</f>
        <v>1000</v>
      </c>
      <c r="C13" s="7">
        <f>X12+B13</f>
        <v>1000.0</v>
      </c>
      <c r="D13" s="7">
        <f>Y12</f>
        <v>332.89113600000013</v>
      </c>
      <c r="E13" s="7">
        <f>Parameters!$H$6*C13</f>
        <v>100.0</v>
      </c>
      <c r="F13" s="7">
        <f>IF(Parameters!$H$5=1,E13,0)</f>
        <v>0.0</v>
      </c>
      <c r="G13" s="7">
        <f>Parameters!$H$27*G12+F13</f>
        <v>0.0</v>
      </c>
      <c r="H13" s="7">
        <f>IF(AND(Parameters!$H$5=1,Parameters!$H$26=1),SUMPRODUCT(--($A$5:A13&lt;A13),--(MOD(A13-$A$5:A13,Parameters!$H$28)=0),$F$5:F13,POWER(Parameters!$H$27,IF(A13-$A$5:A13=0,1,A13-$A$5:A13))),0)</f>
        <v>0.0</v>
      </c>
      <c r="I13" s="7">
        <f>Parameters!$H$23*I12+B13*Parameters!$H$22</f>
        <v>369.7505902753905</v>
      </c>
      <c r="J13" s="7">
        <f>E13*Parameters!$H$14*(1-Parameters!$H$15)</f>
        <v>1900.0</v>
      </c>
      <c r="K13" s="7">
        <f>H13*Parameters!$H$29</f>
        <v>0.0</v>
      </c>
      <c r="L13" s="7">
        <f>I13*Parameters!$H$24</f>
        <v>1109.2517708261714</v>
      </c>
      <c r="M13" s="7">
        <f>J13+K13+L13</f>
        <v>3009.251770826171</v>
      </c>
      <c r="N13" s="7">
        <f>C13*Parameters!$H$17+D13*Parameters!$H$18+E13*Parameters!$H$16+I13*Parameters!$H$25+G13*Parameters!$H$30</f>
        <v>584.7426359376952</v>
      </c>
      <c r="O13" s="7">
        <f>B13*Parameters!$H$19</f>
        <v>4000</v>
      </c>
      <c r="P13" s="7">
        <f>M13-N13-O13</f>
        <v>-1575.4908651115238</v>
      </c>
      <c r="Q13" s="7">
        <f>Parameters!$H$21</f>
        <v>1000</v>
      </c>
      <c r="R13" s="7">
        <f>P13-Q13</f>
        <v>-2575.490865111524</v>
      </c>
      <c r="S13" s="7">
        <f>IF(A13&lt;1+Parameters!$H$31,0,INDEX($M$5:$M$40,A13-Parameters!$H$31))</f>
        <v>2909.7387061328122</v>
      </c>
      <c r="T13" s="7">
        <f>T12+M13-S13</f>
        <v>3009.251770826171</v>
      </c>
      <c r="U13" s="7">
        <f>S13-N13-O13-Q13</f>
        <v>-2675.0039298048832</v>
      </c>
      <c r="V13" s="7">
        <f>V12+U13</f>
        <v>-29232.93544570723</v>
      </c>
      <c r="W13" s="7">
        <f>(1-Parameters!$H$7)*(C13-E13)+(1-Parameters!$H$8)*(D13+E13)</f>
        <v>986.5782272</v>
      </c>
      <c r="X13" s="7">
        <f>Parameters!$H$7*(C13-E13)+Parameters!$H$8*Parameters!$H$9*(D13+E13)</f>
        <v>0.0</v>
      </c>
      <c r="Y13" s="7">
        <f>Parameters!$H$8*(1-Parameters!$H$9)*(D13+E13)</f>
        <v>346.3129088000001</v>
      </c>
      <c r="Z13" s="7">
        <f>POWER(1/(1+Parameters!$H$32),A13-1)*(M13-N13)</f>
        <v>2238.993508824613</v>
      </c>
    </row>
    <row r="14" spans="1:26">
      <c r="A14" s="7">
        <v>10</v>
      </c>
      <c r="B14" s="7">
        <f>Parameters!$H$20</f>
        <v>1000</v>
      </c>
      <c r="C14" s="7">
        <f>X13+B14</f>
        <v>1000.0</v>
      </c>
      <c r="D14" s="7">
        <f>Y13</f>
        <v>346.3129088000001</v>
      </c>
      <c r="E14" s="7">
        <f>Parameters!$H$6*C14</f>
        <v>100.0</v>
      </c>
      <c r="F14" s="7">
        <f>IF(Parameters!$H$5=1,E14,0)</f>
        <v>0.0</v>
      </c>
      <c r="G14" s="7">
        <f>Parameters!$H$27*G13+F14</f>
        <v>0.0</v>
      </c>
      <c r="H14" s="7">
        <f>IF(AND(Parameters!$H$5=1,Parameters!$H$26=1),SUMPRODUCT(--($A$5:A14&lt;A14),--(MOD(A14-$A$5:A14,Parameters!$H$28)=0),$F$5:F14,POWER(Parameters!$H$27,IF(A14-$A$5:A14=0,1,A14-$A$5:A14))),0)</f>
        <v>0.0</v>
      </c>
      <c r="I14" s="7">
        <f>Parameters!$H$23*I13+B14*Parameters!$H$22</f>
        <v>401.263060761621</v>
      </c>
      <c r="J14" s="7">
        <f>E14*Parameters!$H$14*(1-Parameters!$H$15)</f>
        <v>1900.0</v>
      </c>
      <c r="K14" s="7">
        <f>H14*Parameters!$H$29</f>
        <v>0.0</v>
      </c>
      <c r="L14" s="7">
        <f>I14*Parameters!$H$24</f>
        <v>1203.7891822848628</v>
      </c>
      <c r="M14" s="7">
        <f>J14+K14+L14</f>
        <v>3103.789182284863</v>
      </c>
      <c r="N14" s="7">
        <f>C14*Parameters!$H$17+D14*Parameters!$H$18+E14*Parameters!$H$16+I14*Parameters!$H$25+G14*Parameters!$H$30</f>
        <v>604.5254030208105</v>
      </c>
      <c r="O14" s="7">
        <f>B14*Parameters!$H$19</f>
        <v>4000</v>
      </c>
      <c r="P14" s="7">
        <f>M14-N14-O14</f>
        <v>-1500.7362207359474</v>
      </c>
      <c r="Q14" s="7">
        <f>Parameters!$H$21</f>
        <v>1000</v>
      </c>
      <c r="R14" s="7">
        <f>P14-Q14</f>
        <v>-2500.7362207359474</v>
      </c>
      <c r="S14" s="7">
        <f>IF(A14&lt;1+Parameters!$H$31,0,INDEX($M$5:$M$40,A14-Parameters!$H$31))</f>
        <v>3009.251770826171</v>
      </c>
      <c r="T14" s="7">
        <f>T13+M14-S14</f>
        <v>3103.789182284863</v>
      </c>
      <c r="U14" s="7">
        <f>S14-N14-O14-Q14</f>
        <v>-2595.2736321946395</v>
      </c>
      <c r="V14" s="7">
        <f>V13+U14</f>
        <v>-31828.20907790187</v>
      </c>
      <c r="W14" s="7">
        <f>(1-Parameters!$H$7)*(C14-E14)+(1-Parameters!$H$8)*(D14+E14)</f>
        <v>989.26258176</v>
      </c>
      <c r="X14" s="7">
        <f>Parameters!$H$7*(C14-E14)+Parameters!$H$8*Parameters!$H$9*(D14+E14)</f>
        <v>0.0</v>
      </c>
      <c r="Y14" s="7">
        <f>Parameters!$H$8*(1-Parameters!$H$9)*(D14+E14)</f>
        <v>357.0503270400001</v>
      </c>
      <c r="Z14" s="7">
        <f>POWER(1/(1+Parameters!$H$32),A14-1)*(M14-N14)</f>
        <v>2285.1764046614744</v>
      </c>
    </row>
    <row r="15" spans="1:26">
      <c r="A15" s="7">
        <v>11</v>
      </c>
      <c r="B15" s="7">
        <f>Parameters!$H$20</f>
        <v>1000</v>
      </c>
      <c r="C15" s="7">
        <f>X14+B15</f>
        <v>1000.0</v>
      </c>
      <c r="D15" s="7">
        <f>Y14</f>
        <v>357.0503270400001</v>
      </c>
      <c r="E15" s="7">
        <f>Parameters!$H$6*C15</f>
        <v>100.0</v>
      </c>
      <c r="F15" s="7">
        <f>IF(Parameters!$H$5=1,E15,0)</f>
        <v>0.0</v>
      </c>
      <c r="G15" s="7">
        <f>Parameters!$H$27*G14+F15</f>
        <v>0.0</v>
      </c>
      <c r="H15" s="7">
        <f>IF(AND(Parameters!$H$5=1,Parameters!$H$26=1),SUMPRODUCT(--($A$5:A15&lt;A15),--(MOD(A15-$A$5:A15,Parameters!$H$28)=0),$F$5:F15,POWER(Parameters!$H$27,IF(A15-$A$5:A15=0,1,A15-$A$5:A15))),0)</f>
        <v>0.0</v>
      </c>
      <c r="I15" s="7">
        <f>Parameters!$H$23*I14+B15*Parameters!$H$22</f>
        <v>431.1999077235399</v>
      </c>
      <c r="J15" s="7">
        <f>E15*Parameters!$H$14*(1-Parameters!$H$15)</f>
        <v>1900.0</v>
      </c>
      <c r="K15" s="7">
        <f>H15*Parameters!$H$29</f>
        <v>0.0</v>
      </c>
      <c r="L15" s="7">
        <f>I15*Parameters!$H$24</f>
        <v>1293.5997231706197</v>
      </c>
      <c r="M15" s="7">
        <f>J15+K15+L15</f>
        <v>3193.5997231706197</v>
      </c>
      <c r="N15" s="7">
        <f>C15*Parameters!$H$17+D15*Parameters!$H$18+E15*Parameters!$H$16+I15*Parameters!$H$25+G15*Parameters!$H$30</f>
        <v>622.71505197377</v>
      </c>
      <c r="O15" s="7">
        <f>B15*Parameters!$H$19</f>
        <v>4000</v>
      </c>
      <c r="P15" s="7">
        <f>M15-N15-O15</f>
        <v>-1429.11532880315</v>
      </c>
      <c r="Q15" s="7">
        <f>Parameters!$H$21</f>
        <v>1000</v>
      </c>
      <c r="R15" s="7">
        <f>P15-Q15</f>
        <v>-2429.11532880315</v>
      </c>
      <c r="S15" s="7">
        <f>IF(A15&lt;1+Parameters!$H$31,0,INDEX($M$5:$M$40,A15-Parameters!$H$31))</f>
        <v>3103.789182284863</v>
      </c>
      <c r="T15" s="7">
        <f>T14+M15-S15</f>
        <v>3193.5997231706197</v>
      </c>
      <c r="U15" s="7">
        <f>S15-N15-O15-Q15</f>
        <v>-2518.9258696889074</v>
      </c>
      <c r="V15" s="7">
        <f>V14+U15</f>
        <v>-34347.13494759078</v>
      </c>
      <c r="W15" s="7">
        <f>(1-Parameters!$H$7)*(C15-E15)+(1-Parameters!$H$8)*(D15+E15)</f>
        <v>991.410065408</v>
      </c>
      <c r="X15" s="7">
        <f>Parameters!$H$7*(C15-E15)+Parameters!$H$8*Parameters!$H$9*(D15+E15)</f>
        <v>0.0</v>
      </c>
      <c r="Y15" s="7">
        <f>Parameters!$H$8*(1-Parameters!$H$9)*(D15+E15)</f>
        <v>365.64026163200015</v>
      </c>
      <c r="Z15" s="7">
        <f>POWER(1/(1+Parameters!$H$32),A15-1)*(M15-N15)</f>
        <v>2327.388354854668</v>
      </c>
    </row>
    <row r="16" spans="1:26">
      <c r="A16" s="7">
        <v>12</v>
      </c>
      <c r="B16" s="7">
        <f>Parameters!$H$20</f>
        <v>1000</v>
      </c>
      <c r="C16" s="7">
        <f>X15+B16</f>
        <v>1000.0</v>
      </c>
      <c r="D16" s="7">
        <f>Y15</f>
        <v>365.64026163200015</v>
      </c>
      <c r="E16" s="7">
        <f>Parameters!$H$6*C16</f>
        <v>100.0</v>
      </c>
      <c r="F16" s="7">
        <f>IF(Parameters!$H$5=1,E16,0)</f>
        <v>0.0</v>
      </c>
      <c r="G16" s="7">
        <f>Parameters!$H$27*G15+F16</f>
        <v>0.0</v>
      </c>
      <c r="H16" s="7">
        <f>IF(AND(Parameters!$H$5=1,Parameters!$H$26=1),SUMPRODUCT(--($A$5:A16&lt;A16),--(MOD(A16-$A$5:A16,Parameters!$H$28)=0),$F$5:F16,POWER(Parameters!$H$27,IF(A16-$A$5:A16=0,1,A16-$A$5:A16))),0)</f>
        <v>0.0</v>
      </c>
      <c r="I16" s="7">
        <f>Parameters!$H$23*I15+B16*Parameters!$H$22</f>
        <v>459.6399123373629</v>
      </c>
      <c r="J16" s="7">
        <f>E16*Parameters!$H$14*(1-Parameters!$H$15)</f>
        <v>1900.0</v>
      </c>
      <c r="K16" s="7">
        <f>H16*Parameters!$H$29</f>
        <v>0.0</v>
      </c>
      <c r="L16" s="7">
        <f>I16*Parameters!$H$24</f>
        <v>1378.9197370120887</v>
      </c>
      <c r="M16" s="7">
        <f>J16+K16+L16</f>
        <v>3278.9197370120887</v>
      </c>
      <c r="N16" s="7">
        <f>C16*Parameters!$H$17+D16*Parameters!$H$18+E16*Parameters!$H$16+I16*Parameters!$H$25+G16*Parameters!$H$30</f>
        <v>639.5120346582814</v>
      </c>
      <c r="O16" s="7">
        <f>B16*Parameters!$H$19</f>
        <v>4000</v>
      </c>
      <c r="P16" s="7">
        <f>M16-N16-O16</f>
        <v>-1360.5922976461925</v>
      </c>
      <c r="Q16" s="7">
        <f>Parameters!$H$21</f>
        <v>1000</v>
      </c>
      <c r="R16" s="7">
        <f>P16-Q16</f>
        <v>-2360.5922976461925</v>
      </c>
      <c r="S16" s="7">
        <f>IF(A16&lt;1+Parameters!$H$31,0,INDEX($M$5:$M$40,A16-Parameters!$H$31))</f>
        <v>3193.5997231706197</v>
      </c>
      <c r="T16" s="7">
        <f>T15+M16-S16</f>
        <v>3278.9197370120887</v>
      </c>
      <c r="U16" s="7">
        <f>S16-N16-O16-Q16</f>
        <v>-2445.912311487662</v>
      </c>
      <c r="V16" s="7">
        <f>V15+U16</f>
        <v>-36793.04725907844</v>
      </c>
      <c r="W16" s="7">
        <f>(1-Parameters!$H$7)*(C16-E16)+(1-Parameters!$H$8)*(D16+E16)</f>
        <v>993.1280523264</v>
      </c>
      <c r="X16" s="7">
        <f>Parameters!$H$7*(C16-E16)+Parameters!$H$8*Parameters!$H$9*(D16+E16)</f>
        <v>0.0</v>
      </c>
      <c r="Y16" s="7">
        <f>Parameters!$H$8*(1-Parameters!$H$9)*(D16+E16)</f>
        <v>372.51220930560015</v>
      </c>
      <c r="Z16" s="7">
        <f>POWER(1/(1+Parameters!$H$32),A16-1)*(M16-N16)</f>
        <v>2365.763723818893</v>
      </c>
    </row>
    <row r="17" spans="1:26">
      <c r="A17" s="7">
        <v>13</v>
      </c>
      <c r="B17" s="7">
        <f>Parameters!$H$20</f>
        <v>1000</v>
      </c>
      <c r="C17" s="7">
        <f>X16+B17</f>
        <v>1000.0</v>
      </c>
      <c r="D17" s="7">
        <f>Y16</f>
        <v>372.51220930560015</v>
      </c>
      <c r="E17" s="7">
        <f>Parameters!$H$6*C17</f>
        <v>100.0</v>
      </c>
      <c r="F17" s="7">
        <f>IF(Parameters!$H$5=1,E17,0)</f>
        <v>0.0</v>
      </c>
      <c r="G17" s="7">
        <f>Parameters!$H$27*G16+F17</f>
        <v>0.0</v>
      </c>
      <c r="H17" s="7">
        <f>IF(AND(Parameters!$H$5=1,Parameters!$H$26=1),SUMPRODUCT(--($A$5:A17&lt;A17),--(MOD(A17-$A$5:A17,Parameters!$H$28)=0),$F$5:F17,POWER(Parameters!$H$27,IF(A17-$A$5:A17=0,1,A17-$A$5:A17))),0)</f>
        <v>0.0</v>
      </c>
      <c r="I17" s="7">
        <f>Parameters!$H$23*I16+B17*Parameters!$H$22</f>
        <v>486.6579167204947</v>
      </c>
      <c r="J17" s="7">
        <f>E17*Parameters!$H$14*(1-Parameters!$H$15)</f>
        <v>1900.0</v>
      </c>
      <c r="K17" s="7">
        <f>H17*Parameters!$H$29</f>
        <v>0.0</v>
      </c>
      <c r="L17" s="7">
        <f>I17*Parameters!$H$24</f>
        <v>1459.973750161484</v>
      </c>
      <c r="M17" s="7">
        <f>J17+K17+L17</f>
        <v>3359.973750161484</v>
      </c>
      <c r="N17" s="7">
        <f>C17*Parameters!$H$17+D17*Parameters!$H$18+E17*Parameters!$H$16+I17*Parameters!$H$25+G17*Parameters!$H$30</f>
        <v>655.0826211519274</v>
      </c>
      <c r="O17" s="7">
        <f>B17*Parameters!$H$19</f>
        <v>4000</v>
      </c>
      <c r="P17" s="7">
        <f>M17-N17-O17</f>
        <v>-1295.1088709904434</v>
      </c>
      <c r="Q17" s="7">
        <f>Parameters!$H$21</f>
        <v>1000</v>
      </c>
      <c r="R17" s="7">
        <f>P17-Q17</f>
        <v>-2295.1088709904434</v>
      </c>
      <c r="S17" s="7">
        <f>IF(A17&lt;1+Parameters!$H$31,0,INDEX($M$5:$M$40,A17-Parameters!$H$31))</f>
        <v>3278.9197370120887</v>
      </c>
      <c r="T17" s="7">
        <f>T16+M17-S17</f>
        <v>3359.973750161484</v>
      </c>
      <c r="U17" s="7">
        <f>S17-N17-O17-Q17</f>
        <v>-2376.1628841398388</v>
      </c>
      <c r="V17" s="7">
        <f>V16+U17</f>
        <v>-39169.21014321828</v>
      </c>
      <c r="W17" s="7">
        <f>(1-Parameters!$H$7)*(C17-E17)+(1-Parameters!$H$8)*(D17+E17)</f>
        <v>994.50244186112</v>
      </c>
      <c r="X17" s="7">
        <f>Parameters!$H$7*(C17-E17)+Parameters!$H$8*Parameters!$H$9*(D17+E17)</f>
        <v>0.0</v>
      </c>
      <c r="Y17" s="7">
        <f>Parameters!$H$8*(1-Parameters!$H$9)*(D17+E17)</f>
        <v>378.00976744448013</v>
      </c>
      <c r="Z17" s="7">
        <f>POWER(1/(1+Parameters!$H$32),A17-1)*(M17-N17)</f>
        <v>2400.4535368661177</v>
      </c>
    </row>
    <row r="18" spans="1:26">
      <c r="A18" s="7">
        <v>14</v>
      </c>
      <c r="B18" s="7">
        <f>Parameters!$H$20</f>
        <v>1000</v>
      </c>
      <c r="C18" s="7">
        <f>X17+B18</f>
        <v>1000.0</v>
      </c>
      <c r="D18" s="7">
        <f>Y17</f>
        <v>378.00976744448013</v>
      </c>
      <c r="E18" s="7">
        <f>Parameters!$H$6*C18</f>
        <v>100.0</v>
      </c>
      <c r="F18" s="7">
        <f>IF(Parameters!$H$5=1,E18,0)</f>
        <v>0.0</v>
      </c>
      <c r="G18" s="7">
        <f>Parameters!$H$27*G17+F18</f>
        <v>0.0</v>
      </c>
      <c r="H18" s="7">
        <f>IF(AND(Parameters!$H$5=1,Parameters!$H$26=1),SUMPRODUCT(--($A$5:A18&lt;A18),--(MOD(A18-$A$5:A18,Parameters!$H$28)=0),$F$5:F18,POWER(Parameters!$H$27,IF(A18-$A$5:A18=0,1,A18-$A$5:A18))),0)</f>
        <v>0.0</v>
      </c>
      <c r="I18" s="7">
        <f>Parameters!$H$23*I17+B18*Parameters!$H$22</f>
        <v>512.32502088447</v>
      </c>
      <c r="J18" s="7">
        <f>E18*Parameters!$H$14*(1-Parameters!$H$15)</f>
        <v>1900.0</v>
      </c>
      <c r="K18" s="7">
        <f>H18*Parameters!$H$29</f>
        <v>0.0</v>
      </c>
      <c r="L18" s="7">
        <f>I18*Parameters!$H$24</f>
        <v>1536.9750626534099</v>
      </c>
      <c r="M18" s="7">
        <f>J18+K18+L18</f>
        <v>3436.9750626534096</v>
      </c>
      <c r="N18" s="7">
        <f>C18*Parameters!$H$17+D18*Parameters!$H$18+E18*Parameters!$H$16+I18*Parameters!$H$25+G18*Parameters!$H$30</f>
        <v>669.565440675579</v>
      </c>
      <c r="O18" s="7">
        <f>B18*Parameters!$H$19</f>
        <v>4000</v>
      </c>
      <c r="P18" s="7">
        <f>M18-N18-O18</f>
        <v>-1232.5903780221693</v>
      </c>
      <c r="Q18" s="7">
        <f>Parameters!$H$21</f>
        <v>1000</v>
      </c>
      <c r="R18" s="7">
        <f>P18-Q18</f>
        <v>-2232.5903780221693</v>
      </c>
      <c r="S18" s="7">
        <f>IF(A18&lt;1+Parameters!$H$31,0,INDEX($M$5:$M$40,A18-Parameters!$H$31))</f>
        <v>3359.973750161484</v>
      </c>
      <c r="T18" s="7">
        <f>T17+M18-S18</f>
        <v>3436.9750626534096</v>
      </c>
      <c r="U18" s="7">
        <f>S18-N18-O18-Q18</f>
        <v>-2309.591690514095</v>
      </c>
      <c r="V18" s="7">
        <f>V17+U18</f>
        <v>-41478.801833732374</v>
      </c>
      <c r="W18" s="7">
        <f>(1-Parameters!$H$7)*(C18-E18)+(1-Parameters!$H$8)*(D18+E18)</f>
        <v>995.601953488896</v>
      </c>
      <c r="X18" s="7">
        <f>Parameters!$H$7*(C18-E18)+Parameters!$H$8*Parameters!$H$9*(D18+E18)</f>
        <v>0.0</v>
      </c>
      <c r="Y18" s="7">
        <f>Parameters!$H$8*(1-Parameters!$H$9)*(D18+E18)</f>
        <v>382.4078139555841</v>
      </c>
      <c r="Z18" s="7">
        <f>POWER(1/(1+Parameters!$H$32),A18-1)*(M18-N18)</f>
        <v>2431.619331698572</v>
      </c>
    </row>
    <row r="19" spans="1:26">
      <c r="A19" s="7">
        <v>15</v>
      </c>
      <c r="B19" s="7">
        <f>Parameters!$H$20</f>
        <v>1000</v>
      </c>
      <c r="C19" s="7">
        <f>X18+B19</f>
        <v>1000.0</v>
      </c>
      <c r="D19" s="7">
        <f>Y18</f>
        <v>382.4078139555841</v>
      </c>
      <c r="E19" s="7">
        <f>Parameters!$H$6*C19</f>
        <v>100.0</v>
      </c>
      <c r="F19" s="7">
        <f>IF(Parameters!$H$5=1,E19,0)</f>
        <v>0.0</v>
      </c>
      <c r="G19" s="7">
        <f>Parameters!$H$27*G18+F19</f>
        <v>0.0</v>
      </c>
      <c r="H19" s="7">
        <f>IF(AND(Parameters!$H$5=1,Parameters!$H$26=1),SUMPRODUCT(--($A$5:A19&lt;A19),--(MOD(A19-$A$5:A19,Parameters!$H$28)=0),$F$5:F19,POWER(Parameters!$H$27,IF(A19-$A$5:A19=0,1,A19-$A$5:A19))),0)</f>
        <v>0.0</v>
      </c>
      <c r="I19" s="7">
        <f>Parameters!$H$23*I18+B19*Parameters!$H$22</f>
        <v>536.7087698402464</v>
      </c>
      <c r="J19" s="7">
        <f>E19*Parameters!$H$14*(1-Parameters!$H$15)</f>
        <v>1900.0</v>
      </c>
      <c r="K19" s="7">
        <f>H19*Parameters!$H$29</f>
        <v>0.0</v>
      </c>
      <c r="L19" s="7">
        <f>I19*Parameters!$H$24</f>
        <v>1610.1263095207391</v>
      </c>
      <c r="M19" s="7">
        <f>J19+K19+L19</f>
        <v>3510.126309520739</v>
      </c>
      <c r="N19" s="7">
        <f>C19*Parameters!$H$17+D19*Parameters!$H$18+E19*Parameters!$H$16+I19*Parameters!$H$25+G19*Parameters!$H$30</f>
        <v>683.0767291067984</v>
      </c>
      <c r="O19" s="7">
        <f>B19*Parameters!$H$19</f>
        <v>4000</v>
      </c>
      <c r="P19" s="7">
        <f>M19-N19-O19</f>
        <v>-1172.950419586059</v>
      </c>
      <c r="Q19" s="7">
        <f>Parameters!$H$21</f>
        <v>1000</v>
      </c>
      <c r="R19" s="7">
        <f>P19-Q19</f>
        <v>-2172.950419586059</v>
      </c>
      <c r="S19" s="7">
        <f>IF(A19&lt;1+Parameters!$H$31,0,INDEX($M$5:$M$40,A19-Parameters!$H$31))</f>
        <v>3436.9750626534096</v>
      </c>
      <c r="T19" s="7">
        <f>T18+M19-S19</f>
        <v>3510.126309520739</v>
      </c>
      <c r="U19" s="7">
        <f>S19-N19-O19-Q19</f>
        <v>-2246.101666453389</v>
      </c>
      <c r="V19" s="7">
        <f>V18+U19</f>
        <v>-43724.90350018576</v>
      </c>
      <c r="W19" s="7">
        <f>(1-Parameters!$H$7)*(C19-E19)+(1-Parameters!$H$8)*(D19+E19)</f>
        <v>996.4815627911169</v>
      </c>
      <c r="X19" s="7">
        <f>Parameters!$H$7*(C19-E19)+Parameters!$H$8*Parameters!$H$9*(D19+E19)</f>
        <v>0.0</v>
      </c>
      <c r="Y19" s="7">
        <f>Parameters!$H$8*(1-Parameters!$H$9)*(D19+E19)</f>
        <v>385.9262511644673</v>
      </c>
      <c r="Z19" s="7">
        <f>POWER(1/(1+Parameters!$H$32),A19-1)*(M19-N19)</f>
        <v>2459.42844811737</v>
      </c>
    </row>
    <row r="20" spans="1:26">
      <c r="A20" s="7">
        <v>16</v>
      </c>
      <c r="B20" s="7">
        <f>Parameters!$H$20</f>
        <v>1000</v>
      </c>
      <c r="C20" s="7">
        <f>X19+B20</f>
        <v>1000.0</v>
      </c>
      <c r="D20" s="7">
        <f>Y19</f>
        <v>385.9262511644674</v>
      </c>
      <c r="E20" s="7">
        <f>Parameters!$H$6*C20</f>
        <v>100.0</v>
      </c>
      <c r="F20" s="7">
        <f>IF(Parameters!$H$5=1,E20,0)</f>
        <v>0.0</v>
      </c>
      <c r="G20" s="7">
        <f>Parameters!$H$27*G19+F20</f>
        <v>0.0</v>
      </c>
      <c r="H20" s="7">
        <f>IF(AND(Parameters!$H$5=1,Parameters!$H$26=1),SUMPRODUCT(--($A$5:A20&lt;A20),--(MOD(A20-$A$5:A20,Parameters!$H$28)=0),$F$5:F20,POWER(Parameters!$H$27,IF(A20-$A$5:A20=0,1,A20-$A$5:A20))),0)</f>
        <v>0.0</v>
      </c>
      <c r="I20" s="7">
        <f>Parameters!$H$23*I19+B20*Parameters!$H$22</f>
        <v>559.873331348234</v>
      </c>
      <c r="J20" s="7">
        <f>E20*Parameters!$H$14*(1-Parameters!$H$15)</f>
        <v>1900.0</v>
      </c>
      <c r="K20" s="7">
        <f>H20*Parameters!$H$29</f>
        <v>0.0</v>
      </c>
      <c r="L20" s="7">
        <f>I20*Parameters!$H$24</f>
        <v>1679.6199940447023</v>
      </c>
      <c r="M20" s="7">
        <f>J20+K20+L20</f>
        <v>3579.6199940447023</v>
      </c>
      <c r="N20" s="7">
        <f>C20*Parameters!$H$17+D20*Parameters!$H$18+E20*Parameters!$H$16+I20*Parameters!$H$25+G20*Parameters!$H$30</f>
        <v>695.7145410234573</v>
      </c>
      <c r="O20" s="7">
        <f>B20*Parameters!$H$19</f>
        <v>4000</v>
      </c>
      <c r="P20" s="7">
        <f>M20-N20-O20</f>
        <v>-1116.0945469787548</v>
      </c>
      <c r="Q20" s="7">
        <f>Parameters!$H$21</f>
        <v>1000</v>
      </c>
      <c r="R20" s="7">
        <f>P20-Q20</f>
        <v>-2116.094546978755</v>
      </c>
      <c r="S20" s="7">
        <f>IF(A20&lt;1+Parameters!$H$31,0,INDEX($M$5:$M$40,A20-Parameters!$H$31))</f>
        <v>3510.126309520739</v>
      </c>
      <c r="T20" s="7">
        <f>T19+M20-S20</f>
        <v>3579.6199940447023</v>
      </c>
      <c r="U20" s="7">
        <f>S20-N20-O20-Q20</f>
        <v>-2185.5882315027184</v>
      </c>
      <c r="V20" s="7">
        <f>V19+U20</f>
        <v>-45910.49173168848</v>
      </c>
      <c r="W20" s="7">
        <f>(1-Parameters!$H$7)*(C20-E20)+(1-Parameters!$H$8)*(D20+E20)</f>
        <v>997.1852502328934</v>
      </c>
      <c r="X20" s="7">
        <f>Parameters!$H$7*(C20-E20)+Parameters!$H$8*Parameters!$H$9*(D20+E20)</f>
        <v>0.0</v>
      </c>
      <c r="Y20" s="7">
        <f>Parameters!$H$8*(1-Parameters!$H$9)*(D20+E20)</f>
        <v>388.7410009315739</v>
      </c>
      <c r="Z20" s="7">
        <f>POWER(1/(1+Parameters!$H$32),A20-1)*(M20-N20)</f>
        <v>2484.0504474145478</v>
      </c>
    </row>
    <row r="21" spans="1:26">
      <c r="A21" s="7">
        <v>17</v>
      </c>
      <c r="B21" s="7">
        <f>Parameters!$H$20</f>
        <v>1000</v>
      </c>
      <c r="C21" s="7">
        <f>X20+B21</f>
        <v>1000.0</v>
      </c>
      <c r="D21" s="7">
        <f>Y20</f>
        <v>388.7410009315739</v>
      </c>
      <c r="E21" s="7">
        <f>Parameters!$H$6*C21</f>
        <v>100.0</v>
      </c>
      <c r="F21" s="7">
        <f>IF(Parameters!$H$5=1,E21,0)</f>
        <v>0.0</v>
      </c>
      <c r="G21" s="7">
        <f>Parameters!$H$27*G20+F21</f>
        <v>0.0</v>
      </c>
      <c r="H21" s="7">
        <f>IF(AND(Parameters!$H$5=1,Parameters!$H$26=1),SUMPRODUCT(--($A$5:A21&lt;A21),--(MOD(A21-$A$5:A21,Parameters!$H$28)=0),$F$5:F21,POWER(Parameters!$H$27,IF(A21-$A$5:A21=0,1,A21-$A$5:A21))),0)</f>
        <v>0.0</v>
      </c>
      <c r="I21" s="7">
        <f>Parameters!$H$23*I20+B21*Parameters!$H$22</f>
        <v>581.8796647808223</v>
      </c>
      <c r="J21" s="7">
        <f>E21*Parameters!$H$14*(1-Parameters!$H$15)</f>
        <v>1900.0</v>
      </c>
      <c r="K21" s="7">
        <f>H21*Parameters!$H$29</f>
        <v>0.0</v>
      </c>
      <c r="L21" s="7">
        <f>I21*Parameters!$H$24</f>
        <v>1745.638994342467</v>
      </c>
      <c r="M21" s="7">
        <f>J21+K21+L21</f>
        <v>3645.638994342467</v>
      </c>
      <c r="N21" s="7">
        <f>C21*Parameters!$H$17+D21*Parameters!$H$18+E21*Parameters!$H$16+I21*Parameters!$H$25+G21*Parameters!$H$30</f>
        <v>707.5621326698833</v>
      </c>
      <c r="O21" s="7">
        <f>B21*Parameters!$H$19</f>
        <v>4000</v>
      </c>
      <c r="P21" s="7">
        <f>M21-N21-O21</f>
        <v>-1061.9231383274164</v>
      </c>
      <c r="Q21" s="7">
        <f>Parameters!$H$21</f>
        <v>1000</v>
      </c>
      <c r="R21" s="7">
        <f>P21-Q21</f>
        <v>-2061.9231383274164</v>
      </c>
      <c r="S21" s="7">
        <f>IF(A21&lt;1+Parameters!$H$31,0,INDEX($M$5:$M$40,A21-Parameters!$H$31))</f>
        <v>3579.6199940447023</v>
      </c>
      <c r="T21" s="7">
        <f>T20+M21-S21</f>
        <v>3645.638994342467</v>
      </c>
      <c r="U21" s="7">
        <f>S21-N21-O21-Q21</f>
        <v>-2127.942138625181</v>
      </c>
      <c r="V21" s="7">
        <f>V20+U21</f>
        <v>-48038.43387031366</v>
      </c>
      <c r="W21" s="7">
        <f>(1-Parameters!$H$7)*(C21-E21)+(1-Parameters!$H$8)*(D21+E21)</f>
        <v>997.7482001863148</v>
      </c>
      <c r="X21" s="7">
        <f>Parameters!$H$7*(C21-E21)+Parameters!$H$8*Parameters!$H$9*(D21+E21)</f>
        <v>0.0</v>
      </c>
      <c r="Y21" s="7">
        <f>Parameters!$H$8*(1-Parameters!$H$9)*(D21+E21)</f>
        <v>390.99280074525916</v>
      </c>
      <c r="Z21" s="7">
        <f>POWER(1/(1+Parameters!$H$32),A21-1)*(M21-N21)</f>
        <v>2505.6544176307834</v>
      </c>
    </row>
    <row r="22" spans="1:26">
      <c r="A22" s="7">
        <v>18</v>
      </c>
      <c r="B22" s="7">
        <f>Parameters!$H$20</f>
        <v>1000</v>
      </c>
      <c r="C22" s="7">
        <f>X21+B22</f>
        <v>1000.0</v>
      </c>
      <c r="D22" s="7">
        <f>Y21</f>
        <v>390.99280074525916</v>
      </c>
      <c r="E22" s="7">
        <f>Parameters!$H$6*C22</f>
        <v>100.0</v>
      </c>
      <c r="F22" s="7">
        <f>IF(Parameters!$H$5=1,E22,0)</f>
        <v>0.0</v>
      </c>
      <c r="G22" s="7">
        <f>Parameters!$H$27*G21+F22</f>
        <v>0.0</v>
      </c>
      <c r="H22" s="7">
        <f>IF(AND(Parameters!$H$5=1,Parameters!$H$26=1),SUMPRODUCT(--($A$5:A22&lt;A22),--(MOD(A22-$A$5:A22,Parameters!$H$28)=0),$F$5:F22,POWER(Parameters!$H$27,IF(A22-$A$5:A22=0,1,A22-$A$5:A22))),0)</f>
        <v>0.0</v>
      </c>
      <c r="I22" s="7">
        <f>Parameters!$H$23*I21+B22*Parameters!$H$22</f>
        <v>602.7856815417812</v>
      </c>
      <c r="J22" s="7">
        <f>E22*Parameters!$H$14*(1-Parameters!$H$15)</f>
        <v>1900.0</v>
      </c>
      <c r="K22" s="7">
        <f>H22*Parameters!$H$29</f>
        <v>0.0</v>
      </c>
      <c r="L22" s="7">
        <f>I22*Parameters!$H$24</f>
        <v>1808.3570446253434</v>
      </c>
      <c r="M22" s="7">
        <f>J22+K22+L22</f>
        <v>3708.3570446253434</v>
      </c>
      <c r="N22" s="7">
        <f>C22*Parameters!$H$17+D22*Parameters!$H$18+E22*Parameters!$H$16+I22*Parameters!$H$25+G22*Parameters!$H$30</f>
        <v>718.6906809944683</v>
      </c>
      <c r="O22" s="7">
        <f>B22*Parameters!$H$19</f>
        <v>4000</v>
      </c>
      <c r="P22" s="7">
        <f>M22-N22-O22</f>
        <v>-1010.3336363691251</v>
      </c>
      <c r="Q22" s="7">
        <f>Parameters!$H$21</f>
        <v>1000</v>
      </c>
      <c r="R22" s="7">
        <f>P22-Q22</f>
        <v>-2010.333636369125</v>
      </c>
      <c r="S22" s="7">
        <f>IF(A22&lt;1+Parameters!$H$31,0,INDEX($M$5:$M$40,A22-Parameters!$H$31))</f>
        <v>3645.638994342467</v>
      </c>
      <c r="T22" s="7">
        <f>T21+M22-S22</f>
        <v>3708.3570446253434</v>
      </c>
      <c r="U22" s="7">
        <f>S22-N22-O22-Q22</f>
        <v>-2073.051686652001</v>
      </c>
      <c r="V22" s="7">
        <f>V21+U22</f>
        <v>-50111.485556965665</v>
      </c>
      <c r="W22" s="7">
        <f>(1-Parameters!$H$7)*(C22-E22)+(1-Parameters!$H$8)*(D22+E22)</f>
        <v>998.1985601490518</v>
      </c>
      <c r="X22" s="7">
        <f>Parameters!$H$7*(C22-E22)+Parameters!$H$8*Parameters!$H$9*(D22+E22)</f>
        <v>0.0</v>
      </c>
      <c r="Y22" s="7">
        <f>Parameters!$H$8*(1-Parameters!$H$9)*(D22+E22)</f>
        <v>392.7942405962074</v>
      </c>
      <c r="Z22" s="7">
        <f>POWER(1/(1+Parameters!$H$32),A22-1)*(M22-N22)</f>
        <v>2524.4069720865828</v>
      </c>
    </row>
    <row r="23" spans="1:26">
      <c r="A23" s="7">
        <v>19</v>
      </c>
      <c r="B23" s="7">
        <f>Parameters!$H$20</f>
        <v>1000</v>
      </c>
      <c r="C23" s="7">
        <f>X22+B23</f>
        <v>1000.0</v>
      </c>
      <c r="D23" s="7">
        <f>Y22</f>
        <v>392.7942405962074</v>
      </c>
      <c r="E23" s="7">
        <f>Parameters!$H$6*C23</f>
        <v>100.0</v>
      </c>
      <c r="F23" s="7">
        <f>IF(Parameters!$H$5=1,E23,0)</f>
        <v>0.0</v>
      </c>
      <c r="G23" s="7">
        <f>Parameters!$H$27*G22+F23</f>
        <v>0.0</v>
      </c>
      <c r="H23" s="7">
        <f>IF(AND(Parameters!$H$5=1,Parameters!$H$26=1),SUMPRODUCT(--($A$5:A23&lt;A23),--(MOD(A23-$A$5:A23,Parameters!$H$28)=0),$F$5:F23,POWER(Parameters!$H$27,IF(A23-$A$5:A23=0,1,A23-$A$5:A23))),0)</f>
        <v>0.0</v>
      </c>
      <c r="I23" s="7">
        <f>Parameters!$H$23*I22+B23*Parameters!$H$22</f>
        <v>622.6463974646921</v>
      </c>
      <c r="J23" s="7">
        <f>E23*Parameters!$H$14*(1-Parameters!$H$15)</f>
        <v>1900.0</v>
      </c>
      <c r="K23" s="7">
        <f>H23*Parameters!$H$29</f>
        <v>0.0</v>
      </c>
      <c r="L23" s="7">
        <f>I23*Parameters!$H$24</f>
        <v>1867.9391923940761</v>
      </c>
      <c r="M23" s="7">
        <f>J23+K23+L23</f>
        <v>3767.939192394076</v>
      </c>
      <c r="N23" s="7">
        <f>C23*Parameters!$H$17+D23*Parameters!$H$18+E23*Parameters!$H$16+I23*Parameters!$H$25+G23*Parameters!$H$30</f>
        <v>729.1614709112082</v>
      </c>
      <c r="O23" s="7">
        <f>B23*Parameters!$H$19</f>
        <v>4000</v>
      </c>
      <c r="P23" s="7">
        <f>M23-N23-O23</f>
        <v>-961.222278517132</v>
      </c>
      <c r="Q23" s="7">
        <f>Parameters!$H$21</f>
        <v>1000</v>
      </c>
      <c r="R23" s="7">
        <f>P23-Q23</f>
        <v>-1961.222278517132</v>
      </c>
      <c r="S23" s="7">
        <f>IF(A23&lt;1+Parameters!$H$31,0,INDEX($M$5:$M$40,A23-Parameters!$H$31))</f>
        <v>3708.3570446253434</v>
      </c>
      <c r="T23" s="7">
        <f>T22+M23-S23</f>
        <v>3767.939192394076</v>
      </c>
      <c r="U23" s="7">
        <f>S23-N23-O23-Q23</f>
        <v>-2020.8044262858648</v>
      </c>
      <c r="V23" s="7">
        <f>V22+U23</f>
        <v>-52132.28998325153</v>
      </c>
      <c r="W23" s="7">
        <f>(1-Parameters!$H$7)*(C23-E23)+(1-Parameters!$H$8)*(D23+E23)</f>
        <v>998.5588481192415</v>
      </c>
      <c r="X23" s="7">
        <f>Parameters!$H$7*(C23-E23)+Parameters!$H$8*Parameters!$H$9*(D23+E23)</f>
        <v>0.0</v>
      </c>
      <c r="Y23" s="7">
        <f>Parameters!$H$8*(1-Parameters!$H$9)*(D23+E23)</f>
        <v>394.2353924769659</v>
      </c>
      <c r="Z23" s="7">
        <f>POWER(1/(1+Parameters!$H$32),A23-1)*(M23-N23)</f>
        <v>2540.470789137782</v>
      </c>
    </row>
    <row r="24" spans="1:26">
      <c r="A24" s="7">
        <v>20</v>
      </c>
      <c r="B24" s="7">
        <f>Parameters!$H$20</f>
        <v>1000</v>
      </c>
      <c r="C24" s="7">
        <f>X23+B24</f>
        <v>1000.0</v>
      </c>
      <c r="D24" s="7">
        <f>Y23</f>
        <v>394.2353924769659</v>
      </c>
      <c r="E24" s="7">
        <f>Parameters!$H$6*C24</f>
        <v>100.0</v>
      </c>
      <c r="F24" s="7">
        <f>IF(Parameters!$H$5=1,E24,0)</f>
        <v>0.0</v>
      </c>
      <c r="G24" s="7">
        <f>Parameters!$H$27*G23+F24</f>
        <v>0.0</v>
      </c>
      <c r="H24" s="7">
        <f>IF(AND(Parameters!$H$5=1,Parameters!$H$26=1),SUMPRODUCT(--($A$5:A24&lt;A24),--(MOD(A24-$A$5:A24,Parameters!$H$28)=0),$F$5:F24,POWER(Parameters!$H$27,IF(A24-$A$5:A24=0,1,A24-$A$5:A24))),0)</f>
        <v>0.0</v>
      </c>
      <c r="I24" s="7">
        <f>Parameters!$H$23*I23+B24*Parameters!$H$22</f>
        <v>641.5140775914574</v>
      </c>
      <c r="J24" s="7">
        <f>E24*Parameters!$H$14*(1-Parameters!$H$15)</f>
        <v>1900.0</v>
      </c>
      <c r="K24" s="7">
        <f>H24*Parameters!$H$29</f>
        <v>0.0</v>
      </c>
      <c r="L24" s="7">
        <f>I24*Parameters!$H$24</f>
        <v>1924.5422327743722</v>
      </c>
      <c r="M24" s="7">
        <f>J24+K24+L24</f>
        <v>3824.542232774372</v>
      </c>
      <c r="N24" s="7">
        <f>C24*Parameters!$H$17+D24*Parameters!$H$18+E24*Parameters!$H$16+I24*Parameters!$H$25+G24*Parameters!$H$30</f>
        <v>739.0276565388185</v>
      </c>
      <c r="O24" s="7">
        <f>B24*Parameters!$H$19</f>
        <v>4000</v>
      </c>
      <c r="P24" s="7">
        <f>M24-N24-O24</f>
        <v>-914.4854237644463</v>
      </c>
      <c r="Q24" s="7">
        <f>Parameters!$H$21</f>
        <v>1000</v>
      </c>
      <c r="R24" s="7">
        <f>P24-Q24</f>
        <v>-1914.4854237644463</v>
      </c>
      <c r="S24" s="7">
        <f>IF(A24&lt;1+Parameters!$H$31,0,INDEX($M$5:$M$40,A24-Parameters!$H$31))</f>
        <v>3767.939192394076</v>
      </c>
      <c r="T24" s="7">
        <f>T23+M24-S24</f>
        <v>3824.542232774372</v>
      </c>
      <c r="U24" s="7">
        <f>S24-N24-O24-Q24</f>
        <v>-1971.0884641447424</v>
      </c>
      <c r="V24" s="7">
        <f>V23+U24</f>
        <v>-54103.37844739627</v>
      </c>
      <c r="W24" s="7">
        <f>(1-Parameters!$H$7)*(C24-E24)+(1-Parameters!$H$8)*(D24+E24)</f>
        <v>998.8470784953931</v>
      </c>
      <c r="X24" s="7">
        <f>Parameters!$H$7*(C24-E24)+Parameters!$H$8*Parameters!$H$9*(D24+E24)</f>
        <v>0.0</v>
      </c>
      <c r="Y24" s="7">
        <f>Parameters!$H$8*(1-Parameters!$H$9)*(D24+E24)</f>
        <v>395.38831398157276</v>
      </c>
      <c r="Z24" s="7">
        <f>POWER(1/(1+Parameters!$H$32),A24-1)*(M24-N24)</f>
        <v>2554.003573189961</v>
      </c>
    </row>
    <row r="25" spans="1:26">
      <c r="A25" s="7">
        <v>21</v>
      </c>
      <c r="B25" s="7">
        <f>Parameters!$H$20</f>
        <v>1000</v>
      </c>
      <c r="C25" s="7">
        <f>X24+B25</f>
        <v>1000.0</v>
      </c>
      <c r="D25" s="7">
        <f>Y24</f>
        <v>395.38831398157276</v>
      </c>
      <c r="E25" s="7">
        <f>Parameters!$H$6*C25</f>
        <v>100.0</v>
      </c>
      <c r="F25" s="7">
        <f>IF(Parameters!$H$5=1,E25,0)</f>
        <v>0.0</v>
      </c>
      <c r="G25" s="7">
        <f>Parameters!$H$27*G24+F25</f>
        <v>0.0</v>
      </c>
      <c r="H25" s="7">
        <f>IF(AND(Parameters!$H$5=1,Parameters!$H$26=1),SUMPRODUCT(--($A$5:A25&lt;A25),--(MOD(A25-$A$5:A25,Parameters!$H$28)=0),$F$5:F25,POWER(Parameters!$H$27,IF(A25-$A$5:A25=0,1,A25-$A$5:A25))),0)</f>
        <v>0.0</v>
      </c>
      <c r="I25" s="7">
        <f>Parameters!$H$23*I24+B25*Parameters!$H$22</f>
        <v>659.4383737118845</v>
      </c>
      <c r="J25" s="7">
        <f>E25*Parameters!$H$14*(1-Parameters!$H$15)</f>
        <v>1900.0</v>
      </c>
      <c r="K25" s="7">
        <f>H25*Parameters!$H$29</f>
        <v>0.0</v>
      </c>
      <c r="L25" s="7">
        <f>I25*Parameters!$H$24</f>
        <v>1978.3151211356535</v>
      </c>
      <c r="M25" s="7">
        <f>J25+K25+L25</f>
        <v>3878.3151211356535</v>
      </c>
      <c r="N25" s="7">
        <f>C25*Parameters!$H$17+D25*Parameters!$H$18+E25*Parameters!$H$16+I25*Parameters!$H$25+G25*Parameters!$H$30</f>
        <v>748.3356810504141</v>
      </c>
      <c r="O25" s="7">
        <f>B25*Parameters!$H$19</f>
        <v>4000</v>
      </c>
      <c r="P25" s="7">
        <f>M25-N25-O25</f>
        <v>-870.0205599147607</v>
      </c>
      <c r="Q25" s="7">
        <f>Parameters!$H$21</f>
        <v>1000</v>
      </c>
      <c r="R25" s="7">
        <f>P25-Q25</f>
        <v>-1870.0205599147607</v>
      </c>
      <c r="S25" s="7">
        <f>IF(A25&lt;1+Parameters!$H$31,0,INDEX($M$5:$M$40,A25-Parameters!$H$31))</f>
        <v>3824.542232774372</v>
      </c>
      <c r="T25" s="7">
        <f>T24+M25-S25</f>
        <v>3878.3151211356535</v>
      </c>
      <c r="U25" s="7">
        <f>S25-N25-O25-Q25</f>
        <v>-1923.793448276042</v>
      </c>
      <c r="V25" s="7">
        <f>V24+U25</f>
        <v>-56027.17189567231</v>
      </c>
      <c r="W25" s="7">
        <f>(1-Parameters!$H$7)*(C25-E25)+(1-Parameters!$H$8)*(D25+E25)</f>
        <v>999.0776627963146</v>
      </c>
      <c r="X25" s="7">
        <f>Parameters!$H$7*(C25-E25)+Parameters!$H$8*Parameters!$H$9*(D25+E25)</f>
        <v>0.0</v>
      </c>
      <c r="Y25" s="7">
        <f>Parameters!$H$8*(1-Parameters!$H$9)*(D25+E25)</f>
        <v>396.3106511852582</v>
      </c>
      <c r="Z25" s="7">
        <f>POWER(1/(1+Parameters!$H$32),A25-1)*(M25-N25)</f>
        <v>2565.157342391282</v>
      </c>
    </row>
    <row r="26" spans="1:26">
      <c r="A26" s="7">
        <v>22</v>
      </c>
      <c r="B26" s="7">
        <f>Parameters!$H$20</f>
        <v>1000</v>
      </c>
      <c r="C26" s="7">
        <f>X25+B26</f>
        <v>1000.0</v>
      </c>
      <c r="D26" s="7">
        <f>Y25</f>
        <v>396.3106511852582</v>
      </c>
      <c r="E26" s="7">
        <f>Parameters!$H$6*C26</f>
        <v>100.0</v>
      </c>
      <c r="F26" s="7">
        <f>IF(Parameters!$H$5=1,E26,0)</f>
        <v>0.0</v>
      </c>
      <c r="G26" s="7">
        <f>Parameters!$H$27*G25+F26</f>
        <v>0.0</v>
      </c>
      <c r="H26" s="7">
        <f>IF(AND(Parameters!$H$5=1,Parameters!$H$26=1),SUMPRODUCT(--($A$5:A26&lt;A26),--(MOD(A26-$A$5:A26,Parameters!$H$28)=0),$F$5:F26,POWER(Parameters!$H$27,IF(A26-$A$5:A26=0,1,A26-$A$5:A26))),0)</f>
        <v>0.0</v>
      </c>
      <c r="I26" s="7">
        <f>Parameters!$H$23*I25+B26*Parameters!$H$22</f>
        <v>676.4664550262903</v>
      </c>
      <c r="J26" s="7">
        <f>E26*Parameters!$H$14*(1-Parameters!$H$15)</f>
        <v>1900.0</v>
      </c>
      <c r="K26" s="7">
        <f>H26*Parameters!$H$29</f>
        <v>0.0</v>
      </c>
      <c r="L26" s="7">
        <f>I26*Parameters!$H$24</f>
        <v>2029.399365078871</v>
      </c>
      <c r="M26" s="7">
        <f>J26+K26+L26</f>
        <v>3929.3993650788707</v>
      </c>
      <c r="N26" s="7">
        <f>C26*Parameters!$H$17+D26*Parameters!$H$18+E26*Parameters!$H$16+I26*Parameters!$H$25+G26*Parameters!$H$30</f>
        <v>757.1264228687226</v>
      </c>
      <c r="O26" s="7">
        <f>B26*Parameters!$H$19</f>
        <v>4000</v>
      </c>
      <c r="P26" s="7">
        <f>M26-N26-O26</f>
        <v>-827.7270577898516</v>
      </c>
      <c r="Q26" s="7">
        <f>Parameters!$H$21</f>
        <v>1000</v>
      </c>
      <c r="R26" s="7">
        <f>P26-Q26</f>
        <v>-1827.7270577898516</v>
      </c>
      <c r="S26" s="7">
        <f>IF(A26&lt;1+Parameters!$H$31,0,INDEX($M$5:$M$40,A26-Parameters!$H$31))</f>
        <v>3878.3151211356535</v>
      </c>
      <c r="T26" s="7">
        <f>T25+M26-S26</f>
        <v>3929.3993650788707</v>
      </c>
      <c r="U26" s="7">
        <f>S26-N26-O26-Q26</f>
        <v>-1878.8113017330688</v>
      </c>
      <c r="V26" s="7">
        <f>V25+U26</f>
        <v>-57905.98319740538</v>
      </c>
      <c r="W26" s="7">
        <f>(1-Parameters!$H$7)*(C26-E26)+(1-Parameters!$H$8)*(D26+E26)</f>
        <v>999.2621302370517</v>
      </c>
      <c r="X26" s="7">
        <f>Parameters!$H$7*(C26-E26)+Parameters!$H$8*Parameters!$H$9*(D26+E26)</f>
        <v>0.0</v>
      </c>
      <c r="Y26" s="7">
        <f>Parameters!$H$8*(1-Parameters!$H$9)*(D26+E26)</f>
        <v>397.0485209482066</v>
      </c>
      <c r="Z26" s="7">
        <f>POWER(1/(1+Parameters!$H$32),A26-1)*(M26-N26)</f>
        <v>2574.0779685039106</v>
      </c>
    </row>
    <row r="27" spans="1:26">
      <c r="A27" s="7">
        <v>23</v>
      </c>
      <c r="B27" s="7">
        <f>Parameters!$H$20</f>
        <v>1000</v>
      </c>
      <c r="C27" s="7">
        <f>X26+B27</f>
        <v>1000.0</v>
      </c>
      <c r="D27" s="7">
        <f>Y26</f>
        <v>397.0485209482066</v>
      </c>
      <c r="E27" s="7">
        <f>Parameters!$H$6*C27</f>
        <v>100.0</v>
      </c>
      <c r="F27" s="7">
        <f>IF(Parameters!$H$5=1,E27,0)</f>
        <v>0.0</v>
      </c>
      <c r="G27" s="7">
        <f>Parameters!$H$27*G26+F27</f>
        <v>0.0</v>
      </c>
      <c r="H27" s="7">
        <f>IF(AND(Parameters!$H$5=1,Parameters!$H$26=1),SUMPRODUCT(--($A$5:A27&lt;A27),--(MOD(A27-$A$5:A27,Parameters!$H$28)=0),$F$5:F27,POWER(Parameters!$H$27,IF(A27-$A$5:A27=0,1,A27-$A$5:A27))),0)</f>
        <v>0.0</v>
      </c>
      <c r="I27" s="7">
        <f>Parameters!$H$23*I26+B27*Parameters!$H$22</f>
        <v>692.6431322749758</v>
      </c>
      <c r="J27" s="7">
        <f>E27*Parameters!$H$14*(1-Parameters!$H$15)</f>
        <v>1900.0</v>
      </c>
      <c r="K27" s="7">
        <f>H27*Parameters!$H$29</f>
        <v>0.0</v>
      </c>
      <c r="L27" s="7">
        <f>I27*Parameters!$H$24</f>
        <v>2077.929396824927</v>
      </c>
      <c r="M27" s="7">
        <f>J27+K27+L27</f>
        <v>3977.929396824927</v>
      </c>
      <c r="N27" s="7">
        <f>C27*Parameters!$H$17+D27*Parameters!$H$18+E27*Parameters!$H$16+I27*Parameters!$H$25+G27*Parameters!$H$30</f>
        <v>765.4361224219499</v>
      </c>
      <c r="O27" s="7">
        <f>B27*Parameters!$H$19</f>
        <v>4000</v>
      </c>
      <c r="P27" s="7">
        <f>M27-N27-O27</f>
        <v>-787.5067255970225</v>
      </c>
      <c r="Q27" s="7">
        <f>Parameters!$H$21</f>
        <v>1000</v>
      </c>
      <c r="R27" s="7">
        <f>P27-Q27</f>
        <v>-1787.5067255970225</v>
      </c>
      <c r="S27" s="7">
        <f>IF(A27&lt;1+Parameters!$H$31,0,INDEX($M$5:$M$40,A27-Parameters!$H$31))</f>
        <v>3929.3993650788707</v>
      </c>
      <c r="T27" s="7">
        <f>T26+M27-S27</f>
        <v>3977.929396824927</v>
      </c>
      <c r="U27" s="7">
        <f>S27-N27-O27-Q27</f>
        <v>-1836.0367573430794</v>
      </c>
      <c r="V27" s="7">
        <f>V26+U27</f>
        <v>-59742.01995474846</v>
      </c>
      <c r="W27" s="7">
        <f>(1-Parameters!$H$7)*(C27-E27)+(1-Parameters!$H$8)*(D27+E27)</f>
        <v>999.4097041896413</v>
      </c>
      <c r="X27" s="7">
        <f>Parameters!$H$7*(C27-E27)+Parameters!$H$8*Parameters!$H$9*(D27+E27)</f>
        <v>0.0</v>
      </c>
      <c r="Y27" s="7">
        <f>Parameters!$H$8*(1-Parameters!$H$9)*(D27+E27)</f>
        <v>397.6388167585653</v>
      </c>
      <c r="Z27" s="7">
        <f>POWER(1/(1+Parameters!$H$32),A27-1)*(M27-N27)</f>
        <v>2580.904910334979</v>
      </c>
    </row>
    <row r="28" spans="1:26">
      <c r="A28" s="7">
        <v>24</v>
      </c>
      <c r="B28" s="7">
        <f>Parameters!$H$20</f>
        <v>1000</v>
      </c>
      <c r="C28" s="7">
        <f>X27+B28</f>
        <v>1000.0</v>
      </c>
      <c r="D28" s="7">
        <f>Y27</f>
        <v>397.6388167585653</v>
      </c>
      <c r="E28" s="7">
        <f>Parameters!$H$6*C28</f>
        <v>100.0</v>
      </c>
      <c r="F28" s="7">
        <f>IF(Parameters!$H$5=1,E28,0)</f>
        <v>0.0</v>
      </c>
      <c r="G28" s="7">
        <f>Parameters!$H$27*G27+F28</f>
        <v>0.0</v>
      </c>
      <c r="H28" s="7">
        <f>IF(AND(Parameters!$H$5=1,Parameters!$H$26=1),SUMPRODUCT(--($A$5:A28&lt;A28),--(MOD(A28-$A$5:A28,Parameters!$H$28)=0),$F$5:F28,POWER(Parameters!$H$27,IF(A28-$A$5:A28=0,1,A28-$A$5:A28))),0)</f>
        <v>0.0</v>
      </c>
      <c r="I28" s="7">
        <f>Parameters!$H$23*I27+B28*Parameters!$H$22</f>
        <v>708.0109756612269</v>
      </c>
      <c r="J28" s="7">
        <f>E28*Parameters!$H$14*(1-Parameters!$H$15)</f>
        <v>1900.0</v>
      </c>
      <c r="K28" s="7">
        <f>H28*Parameters!$H$29</f>
        <v>0.0</v>
      </c>
      <c r="L28" s="7">
        <f>I28*Parameters!$H$24</f>
        <v>2124.0329269836807</v>
      </c>
      <c r="M28" s="7">
        <f>J28+K28+L28</f>
        <v>4024.0329269836807</v>
      </c>
      <c r="N28" s="7">
        <f>C28*Parameters!$H$17+D28*Parameters!$H$18+E28*Parameters!$H$16+I28*Parameters!$H$25+G28*Parameters!$H$30</f>
        <v>773.297132858183</v>
      </c>
      <c r="O28" s="7">
        <f>B28*Parameters!$H$19</f>
        <v>4000</v>
      </c>
      <c r="P28" s="7">
        <f>M28-N28-O28</f>
        <v>-749.2642058745023</v>
      </c>
      <c r="Q28" s="7">
        <f>Parameters!$H$21</f>
        <v>1000</v>
      </c>
      <c r="R28" s="7">
        <f>P28-Q28</f>
        <v>-1749.2642058745023</v>
      </c>
      <c r="S28" s="7">
        <f>IF(A28&lt;1+Parameters!$H$31,0,INDEX($M$5:$M$40,A28-Parameters!$H$31))</f>
        <v>3977.929396824927</v>
      </c>
      <c r="T28" s="7">
        <f>T27+M28-S28</f>
        <v>4024.0329269836807</v>
      </c>
      <c r="U28" s="7">
        <f>S28-N28-O28-Q28</f>
        <v>-1795.3677360332558</v>
      </c>
      <c r="V28" s="7">
        <f>V27+U28</f>
        <v>-61537.38769078172</v>
      </c>
      <c r="W28" s="7">
        <f>(1-Parameters!$H$7)*(C28-E28)+(1-Parameters!$H$8)*(D28+E28)</f>
        <v>999.527763351713</v>
      </c>
      <c r="X28" s="7">
        <f>Parameters!$H$7*(C28-E28)+Parameters!$H$8*Parameters!$H$9*(D28+E28)</f>
        <v>0.0</v>
      </c>
      <c r="Y28" s="7">
        <f>Parameters!$H$8*(1-Parameters!$H$9)*(D28+E28)</f>
        <v>398.1110534068523</v>
      </c>
      <c r="Z28" s="7">
        <f>POWER(1/(1+Parameters!$H$32),A28-1)*(M28-N28)</f>
        <v>2585.771094663665</v>
      </c>
    </row>
    <row r="29" spans="1:26">
      <c r="A29" s="7">
        <v>25</v>
      </c>
      <c r="B29" s="7">
        <f>Parameters!$H$20</f>
        <v>1000</v>
      </c>
      <c r="C29" s="7">
        <f>X28+B29</f>
        <v>1000.0</v>
      </c>
      <c r="D29" s="7">
        <f>Y28</f>
        <v>398.1110534068523</v>
      </c>
      <c r="E29" s="7">
        <f>Parameters!$H$6*C29</f>
        <v>100.0</v>
      </c>
      <c r="F29" s="7">
        <f>IF(Parameters!$H$5=1,E29,0)</f>
        <v>0.0</v>
      </c>
      <c r="G29" s="7">
        <f>Parameters!$H$27*G28+F29</f>
        <v>0.0</v>
      </c>
      <c r="H29" s="7">
        <f>IF(AND(Parameters!$H$5=1,Parameters!$H$26=1),SUMPRODUCT(--($A$5:A29&lt;A29),--(MOD(A29-$A$5:A29,Parameters!$H$28)=0),$F$5:F29,POWER(Parameters!$H$27,IF(A29-$A$5:A29=0,1,A29-$A$5:A29))),0)</f>
        <v>0.0</v>
      </c>
      <c r="I29" s="7">
        <f>Parameters!$H$23*I28+B29*Parameters!$H$22</f>
        <v>722.6104268781655</v>
      </c>
      <c r="J29" s="7">
        <f>E29*Parameters!$H$14*(1-Parameters!$H$15)</f>
        <v>1900.0</v>
      </c>
      <c r="K29" s="7">
        <f>H29*Parameters!$H$29</f>
        <v>0.0</v>
      </c>
      <c r="L29" s="7">
        <f>I29*Parameters!$H$24</f>
        <v>2167.8312806344966</v>
      </c>
      <c r="M29" s="7">
        <f>J29+K29+L29</f>
        <v>4067.8312806344966</v>
      </c>
      <c r="N29" s="7">
        <f>C29*Parameters!$H$17+D29*Parameters!$H$18+E29*Parameters!$H$16+I29*Parameters!$H$25+G29*Parameters!$H$30</f>
        <v>780.7385294611385</v>
      </c>
      <c r="O29" s="7">
        <f>B29*Parameters!$H$19</f>
        <v>4000</v>
      </c>
      <c r="P29" s="7">
        <f>M29-N29-O29</f>
        <v>-712.907248826642</v>
      </c>
      <c r="Q29" s="7">
        <f>Parameters!$H$21</f>
        <v>1000</v>
      </c>
      <c r="R29" s="7">
        <f>P29-Q29</f>
        <v>-1712.907248826642</v>
      </c>
      <c r="S29" s="7">
        <f>IF(A29&lt;1+Parameters!$H$31,0,INDEX($M$5:$M$40,A29-Parameters!$H$31))</f>
        <v>4024.0329269836807</v>
      </c>
      <c r="T29" s="7">
        <f>T28+M29-S29</f>
        <v>4067.8312806344966</v>
      </c>
      <c r="U29" s="7">
        <f>S29-N29-O29-Q29</f>
        <v>-1756.705602477458</v>
      </c>
      <c r="V29" s="7">
        <f>V28+U29</f>
        <v>-63294.093293259175</v>
      </c>
      <c r="W29" s="7">
        <f>(1-Parameters!$H$7)*(C29-E29)+(1-Parameters!$H$8)*(D29+E29)</f>
        <v>999.6222106813705</v>
      </c>
      <c r="X29" s="7">
        <f>Parameters!$H$7*(C29-E29)+Parameters!$H$8*Parameters!$H$9*(D29+E29)</f>
        <v>0.0</v>
      </c>
      <c r="Y29" s="7">
        <f>Parameters!$H$8*(1-Parameters!$H$9)*(D29+E29)</f>
        <v>398.48884272548185</v>
      </c>
      <c r="Z29" s="7">
        <f>POWER(1/(1+Parameters!$H$32),A29-1)*(M29-N29)</f>
        <v>2588.802908524188</v>
      </c>
    </row>
    <row r="30" spans="1:26">
      <c r="A30" s="7">
        <v>26</v>
      </c>
      <c r="B30" s="7">
        <f>Parameters!$H$20</f>
        <v>1000</v>
      </c>
      <c r="C30" s="7">
        <f>X29+B30</f>
        <v>1000.0</v>
      </c>
      <c r="D30" s="7">
        <f>Y29</f>
        <v>398.48884272548185</v>
      </c>
      <c r="E30" s="7">
        <f>Parameters!$H$6*C30</f>
        <v>100.0</v>
      </c>
      <c r="F30" s="7">
        <f>IF(Parameters!$H$5=1,E30,0)</f>
        <v>0.0</v>
      </c>
      <c r="G30" s="7">
        <f>Parameters!$H$27*G29+F30</f>
        <v>0.0</v>
      </c>
      <c r="H30" s="7">
        <f>IF(AND(Parameters!$H$5=1,Parameters!$H$26=1),SUMPRODUCT(--($A$5:A30&lt;A30),--(MOD(A30-$A$5:A30,Parameters!$H$28)=0),$F$5:F30,POWER(Parameters!$H$27,IF(A30-$A$5:A30=0,1,A30-$A$5:A30))),0)</f>
        <v>0.0</v>
      </c>
      <c r="I30" s="7">
        <f>Parameters!$H$23*I29+B30*Parameters!$H$22</f>
        <v>736.4799055342572</v>
      </c>
      <c r="J30" s="7">
        <f>E30*Parameters!$H$14*(1-Parameters!$H$15)</f>
        <v>1900.0</v>
      </c>
      <c r="K30" s="7">
        <f>H30*Parameters!$H$29</f>
        <v>0.0</v>
      </c>
      <c r="L30" s="7">
        <f>I30*Parameters!$H$24</f>
        <v>2209.4397166027716</v>
      </c>
      <c r="M30" s="7">
        <f>J30+K30+L30</f>
        <v>4109.439716602772</v>
      </c>
      <c r="N30" s="7">
        <f>C30*Parameters!$H$17+D30*Parameters!$H$18+E30*Parameters!$H$16+I30*Parameters!$H$25+G30*Parameters!$H$30</f>
        <v>787.7866055847732</v>
      </c>
      <c r="O30" s="7">
        <f>B30*Parameters!$H$19</f>
        <v>4000</v>
      </c>
      <c r="P30" s="7">
        <f>M30-N30-O30</f>
        <v>-678.346888982001</v>
      </c>
      <c r="Q30" s="7">
        <f>Parameters!$H$21</f>
        <v>1000</v>
      </c>
      <c r="R30" s="7">
        <f>P30-Q30</f>
        <v>-1678.346888982001</v>
      </c>
      <c r="S30" s="7">
        <f>IF(A30&lt;1+Parameters!$H$31,0,INDEX($M$5:$M$40,A30-Parameters!$H$31))</f>
        <v>4067.8312806344966</v>
      </c>
      <c r="T30" s="7">
        <f>T29+M30-S30</f>
        <v>4109.439716602772</v>
      </c>
      <c r="U30" s="7">
        <f>S30-N30-O30-Q30</f>
        <v>-1719.9553249502765</v>
      </c>
      <c r="V30" s="7">
        <f>V29+U30</f>
        <v>-65014.048618209454</v>
      </c>
      <c r="W30" s="7">
        <f>(1-Parameters!$H$7)*(C30-E30)+(1-Parameters!$H$8)*(D30+E30)</f>
        <v>999.6977685450963</v>
      </c>
      <c r="X30" s="7">
        <f>Parameters!$H$7*(C30-E30)+Parameters!$H$8*Parameters!$H$9*(D30+E30)</f>
        <v>0.0</v>
      </c>
      <c r="Y30" s="7">
        <f>Parameters!$H$8*(1-Parameters!$H$9)*(D30+E30)</f>
        <v>398.7910741803855</v>
      </c>
      <c r="Z30" s="7">
        <f>POWER(1/(1+Parameters!$H$32),A30-1)*(M30-N30)</f>
        <v>2590.120274543962</v>
      </c>
    </row>
    <row r="31" spans="1:26">
      <c r="A31" s="7">
        <v>27</v>
      </c>
      <c r="B31" s="7">
        <f>Parameters!$H$20</f>
        <v>1000</v>
      </c>
      <c r="C31" s="7">
        <f>X30+B31</f>
        <v>1000.0</v>
      </c>
      <c r="D31" s="7">
        <f>Y30</f>
        <v>398.7910741803855</v>
      </c>
      <c r="E31" s="7">
        <f>Parameters!$H$6*C31</f>
        <v>100.0</v>
      </c>
      <c r="F31" s="7">
        <f>IF(Parameters!$H$5=1,E31,0)</f>
        <v>0.0</v>
      </c>
      <c r="G31" s="7">
        <f>Parameters!$H$27*G30+F31</f>
        <v>0.0</v>
      </c>
      <c r="H31" s="7">
        <f>IF(AND(Parameters!$H$5=1,Parameters!$H$26=1),SUMPRODUCT(--($A$5:A31&lt;A31),--(MOD(A31-$A$5:A31,Parameters!$H$28)=0),$F$5:F31,POWER(Parameters!$H$27,IF(A31-$A$5:A31=0,1,A31-$A$5:A31))),0)</f>
        <v>0.0</v>
      </c>
      <c r="I31" s="7">
        <f>Parameters!$H$23*I30+B31*Parameters!$H$22</f>
        <v>749.6559102575443</v>
      </c>
      <c r="J31" s="7">
        <f>E31*Parameters!$H$14*(1-Parameters!$H$15)</f>
        <v>1900.0</v>
      </c>
      <c r="K31" s="7">
        <f>H31*Parameters!$H$29</f>
        <v>0.0</v>
      </c>
      <c r="L31" s="7">
        <f>I31*Parameters!$H$24</f>
        <v>2248.967730772633</v>
      </c>
      <c r="M31" s="7">
        <f>J31+K31+L31</f>
        <v>4148.967730772632</v>
      </c>
      <c r="N31" s="7">
        <f>C31*Parameters!$H$17+D31*Parameters!$H$18+E31*Parameters!$H$16+I31*Parameters!$H$25+G31*Parameters!$H$30</f>
        <v>794.4652773828877</v>
      </c>
      <c r="O31" s="7">
        <f>B31*Parameters!$H$19</f>
        <v>4000</v>
      </c>
      <c r="P31" s="7">
        <f>M31-N31-O31</f>
        <v>-645.4975466102551</v>
      </c>
      <c r="Q31" s="7">
        <f>Parameters!$H$21</f>
        <v>1000</v>
      </c>
      <c r="R31" s="7">
        <f>P31-Q31</f>
        <v>-1645.497546610255</v>
      </c>
      <c r="S31" s="7">
        <f>IF(A31&lt;1+Parameters!$H$31,0,INDEX($M$5:$M$40,A31-Parameters!$H$31))</f>
        <v>4109.439716602772</v>
      </c>
      <c r="T31" s="7">
        <f>T30+M31-S31</f>
        <v>4148.967730772632</v>
      </c>
      <c r="U31" s="7">
        <f>S31-N31-O31-Q31</f>
        <v>-1685.0255607801155</v>
      </c>
      <c r="V31" s="7">
        <f>V30+U31</f>
        <v>-66699.07417898957</v>
      </c>
      <c r="W31" s="7">
        <f>(1-Parameters!$H$7)*(C31-E31)+(1-Parameters!$H$8)*(D31+E31)</f>
        <v>999.7582148360771</v>
      </c>
      <c r="X31" s="7">
        <f>Parameters!$H$7*(C31-E31)+Parameters!$H$8*Parameters!$H$9*(D31+E31)</f>
        <v>0.0</v>
      </c>
      <c r="Y31" s="7">
        <f>Parameters!$H$8*(1-Parameters!$H$9)*(D31+E31)</f>
        <v>399.03285934430846</v>
      </c>
      <c r="Z31" s="7">
        <f>POWER(1/(1+Parameters!$H$32),A31-1)*(M31-N31)</f>
        <v>2589.836787226285</v>
      </c>
    </row>
    <row r="32" spans="1:26">
      <c r="A32" s="7">
        <v>28</v>
      </c>
      <c r="B32" s="7">
        <f>Parameters!$H$20</f>
        <v>1000</v>
      </c>
      <c r="C32" s="7">
        <f>X31+B32</f>
        <v>1000.0</v>
      </c>
      <c r="D32" s="7">
        <f>Y31</f>
        <v>399.03285934430846</v>
      </c>
      <c r="E32" s="7">
        <f>Parameters!$H$6*C32</f>
        <v>100.0</v>
      </c>
      <c r="F32" s="7">
        <f>IF(Parameters!$H$5=1,E32,0)</f>
        <v>0.0</v>
      </c>
      <c r="G32" s="7">
        <f>Parameters!$H$27*G31+F32</f>
        <v>0.0</v>
      </c>
      <c r="H32" s="7">
        <f>IF(AND(Parameters!$H$5=1,Parameters!$H$26=1),SUMPRODUCT(--($A$5:A32&lt;A32),--(MOD(A32-$A$5:A32,Parameters!$H$28)=0),$F$5:F32,POWER(Parameters!$H$27,IF(A32-$A$5:A32=0,1,A32-$A$5:A32))),0)</f>
        <v>0.0</v>
      </c>
      <c r="I32" s="7">
        <f>Parameters!$H$23*I31+B32*Parameters!$H$22</f>
        <v>762.173114744667</v>
      </c>
      <c r="J32" s="7">
        <f>E32*Parameters!$H$14*(1-Parameters!$H$15)</f>
        <v>1900.0</v>
      </c>
      <c r="K32" s="7">
        <f>H32*Parameters!$H$29</f>
        <v>0.0</v>
      </c>
      <c r="L32" s="7">
        <f>I32*Parameters!$H$24</f>
        <v>2286.519344234001</v>
      </c>
      <c r="M32" s="7">
        <f>J32+K32+L32</f>
        <v>4186.5193442340005</v>
      </c>
      <c r="N32" s="7">
        <f>C32*Parameters!$H$17+D32*Parameters!$H$18+E32*Parameters!$H$16+I32*Parameters!$H$25+G32*Parameters!$H$30</f>
        <v>800.7964151756261</v>
      </c>
      <c r="O32" s="7">
        <f>B32*Parameters!$H$19</f>
        <v>4000</v>
      </c>
      <c r="P32" s="7">
        <f>M32-N32-O32</f>
        <v>-614.2770709416254</v>
      </c>
      <c r="Q32" s="7">
        <f>Parameters!$H$21</f>
        <v>1000</v>
      </c>
      <c r="R32" s="7">
        <f>P32-Q32</f>
        <v>-1614.2770709416254</v>
      </c>
      <c r="S32" s="7">
        <f>IF(A32&lt;1+Parameters!$H$31,0,INDEX($M$5:$M$40,A32-Parameters!$H$31))</f>
        <v>4148.967730772632</v>
      </c>
      <c r="T32" s="7">
        <f>T31+M32-S32</f>
        <v>4186.5193442340005</v>
      </c>
      <c r="U32" s="7">
        <f>S32-N32-O32-Q32</f>
        <v>-1651.8286844029935</v>
      </c>
      <c r="V32" s="7">
        <f>V31+U32</f>
        <v>-68350.90286339256</v>
      </c>
      <c r="W32" s="7">
        <f>(1-Parameters!$H$7)*(C32-E32)+(1-Parameters!$H$8)*(D32+E32)</f>
        <v>999.8065718688617</v>
      </c>
      <c r="X32" s="7">
        <f>Parameters!$H$7*(C32-E32)+Parameters!$H$8*Parameters!$H$9*(D32+E32)</f>
        <v>0.0</v>
      </c>
      <c r="Y32" s="7">
        <f>Parameters!$H$8*(1-Parameters!$H$9)*(D32+E32)</f>
        <v>399.2262874754468</v>
      </c>
      <c r="Z32" s="7">
        <f>POWER(1/(1+Parameters!$H$32),A32-1)*(M32-N32)</f>
        <v>2588.0598929518683</v>
      </c>
    </row>
    <row r="33" spans="1:26">
      <c r="A33" s="7">
        <v>29</v>
      </c>
      <c r="B33" s="7">
        <f>Parameters!$H$20</f>
        <v>1000</v>
      </c>
      <c r="C33" s="7">
        <f>X32+B33</f>
        <v>1000.0</v>
      </c>
      <c r="D33" s="7">
        <f>Y32</f>
        <v>399.2262874754468</v>
      </c>
      <c r="E33" s="7">
        <f>Parameters!$H$6*C33</f>
        <v>100.0</v>
      </c>
      <c r="F33" s="7">
        <f>IF(Parameters!$H$5=1,E33,0)</f>
        <v>0.0</v>
      </c>
      <c r="G33" s="7">
        <f>Parameters!$H$27*G32+F33</f>
        <v>0.0</v>
      </c>
      <c r="H33" s="7">
        <f>IF(AND(Parameters!$H$5=1,Parameters!$H$26=1),SUMPRODUCT(--($A$5:A33&lt;A33),--(MOD(A33-$A$5:A33,Parameters!$H$28)=0),$F$5:F33,POWER(Parameters!$H$27,IF(A33-$A$5:A33=0,1,A33-$A$5:A33))),0)</f>
        <v>0.0</v>
      </c>
      <c r="I33" s="7">
        <f>Parameters!$H$23*I32+B33*Parameters!$H$22</f>
        <v>774.0644590074337</v>
      </c>
      <c r="J33" s="7">
        <f>E33*Parameters!$H$14*(1-Parameters!$H$15)</f>
        <v>1900.0</v>
      </c>
      <c r="K33" s="7">
        <f>H33*Parameters!$H$29</f>
        <v>0.0</v>
      </c>
      <c r="L33" s="7">
        <f>I33*Parameters!$H$24</f>
        <v>2322.1933770223013</v>
      </c>
      <c r="M33" s="7">
        <f>J33+K33+L33</f>
        <v>4222.193377022301</v>
      </c>
      <c r="N33" s="7">
        <f>C33*Parameters!$H$17+D33*Parameters!$H$18+E33*Parameters!$H$16+I33*Parameters!$H$25+G33*Parameters!$H$30</f>
        <v>806.8001157463509</v>
      </c>
      <c r="O33" s="7">
        <f>B33*Parameters!$H$19</f>
        <v>4000</v>
      </c>
      <c r="P33" s="7">
        <f>M33-N33-O33</f>
        <v>-584.6067387240496</v>
      </c>
      <c r="Q33" s="7">
        <f>Parameters!$H$21</f>
        <v>1000</v>
      </c>
      <c r="R33" s="7">
        <f>P33-Q33</f>
        <v>-1584.6067387240496</v>
      </c>
      <c r="S33" s="7">
        <f>IF(A33&lt;1+Parameters!$H$31,0,INDEX($M$5:$M$40,A33-Parameters!$H$31))</f>
        <v>4186.5193442340005</v>
      </c>
      <c r="T33" s="7">
        <f>T32+M33-S33</f>
        <v>4222.193377022301</v>
      </c>
      <c r="U33" s="7">
        <f>S33-N33-O33-Q33</f>
        <v>-1620.2807715123504</v>
      </c>
      <c r="V33" s="7">
        <f>V32+U33</f>
        <v>-69971.18363490491</v>
      </c>
      <c r="W33" s="7">
        <f>(1-Parameters!$H$7)*(C33-E33)+(1-Parameters!$H$8)*(D33+E33)</f>
        <v>999.8452574950893</v>
      </c>
      <c r="X33" s="7">
        <f>Parameters!$H$7*(C33-E33)+Parameters!$H$8*Parameters!$H$9*(D33+E33)</f>
        <v>0.0</v>
      </c>
      <c r="Y33" s="7">
        <f>Parameters!$H$8*(1-Parameters!$H$9)*(D33+E33)</f>
        <v>399.3810299803574</v>
      </c>
      <c r="Z33" s="7">
        <f>POWER(1/(1+Parameters!$H$32),A33-1)*(M33-N33)</f>
        <v>2584.8911003256408</v>
      </c>
    </row>
    <row r="34" spans="1:26">
      <c r="A34" s="7">
        <v>30</v>
      </c>
      <c r="B34" s="7">
        <f>Parameters!$H$20</f>
        <v>1000</v>
      </c>
      <c r="C34" s="7">
        <f>X33+B34</f>
        <v>1000.0</v>
      </c>
      <c r="D34" s="7">
        <f>Y33</f>
        <v>399.3810299803575</v>
      </c>
      <c r="E34" s="7">
        <f>Parameters!$H$6*C34</f>
        <v>100.0</v>
      </c>
      <c r="F34" s="7">
        <f>IF(Parameters!$H$5=1,E34,0)</f>
        <v>0.0</v>
      </c>
      <c r="G34" s="7">
        <f>Parameters!$H$27*G33+F34</f>
        <v>0.0</v>
      </c>
      <c r="H34" s="7">
        <f>IF(AND(Parameters!$H$5=1,Parameters!$H$26=1),SUMPRODUCT(--($A$5:A34&lt;A34),--(MOD(A34-$A$5:A34,Parameters!$H$28)=0),$F$5:F34,POWER(Parameters!$H$27,IF(A34-$A$5:A34=0,1,A34-$A$5:A34))),0)</f>
        <v>0.0</v>
      </c>
      <c r="I34" s="7">
        <f>Parameters!$H$23*I33+B34*Parameters!$H$22</f>
        <v>785.361236057062</v>
      </c>
      <c r="J34" s="7">
        <f>E34*Parameters!$H$14*(1-Parameters!$H$15)</f>
        <v>1900.0</v>
      </c>
      <c r="K34" s="7">
        <f>H34*Parameters!$H$29</f>
        <v>0.0</v>
      </c>
      <c r="L34" s="7">
        <f>I34*Parameters!$H$24</f>
        <v>2356.083708171186</v>
      </c>
      <c r="M34" s="7">
        <f>J34+K34+L34</f>
        <v>4256.083708171186</v>
      </c>
      <c r="N34" s="7">
        <f>C34*Parameters!$H$17+D34*Parameters!$H$18+E34*Parameters!$H$16+I34*Parameters!$H$25+G34*Parameters!$H$30</f>
        <v>812.4949270226382</v>
      </c>
      <c r="O34" s="7">
        <f>B34*Parameters!$H$19</f>
        <v>4000</v>
      </c>
      <c r="P34" s="7">
        <f>M34-N34-O34</f>
        <v>-556.4112188514518</v>
      </c>
      <c r="Q34" s="7">
        <f>Parameters!$H$21</f>
        <v>1000</v>
      </c>
      <c r="R34" s="7">
        <f>P34-Q34</f>
        <v>-1556.4112188514518</v>
      </c>
      <c r="S34" s="7">
        <f>IF(A34&lt;1+Parameters!$H$31,0,INDEX($M$5:$M$40,A34-Parameters!$H$31))</f>
        <v>4222.193377022301</v>
      </c>
      <c r="T34" s="7">
        <f>T33+M34-S34</f>
        <v>4256.083708171186</v>
      </c>
      <c r="U34" s="7">
        <f>S34-N34-O34-Q34</f>
        <v>-1590.3015500003366</v>
      </c>
      <c r="V34" s="7">
        <f>V33+U34</f>
        <v>-71561.48518490525</v>
      </c>
      <c r="W34" s="7">
        <f>(1-Parameters!$H$7)*(C34-E34)+(1-Parameters!$H$8)*(D34+E34)</f>
        <v>999.8762059960715</v>
      </c>
      <c r="X34" s="7">
        <f>Parameters!$H$7*(C34-E34)+Parameters!$H$8*Parameters!$H$9*(D34+E34)</f>
        <v>0.0</v>
      </c>
      <c r="Y34" s="7">
        <f>Parameters!$H$8*(1-Parameters!$H$9)*(D34+E34)</f>
        <v>399.504823984286</v>
      </c>
      <c r="Z34" s="7">
        <f>POWER(1/(1+Parameters!$H$32),A34-1)*(M34-N34)</f>
        <v>2580.4262105304247</v>
      </c>
    </row>
    <row r="35" spans="1:26">
      <c r="A35" s="7">
        <v>31</v>
      </c>
      <c r="B35" s="7">
        <f>Parameters!$H$20</f>
        <v>1000</v>
      </c>
      <c r="C35" s="7">
        <f>X34+B35</f>
        <v>1000.0</v>
      </c>
      <c r="D35" s="7">
        <f>Y34</f>
        <v>399.504823984286</v>
      </c>
      <c r="E35" s="7">
        <f>Parameters!$H$6*C35</f>
        <v>100.0</v>
      </c>
      <c r="F35" s="7">
        <f>IF(Parameters!$H$5=1,E35,0)</f>
        <v>0.0</v>
      </c>
      <c r="G35" s="7">
        <f>Parameters!$H$27*G34+F35</f>
        <v>0.0</v>
      </c>
      <c r="H35" s="7">
        <f>IF(AND(Parameters!$H$5=1,Parameters!$H$26=1),SUMPRODUCT(--($A$5:A35&lt;A35),--(MOD(A35-$A$5:A35,Parameters!$H$28)=0),$F$5:F35,POWER(Parameters!$H$27,IF(A35-$A$5:A35=0,1,A35-$A$5:A35))),0)</f>
        <v>0.0</v>
      </c>
      <c r="I35" s="7">
        <f>Parameters!$H$23*I34+B35*Parameters!$H$22</f>
        <v>796.0931742542089</v>
      </c>
      <c r="J35" s="7">
        <f>E35*Parameters!$H$14*(1-Parameters!$H$15)</f>
        <v>1900.0</v>
      </c>
      <c r="K35" s="7">
        <f>H35*Parameters!$H$29</f>
        <v>0.0</v>
      </c>
      <c r="L35" s="7">
        <f>I35*Parameters!$H$24</f>
        <v>2388.2795227626266</v>
      </c>
      <c r="M35" s="7">
        <f>J35+K35+L35</f>
        <v>4288.279522762627</v>
      </c>
      <c r="N35" s="7">
        <f>C35*Parameters!$H$17+D35*Parameters!$H$18+E35*Parameters!$H$16+I35*Parameters!$H$25+G35*Parameters!$H$30</f>
        <v>817.8980343223902</v>
      </c>
      <c r="O35" s="7">
        <f>B35*Parameters!$H$19</f>
        <v>4000</v>
      </c>
      <c r="P35" s="7">
        <f>M35-N35-O35</f>
        <v>-529.6185115597636</v>
      </c>
      <c r="Q35" s="7">
        <f>Parameters!$H$21</f>
        <v>1000</v>
      </c>
      <c r="R35" s="7">
        <f>P35-Q35</f>
        <v>-1529.6185115597636</v>
      </c>
      <c r="S35" s="7">
        <f>IF(A35&lt;1+Parameters!$H$31,0,INDEX($M$5:$M$40,A35-Parameters!$H$31))</f>
        <v>4256.083708171186</v>
      </c>
      <c r="T35" s="7">
        <f>T34+M35-S35</f>
        <v>4288.279522762627</v>
      </c>
      <c r="U35" s="7">
        <f>S35-N35-O35-Q35</f>
        <v>-1561.814326151204</v>
      </c>
      <c r="V35" s="7">
        <f>V34+U35</f>
        <v>-73123.29951105645</v>
      </c>
      <c r="W35" s="7">
        <f>(1-Parameters!$H$7)*(C35-E35)+(1-Parameters!$H$8)*(D35+E35)</f>
        <v>999.9009647968571</v>
      </c>
      <c r="X35" s="7">
        <f>Parameters!$H$7*(C35-E35)+Parameters!$H$8*Parameters!$H$9*(D35+E35)</f>
        <v>0.0</v>
      </c>
      <c r="Y35" s="7">
        <f>Parameters!$H$8*(1-Parameters!$H$9)*(D35+E35)</f>
        <v>399.60385918742884</v>
      </c>
      <c r="Z35" s="7">
        <f>POWER(1/(1+Parameters!$H$32),A35-1)*(M35-N35)</f>
        <v>2574.755559738003</v>
      </c>
    </row>
    <row r="36" spans="1:26">
      <c r="A36" s="7">
        <v>32</v>
      </c>
      <c r="B36" s="7">
        <f>Parameters!$H$20</f>
        <v>1000</v>
      </c>
      <c r="C36" s="7">
        <f>X35+B36</f>
        <v>1000.0</v>
      </c>
      <c r="D36" s="7">
        <f>Y35</f>
        <v>399.60385918742884</v>
      </c>
      <c r="E36" s="7">
        <f>Parameters!$H$6*C36</f>
        <v>100.0</v>
      </c>
      <c r="F36" s="7">
        <f>IF(Parameters!$H$5=1,E36,0)</f>
        <v>0.0</v>
      </c>
      <c r="G36" s="7">
        <f>Parameters!$H$27*G35+F36</f>
        <v>0.0</v>
      </c>
      <c r="H36" s="7">
        <f>IF(AND(Parameters!$H$5=1,Parameters!$H$26=1),SUMPRODUCT(--($A$5:A36&lt;A36),--(MOD(A36-$A$5:A36,Parameters!$H$28)=0),$F$5:F36,POWER(Parameters!$H$27,IF(A36-$A$5:A36=0,1,A36-$A$5:A36))),0)</f>
        <v>0.0</v>
      </c>
      <c r="I36" s="7">
        <f>Parameters!$H$23*I35+B36*Parameters!$H$22</f>
        <v>806.2885155414983</v>
      </c>
      <c r="J36" s="7">
        <f>E36*Parameters!$H$14*(1-Parameters!$H$15)</f>
        <v>1900.0</v>
      </c>
      <c r="K36" s="7">
        <f>H36*Parameters!$H$29</f>
        <v>0.0</v>
      </c>
      <c r="L36" s="7">
        <f>I36*Parameters!$H$24</f>
        <v>2418.865546624495</v>
      </c>
      <c r="M36" s="7">
        <f>J36+K36+L36</f>
        <v>4318.8655466244945</v>
      </c>
      <c r="N36" s="7">
        <f>C36*Parameters!$H$17+D36*Parameters!$H$18+E36*Parameters!$H$16+I36*Parameters!$H$25+G36*Parameters!$H$30</f>
        <v>823.0254155269778</v>
      </c>
      <c r="O36" s="7">
        <f>B36*Parameters!$H$19</f>
        <v>4000</v>
      </c>
      <c r="P36" s="7">
        <f>M36-N36-O36</f>
        <v>-504.15986890248314</v>
      </c>
      <c r="Q36" s="7">
        <f>Parameters!$H$21</f>
        <v>1000</v>
      </c>
      <c r="R36" s="7">
        <f>P36-Q36</f>
        <v>-1504.1598689024831</v>
      </c>
      <c r="S36" s="7">
        <f>IF(A36&lt;1+Parameters!$H$31,0,INDEX($M$5:$M$40,A36-Parameters!$H$31))</f>
        <v>4288.279522762627</v>
      </c>
      <c r="T36" s="7">
        <f>T35+M36-S36</f>
        <v>4318.8655466244945</v>
      </c>
      <c r="U36" s="7">
        <f>S36-N36-O36-Q36</f>
        <v>-1534.745892764351</v>
      </c>
      <c r="V36" s="7">
        <f>V35+U36</f>
        <v>-74658.0454038208</v>
      </c>
      <c r="W36" s="7">
        <f>(1-Parameters!$H$7)*(C36-E36)+(1-Parameters!$H$8)*(D36+E36)</f>
        <v>999.9207718374857</v>
      </c>
      <c r="X36" s="7">
        <f>Parameters!$H$7*(C36-E36)+Parameters!$H$8*Parameters!$H$9*(D36+E36)</f>
        <v>0.0</v>
      </c>
      <c r="Y36" s="7">
        <f>Parameters!$H$8*(1-Parameters!$H$9)*(D36+E36)</f>
        <v>399.6830873499431</v>
      </c>
      <c r="Z36" s="7">
        <f>POWER(1/(1+Parameters!$H$32),A36-1)*(M36-N36)</f>
        <v>2567.964267506131</v>
      </c>
    </row>
    <row r="37" spans="1:26">
      <c r="A37" s="7">
        <v>33</v>
      </c>
      <c r="B37" s="7">
        <f>Parameters!$H$20</f>
        <v>1000</v>
      </c>
      <c r="C37" s="7">
        <f>X36+B37</f>
        <v>1000.0</v>
      </c>
      <c r="D37" s="7">
        <f>Y36</f>
        <v>399.6830873499431</v>
      </c>
      <c r="E37" s="7">
        <f>Parameters!$H$6*C37</f>
        <v>100.0</v>
      </c>
      <c r="F37" s="7">
        <f>IF(Parameters!$H$5=1,E37,0)</f>
        <v>0.0</v>
      </c>
      <c r="G37" s="7">
        <f>Parameters!$H$27*G36+F37</f>
        <v>0.0</v>
      </c>
      <c r="H37" s="7">
        <f>IF(AND(Parameters!$H$5=1,Parameters!$H$26=1),SUMPRODUCT(--($A$5:A37&lt;A37),--(MOD(A37-$A$5:A37,Parameters!$H$28)=0),$F$5:F37,POWER(Parameters!$H$27,IF(A37-$A$5:A37=0,1,A37-$A$5:A37))),0)</f>
        <v>0.0</v>
      </c>
      <c r="I37" s="7">
        <f>Parameters!$H$23*I36+B37*Parameters!$H$22</f>
        <v>815.9740897644234</v>
      </c>
      <c r="J37" s="7">
        <f>E37*Parameters!$H$14*(1-Parameters!$H$15)</f>
        <v>1900.0</v>
      </c>
      <c r="K37" s="7">
        <f>H37*Parameters!$H$29</f>
        <v>0.0</v>
      </c>
      <c r="L37" s="7">
        <f>I37*Parameters!$H$24</f>
        <v>2447.9222692932703</v>
      </c>
      <c r="M37" s="7">
        <f>J37+K37+L37</f>
        <v>4347.922269293271</v>
      </c>
      <c r="N37" s="7">
        <f>C37*Parameters!$H$17+D37*Parameters!$H$18+E37*Parameters!$H$16+I37*Parameters!$H$25+G37*Parameters!$H$30</f>
        <v>827.8919710871946</v>
      </c>
      <c r="O37" s="7">
        <f>B37*Parameters!$H$19</f>
        <v>4000</v>
      </c>
      <c r="P37" s="7">
        <f>M37-N37-O37</f>
        <v>-479.96970179392383</v>
      </c>
      <c r="Q37" s="7">
        <f>Parameters!$H$21</f>
        <v>1000</v>
      </c>
      <c r="R37" s="7">
        <f>P37-Q37</f>
        <v>-1479.9697017939238</v>
      </c>
      <c r="S37" s="7">
        <f>IF(A37&lt;1+Parameters!$H$31,0,INDEX($M$5:$M$40,A37-Parameters!$H$31))</f>
        <v>4318.8655466244945</v>
      </c>
      <c r="T37" s="7">
        <f>T36+M37-S37</f>
        <v>4347.922269293271</v>
      </c>
      <c r="U37" s="7">
        <f>S37-N37-O37-Q37</f>
        <v>-1509.0264244627</v>
      </c>
      <c r="V37" s="7">
        <f>V36+U37</f>
        <v>-76167.0718282835</v>
      </c>
      <c r="W37" s="7">
        <f>(1-Parameters!$H$7)*(C37-E37)+(1-Parameters!$H$8)*(D37+E37)</f>
        <v>999.9366174699886</v>
      </c>
      <c r="X37" s="7">
        <f>Parameters!$H$7*(C37-E37)+Parameters!$H$8*Parameters!$H$9*(D37+E37)</f>
        <v>0.0</v>
      </c>
      <c r="Y37" s="7">
        <f>Parameters!$H$8*(1-Parameters!$H$9)*(D37+E37)</f>
        <v>399.7464698799545</v>
      </c>
      <c r="Z37" s="7">
        <f>POWER(1/(1+Parameters!$H$32),A37-1)*(M37-N37)</f>
        <v>2560.1324865641923</v>
      </c>
    </row>
    <row r="38" spans="1:26">
      <c r="A38" s="7">
        <v>34</v>
      </c>
      <c r="B38" s="7">
        <f>Parameters!$H$20</f>
        <v>1000</v>
      </c>
      <c r="C38" s="7">
        <f>X37+B38</f>
        <v>1000.0</v>
      </c>
      <c r="D38" s="7">
        <f>Y37</f>
        <v>399.74646987995453</v>
      </c>
      <c r="E38" s="7">
        <f>Parameters!$H$6*C38</f>
        <v>100.0</v>
      </c>
      <c r="F38" s="7">
        <f>IF(Parameters!$H$5=1,E38,0)</f>
        <v>0.0</v>
      </c>
      <c r="G38" s="7">
        <f>Parameters!$H$27*G37+F38</f>
        <v>0.0</v>
      </c>
      <c r="H38" s="7">
        <f>IF(AND(Parameters!$H$5=1,Parameters!$H$26=1),SUMPRODUCT(--($A$5:A38&lt;A38),--(MOD(A38-$A$5:A38,Parameters!$H$28)=0),$F$5:F38,POWER(Parameters!$H$27,IF(A38-$A$5:A38=0,1,A38-$A$5:A38))),0)</f>
        <v>0.0</v>
      </c>
      <c r="I38" s="7">
        <f>Parameters!$H$23*I37+B38*Parameters!$H$22</f>
        <v>825.1753852762022</v>
      </c>
      <c r="J38" s="7">
        <f>E38*Parameters!$H$14*(1-Parameters!$H$15)</f>
        <v>1900.0</v>
      </c>
      <c r="K38" s="7">
        <f>H38*Parameters!$H$29</f>
        <v>0.0</v>
      </c>
      <c r="L38" s="7">
        <f>I38*Parameters!$H$24</f>
        <v>2475.5261558286065</v>
      </c>
      <c r="M38" s="7">
        <f>J38+K38+L38</f>
        <v>4375.5261558286065</v>
      </c>
      <c r="N38" s="7">
        <f>C38*Parameters!$H$17+D38*Parameters!$H$18+E38*Parameters!$H$16+I38*Parameters!$H$25+G38*Parameters!$H$30</f>
        <v>832.5116336020874</v>
      </c>
      <c r="O38" s="7">
        <f>B38*Parameters!$H$19</f>
        <v>4000</v>
      </c>
      <c r="P38" s="7">
        <f>M38-N38-O38</f>
        <v>-456.98547777348085</v>
      </c>
      <c r="Q38" s="7">
        <f>Parameters!$H$21</f>
        <v>1000</v>
      </c>
      <c r="R38" s="7">
        <f>P38-Q38</f>
        <v>-1456.9854777734809</v>
      </c>
      <c r="S38" s="7">
        <f>IF(A38&lt;1+Parameters!$H$31,0,INDEX($M$5:$M$40,A38-Parameters!$H$31))</f>
        <v>4347.922269293271</v>
      </c>
      <c r="T38" s="7">
        <f>T37+M38-S38</f>
        <v>4375.5261558286065</v>
      </c>
      <c r="U38" s="7">
        <f>S38-N38-O38-Q38</f>
        <v>-1484.5893643088166</v>
      </c>
      <c r="V38" s="7">
        <f>V37+U38</f>
        <v>-77651.66119259232</v>
      </c>
      <c r="W38" s="7">
        <f>(1-Parameters!$H$7)*(C38-E38)+(1-Parameters!$H$8)*(D38+E38)</f>
        <v>999.9492939759909</v>
      </c>
      <c r="X38" s="7">
        <f>Parameters!$H$7*(C38-E38)+Parameters!$H$8*Parameters!$H$9*(D38+E38)</f>
        <v>0.0</v>
      </c>
      <c r="Y38" s="7">
        <f>Parameters!$H$8*(1-Parameters!$H$9)*(D38+E38)</f>
        <v>399.79717590396365</v>
      </c>
      <c r="Z38" s="7">
        <f>POWER(1/(1+Parameters!$H$32),A38-1)*(M38-N38)</f>
        <v>2551.3356505452803</v>
      </c>
    </row>
    <row r="39" spans="1:26">
      <c r="A39" s="7">
        <v>35</v>
      </c>
      <c r="B39" s="7">
        <f>Parameters!$H$20</f>
        <v>1000</v>
      </c>
      <c r="C39" s="7">
        <f>X38+B39</f>
        <v>1000.0</v>
      </c>
      <c r="D39" s="7">
        <f>Y38</f>
        <v>399.79717590396365</v>
      </c>
      <c r="E39" s="7">
        <f>Parameters!$H$6*C39</f>
        <v>100.0</v>
      </c>
      <c r="F39" s="7">
        <f>IF(Parameters!$H$5=1,E39,0)</f>
        <v>0.0</v>
      </c>
      <c r="G39" s="7">
        <f>Parameters!$H$27*G38+F39</f>
        <v>0.0</v>
      </c>
      <c r="H39" s="7">
        <f>IF(AND(Parameters!$H$5=1,Parameters!$H$26=1),SUMPRODUCT(--($A$5:A39&lt;A39),--(MOD(A39-$A$5:A39,Parameters!$H$28)=0),$F$5:F39,POWER(Parameters!$H$27,IF(A39-$A$5:A39=0,1,A39-$A$5:A39))),0)</f>
        <v>0.0</v>
      </c>
      <c r="I39" s="7">
        <f>Parameters!$H$23*I38+B39*Parameters!$H$22</f>
        <v>833.9166160123921</v>
      </c>
      <c r="J39" s="7">
        <f>E39*Parameters!$H$14*(1-Parameters!$H$15)</f>
        <v>1900.0</v>
      </c>
      <c r="K39" s="7">
        <f>H39*Parameters!$H$29</f>
        <v>0.0</v>
      </c>
      <c r="L39" s="7">
        <f>I39*Parameters!$H$24</f>
        <v>2501.749848037176</v>
      </c>
      <c r="M39" s="7">
        <f>J39+K39+L39</f>
        <v>4401.749848037176</v>
      </c>
      <c r="N39" s="7">
        <f>C39*Parameters!$H$17+D39*Parameters!$H$18+E39*Parameters!$H$16+I39*Parameters!$H$25+G39*Parameters!$H$30</f>
        <v>836.897460777385</v>
      </c>
      <c r="O39" s="7">
        <f>B39*Parameters!$H$19</f>
        <v>4000</v>
      </c>
      <c r="P39" s="7">
        <f>M39-N39-O39</f>
        <v>-435.1476127402093</v>
      </c>
      <c r="Q39" s="7">
        <f>Parameters!$H$21</f>
        <v>1000</v>
      </c>
      <c r="R39" s="7">
        <f>P39-Q39</f>
        <v>-1435.1476127402093</v>
      </c>
      <c r="S39" s="7">
        <f>IF(A39&lt;1+Parameters!$H$31,0,INDEX($M$5:$M$40,A39-Parameters!$H$31))</f>
        <v>4375.5261558286065</v>
      </c>
      <c r="T39" s="7">
        <f>T38+M39-S39</f>
        <v>4401.749848037176</v>
      </c>
      <c r="U39" s="7">
        <f>S39-N39-O39-Q39</f>
        <v>-1461.3713049487787</v>
      </c>
      <c r="V39" s="7">
        <f>V38+U39</f>
        <v>-79113.0324975411</v>
      </c>
      <c r="W39" s="7">
        <f>(1-Parameters!$H$7)*(C39-E39)+(1-Parameters!$H$8)*(D39+E39)</f>
        <v>999.9594351807928</v>
      </c>
      <c r="X39" s="7">
        <f>Parameters!$H$7*(C39-E39)+Parameters!$H$8*Parameters!$H$9*(D39+E39)</f>
        <v>0.0</v>
      </c>
      <c r="Y39" s="7">
        <f>Parameters!$H$8*(1-Parameters!$H$9)*(D39+E39)</f>
        <v>399.83774072317095</v>
      </c>
      <c r="Z39" s="7">
        <f>POWER(1/(1+Parameters!$H$32),A39-1)*(M39-N39)</f>
        <v>2541.644717125565</v>
      </c>
    </row>
    <row r="40" spans="1:26">
      <c r="A40" s="7">
        <v>36</v>
      </c>
      <c r="B40" s="7">
        <f>Parameters!$H$20</f>
        <v>1000</v>
      </c>
      <c r="C40" s="7">
        <f>X39+B40</f>
        <v>1000.0</v>
      </c>
      <c r="D40" s="7">
        <f>Y39</f>
        <v>399.83774072317095</v>
      </c>
      <c r="E40" s="7">
        <f>Parameters!$H$6*C40</f>
        <v>100.0</v>
      </c>
      <c r="F40" s="7">
        <f>IF(Parameters!$H$5=1,E40,0)</f>
        <v>0.0</v>
      </c>
      <c r="G40" s="7">
        <f>Parameters!$H$27*G39+F40</f>
        <v>0.0</v>
      </c>
      <c r="H40" s="7">
        <f>IF(AND(Parameters!$H$5=1,Parameters!$H$26=1),SUMPRODUCT(--($A$5:A40&lt;A40),--(MOD(A40-$A$5:A40,Parameters!$H$28)=0),$F$5:F40,POWER(Parameters!$H$27,IF(A40-$A$5:A40=0,1,A40-$A$5:A40))),0)</f>
        <v>0.0</v>
      </c>
      <c r="I40" s="7">
        <f>Parameters!$H$23*I39+B40*Parameters!$H$22</f>
        <v>842.2207852117724</v>
      </c>
      <c r="J40" s="7">
        <f>E40*Parameters!$H$14*(1-Parameters!$H$15)</f>
        <v>1900.0</v>
      </c>
      <c r="K40" s="7">
        <f>H40*Parameters!$H$29</f>
        <v>0.0</v>
      </c>
      <c r="L40" s="7">
        <f>I40*Parameters!$H$24</f>
        <v>2526.662355635317</v>
      </c>
      <c r="M40" s="7">
        <f>J40+K40+L40</f>
        <v>4426.662355635317</v>
      </c>
      <c r="N40" s="7">
        <f>C40*Parameters!$H$17+D40*Parameters!$H$18+E40*Parameters!$H$16+I40*Parameters!$H$25+G40*Parameters!$H$30</f>
        <v>841.0617148228375</v>
      </c>
      <c r="O40" s="7">
        <f>B40*Parameters!$H$19</f>
        <v>4000</v>
      </c>
      <c r="P40" s="7">
        <f>M40-N40-O40</f>
        <v>-414.39935918752053</v>
      </c>
      <c r="Q40" s="7">
        <f>Parameters!$H$21</f>
        <v>1000</v>
      </c>
      <c r="R40" s="7">
        <f>P40-Q40</f>
        <v>-1414.3993591875205</v>
      </c>
      <c r="S40" s="7">
        <f>IF(A40&lt;1+Parameters!$H$31,0,INDEX($M$5:$M$40,A40-Parameters!$H$31))</f>
        <v>4401.749848037176</v>
      </c>
      <c r="T40" s="7">
        <f>T39+M40-S40</f>
        <v>4426.662355635317</v>
      </c>
      <c r="U40" s="7">
        <f>S40-N40-O40-Q40</f>
        <v>-1439.3118667856616</v>
      </c>
      <c r="V40" s="7">
        <f>V39+U40</f>
        <v>-80552.34436432677</v>
      </c>
      <c r="W40" s="7">
        <f>(1-Parameters!$H$7)*(C40-E40)+(1-Parameters!$H$8)*(D40+E40)</f>
        <v>999.9675481446342</v>
      </c>
      <c r="X40" s="7">
        <f>Parameters!$H$7*(C40-E40)+Parameters!$H$8*Parameters!$H$9*(D40+E40)</f>
        <v>0.0</v>
      </c>
      <c r="Y40" s="7">
        <f>Parameters!$H$8*(1-Parameters!$H$9)*(D40+E40)</f>
        <v>399.8701925785368</v>
      </c>
      <c r="Z40" s="7">
        <f>POWER(1/(1+Parameters!$H$32),A40-1)*(M40-N40)</f>
        <v>2531.1264047359623</v>
      </c>
    </row>
    <row r="43" spans="1:26">
      <c r="A43" s="1" t="s">
        <v>185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160</v>
      </c>
      <c r="B44" s="4" t="s">
        <v>161</v>
      </c>
      <c r="C44" s="4" t="s">
        <v>162</v>
      </c>
      <c r="D44" s="4" t="s">
        <v>163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4" t="s">
        <v>169</v>
      </c>
      <c r="K44" s="4" t="s">
        <v>170</v>
      </c>
      <c r="L44" s="4" t="s">
        <v>171</v>
      </c>
      <c r="M44" s="4" t="s">
        <v>172</v>
      </c>
      <c r="N44" s="4" t="s">
        <v>173</v>
      </c>
      <c r="O44" s="4" t="s">
        <v>95</v>
      </c>
      <c r="P44" s="4" t="s">
        <v>174</v>
      </c>
      <c r="Q44" s="4" t="s">
        <v>175</v>
      </c>
      <c r="R44" s="4" t="s">
        <v>176</v>
      </c>
      <c r="S44" s="4" t="s">
        <v>177</v>
      </c>
      <c r="T44" s="4" t="s">
        <v>178</v>
      </c>
      <c r="U44" s="4" t="s">
        <v>179</v>
      </c>
      <c r="V44" s="4" t="s">
        <v>180</v>
      </c>
      <c r="W44" s="4" t="s">
        <v>181</v>
      </c>
      <c r="X44" s="4" t="s">
        <v>182</v>
      </c>
      <c r="Y44" s="4" t="s">
        <v>183</v>
      </c>
      <c r="Z44" s="4" t="s">
        <v>184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Parameters!$H$6*C45</f>
        <v>0.1</v>
      </c>
      <c r="F45" s="7">
        <f>IF(Parameters!$H$5=1,E45,0)</f>
        <v>0.0</v>
      </c>
      <c r="G45" s="7">
        <f>F45</f>
        <v>0.0</v>
      </c>
      <c r="H45" s="7">
        <f>IF(AND(Parameters!$H$5=1,Parameters!$H$26=1),SUMPRODUCT(--($A$45:A45&lt;A45),--(MOD(A45-$A$45:A45,Parameters!$H$28)=0),$F$45:F45,POWER(Parameters!$H$27,IF(A45-$A$45:A45=0,1,A45-$A$45:A45))),0)</f>
        <v>0.0</v>
      </c>
      <c r="I45" s="7">
        <f>B45*Parameters!$H$22</f>
        <v>0.05</v>
      </c>
      <c r="J45" s="7">
        <f>E45*Parameters!$H$14*(1-Parameters!$H$15)</f>
        <v>1.9</v>
      </c>
      <c r="K45" s="7">
        <f>H45*Parameters!$H$29</f>
        <v>0.0</v>
      </c>
      <c r="L45" s="7">
        <f>I45*Parameters!$H$24</f>
        <v>0.15000000000000002</v>
      </c>
      <c r="M45" s="7">
        <f>J45+K45+L45</f>
        <v>2.05</v>
      </c>
      <c r="N45" s="7">
        <f>C45*Parameters!$H$17+D45*Parameters!$H$18+E45*Parameters!$H$16+I45*Parameters!$H$25+G45*Parameters!$H$30</f>
        <v>0.32500000000000007</v>
      </c>
      <c r="O45" s="7">
        <f>0</f>
        <v>0</v>
      </c>
      <c r="P45" s="7">
        <f>M45-N45-O45</f>
        <v>1.7249999999999996</v>
      </c>
      <c r="Q45" s="7">
        <f>0</f>
        <v>0</v>
      </c>
      <c r="R45" s="7">
        <f>P45-Q45</f>
        <v>1.7249999999999996</v>
      </c>
      <c r="S45" s="7">
        <f>IF(A45&lt;1+Parameters!$H$31,0,INDEX($M$45:$M$80,A45-Parameters!$H$31))</f>
        <v>0.0</v>
      </c>
      <c r="T45" s="7">
        <f>M45-S45</f>
        <v>2.05</v>
      </c>
      <c r="U45" s="7">
        <f>S45-N45-O45-Q45</f>
        <v>-0.32500000000000007</v>
      </c>
      <c r="V45" s="7">
        <f>U45</f>
        <v>-0.32500000000000007</v>
      </c>
      <c r="W45" s="7">
        <f>(1-Parameters!$H$7)*(C45-E45)+(1-Parameters!$H$8)*(D45+E45)</f>
        <v>0.92</v>
      </c>
      <c r="X45" s="7">
        <f>Parameters!$H$7*(C45-E45)+Parameters!$H$8*Parameters!$H$9*(D45+E45)</f>
        <v>0.0</v>
      </c>
      <c r="Y45" s="7">
        <f>Parameters!$H$8*(1-Parameters!$H$9)*(D45+E45)</f>
        <v>0.08000000000000002</v>
      </c>
      <c r="Z45" s="7">
        <f>POWER(1/(1+Parameters!$H$32),A45-1)*(M45-N45)</f>
        <v>1.7249999999999996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0.08000000000000002</v>
      </c>
      <c r="E46" s="7">
        <f>Parameters!$H$6*C46</f>
        <v>0.0</v>
      </c>
      <c r="F46" s="7">
        <f>IF(Parameters!$H$5=1,E46,0)</f>
        <v>0.0</v>
      </c>
      <c r="G46" s="7">
        <f>Parameters!$H$27*G45+F46</f>
        <v>0.0</v>
      </c>
      <c r="H46" s="7">
        <f>IF(AND(Parameters!$H$5=1,Parameters!$H$26=1),SUMPRODUCT(--($A$45:A46&lt;A46),--(MOD(A46-$A$45:A46,Parameters!$H$28)=0),$F$45:F46,POWER(Parameters!$H$27,IF(A46-$A$45:A46=0,1,A46-$A$45:A46))),0)</f>
        <v>0.0</v>
      </c>
      <c r="I46" s="7">
        <f>Parameters!$H$23*I45+B46*Parameters!$H$22</f>
        <v>0.0475</v>
      </c>
      <c r="J46" s="7">
        <f>E46*Parameters!$H$14*(1-Parameters!$H$15)</f>
        <v>0.0</v>
      </c>
      <c r="K46" s="7">
        <f>H46*Parameters!$H$29</f>
        <v>0.0</v>
      </c>
      <c r="L46" s="7">
        <f>I46*Parameters!$H$24</f>
        <v>0.14250000000000002</v>
      </c>
      <c r="M46" s="7">
        <f>J46+K46+L46</f>
        <v>0.14250000000000002</v>
      </c>
      <c r="N46" s="7">
        <f>C46*Parameters!$H$17+D46*Parameters!$H$18+E46*Parameters!$H$16+I46*Parameters!$H$25+G46*Parameters!$H$30</f>
        <v>0.04775</v>
      </c>
      <c r="O46" s="7">
        <f>0</f>
        <v>0</v>
      </c>
      <c r="P46" s="7">
        <f>M46-N46-O46</f>
        <v>0.09475000000000001</v>
      </c>
      <c r="Q46" s="7">
        <f>0</f>
        <v>0</v>
      </c>
      <c r="R46" s="7">
        <f>P46-Q46</f>
        <v>0.09475000000000001</v>
      </c>
      <c r="S46" s="7">
        <f>IF(A46&lt;1+Parameters!$H$31,0,INDEX($M$45:$M$80,A46-Parameters!$H$31))</f>
        <v>2.05</v>
      </c>
      <c r="T46" s="7">
        <f>T45+M46-S46</f>
        <v>0.14250000000000007</v>
      </c>
      <c r="U46" s="7">
        <f>S46-N46-O46-Q46</f>
        <v>2.0022499999999996</v>
      </c>
      <c r="V46" s="7">
        <f>V45+U46</f>
        <v>1.6772499999999995</v>
      </c>
      <c r="W46" s="7">
        <f>(1-Parameters!$H$7)*(C46-E46)+(1-Parameters!$H$8)*(D46+E46)</f>
        <v>0.016</v>
      </c>
      <c r="X46" s="7">
        <f>Parameters!$H$7*(C46-E46)+Parameters!$H$8*Parameters!$H$9*(D46+E46)</f>
        <v>0.0</v>
      </c>
      <c r="Y46" s="7">
        <f>Parameters!$H$8*(1-Parameters!$H$9)*(D46+E46)</f>
        <v>0.06400000000000002</v>
      </c>
      <c r="Z46" s="7">
        <f>POWER(1/(1+Parameters!$H$32),A46-1)*(M46-N46)</f>
        <v>0.09381188118811883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0.06400000000000002</v>
      </c>
      <c r="E47" s="7">
        <f>Parameters!$H$6*C47</f>
        <v>0.0</v>
      </c>
      <c r="F47" s="7">
        <f>IF(Parameters!$H$5=1,E47,0)</f>
        <v>0.0</v>
      </c>
      <c r="G47" s="7">
        <f>Parameters!$H$27*G46+F47</f>
        <v>0.0</v>
      </c>
      <c r="H47" s="7">
        <f>IF(AND(Parameters!$H$5=1,Parameters!$H$26=1),SUMPRODUCT(--($A$45:A47&lt;A47),--(MOD(A47-$A$45:A47,Parameters!$H$28)=0),$F$45:F47,POWER(Parameters!$H$27,IF(A47-$A$45:A47=0,1,A47-$A$45:A47))),0)</f>
        <v>0.0</v>
      </c>
      <c r="I47" s="7">
        <f>Parameters!$H$23*I46+B47*Parameters!$H$22</f>
        <v>0.045125</v>
      </c>
      <c r="J47" s="7">
        <f>E47*Parameters!$H$14*(1-Parameters!$H$15)</f>
        <v>0.0</v>
      </c>
      <c r="K47" s="7">
        <f>H47*Parameters!$H$29</f>
        <v>0.0</v>
      </c>
      <c r="L47" s="7">
        <f>I47*Parameters!$H$24</f>
        <v>0.135375</v>
      </c>
      <c r="M47" s="7">
        <f>J47+K47+L47</f>
        <v>0.135375</v>
      </c>
      <c r="N47" s="7">
        <f>C47*Parameters!$H$17+D47*Parameters!$H$18+E47*Parameters!$H$16+I47*Parameters!$H$25+G47*Parameters!$H$30</f>
        <v>0.04176250000000001</v>
      </c>
      <c r="O47" s="7">
        <f>0</f>
        <v>0</v>
      </c>
      <c r="P47" s="7">
        <f>M47-N47-O47</f>
        <v>0.09361249999999999</v>
      </c>
      <c r="Q47" s="7">
        <f>0</f>
        <v>0</v>
      </c>
      <c r="R47" s="7">
        <f>P47-Q47</f>
        <v>0.09361249999999999</v>
      </c>
      <c r="S47" s="7">
        <f>IF(A47&lt;1+Parameters!$H$31,0,INDEX($M$45:$M$80,A47-Parameters!$H$31))</f>
        <v>0.14250000000000002</v>
      </c>
      <c r="T47" s="7">
        <f>T46+M47-S47</f>
        <v>0.13537500000000005</v>
      </c>
      <c r="U47" s="7">
        <f>S47-N47-O47-Q47</f>
        <v>0.10073750000000001</v>
      </c>
      <c r="V47" s="7">
        <f>V46+U47</f>
        <v>1.7779874999999994</v>
      </c>
      <c r="W47" s="7">
        <f>(1-Parameters!$H$7)*(C47-E47)+(1-Parameters!$H$8)*(D47+E47)</f>
        <v>0.0128</v>
      </c>
      <c r="X47" s="7">
        <f>Parameters!$H$7*(C47-E47)+Parameters!$H$8*Parameters!$H$9*(D47+E47)</f>
        <v>0.0</v>
      </c>
      <c r="Y47" s="7">
        <f>Parameters!$H$8*(1-Parameters!$H$9)*(D47+E47)</f>
        <v>0.051200000000000016</v>
      </c>
      <c r="Z47" s="7">
        <f>POWER(1/(1+Parameters!$H$32),A47-1)*(M47-N47)</f>
        <v>0.09176796392510536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0.051200000000000016</v>
      </c>
      <c r="E48" s="7">
        <f>Parameters!$H$6*C48</f>
        <v>0.0</v>
      </c>
      <c r="F48" s="7">
        <f>IF(Parameters!$H$5=1,E48,0)</f>
        <v>0.0</v>
      </c>
      <c r="G48" s="7">
        <f>Parameters!$H$27*G47+F48</f>
        <v>0.0</v>
      </c>
      <c r="H48" s="7">
        <f>IF(AND(Parameters!$H$5=1,Parameters!$H$26=1),SUMPRODUCT(--($A$45:A48&lt;A48),--(MOD(A48-$A$45:A48,Parameters!$H$28)=0),$F$45:F48,POWER(Parameters!$H$27,IF(A48-$A$45:A48=0,1,A48-$A$45:A48))),0)</f>
        <v>0.0</v>
      </c>
      <c r="I48" s="7">
        <f>Parameters!$H$23*I47+B48*Parameters!$H$22</f>
        <v>0.04286875</v>
      </c>
      <c r="J48" s="7">
        <f>E48*Parameters!$H$14*(1-Parameters!$H$15)</f>
        <v>0.0</v>
      </c>
      <c r="K48" s="7">
        <f>H48*Parameters!$H$29</f>
        <v>0.0</v>
      </c>
      <c r="L48" s="7">
        <f>I48*Parameters!$H$24</f>
        <v>0.12860624999999998</v>
      </c>
      <c r="M48" s="7">
        <f>J48+K48+L48</f>
        <v>0.12860624999999998</v>
      </c>
      <c r="N48" s="7">
        <f>C48*Parameters!$H$17+D48*Parameters!$H$18+E48*Parameters!$H$16+I48*Parameters!$H$25+G48*Parameters!$H$30</f>
        <v>0.036794375000000004</v>
      </c>
      <c r="O48" s="7">
        <f>0</f>
        <v>0</v>
      </c>
      <c r="P48" s="7">
        <f>M48-N48-O48</f>
        <v>0.09181187499999997</v>
      </c>
      <c r="Q48" s="7">
        <f>0</f>
        <v>0</v>
      </c>
      <c r="R48" s="7">
        <f>P48-Q48</f>
        <v>0.09181187499999997</v>
      </c>
      <c r="S48" s="7">
        <f>IF(A48&lt;1+Parameters!$H$31,0,INDEX($M$45:$M$80,A48-Parameters!$H$31))</f>
        <v>0.135375</v>
      </c>
      <c r="T48" s="7">
        <f>T47+M48-S48</f>
        <v>0.12860625000000003</v>
      </c>
      <c r="U48" s="7">
        <f>S48-N48-O48-Q48</f>
        <v>0.09858062499999999</v>
      </c>
      <c r="V48" s="7">
        <f>V47+U48</f>
        <v>1.8765681249999995</v>
      </c>
      <c r="W48" s="7">
        <f>(1-Parameters!$H$7)*(C48-E48)+(1-Parameters!$H$8)*(D48+E48)</f>
        <v>0.01024</v>
      </c>
      <c r="X48" s="7">
        <f>Parameters!$H$7*(C48-E48)+Parameters!$H$8*Parameters!$H$9*(D48+E48)</f>
        <v>0.0</v>
      </c>
      <c r="Y48" s="7">
        <f>Parameters!$H$8*(1-Parameters!$H$9)*(D48+E48)</f>
        <v>0.04096000000000002</v>
      </c>
      <c r="Z48" s="7">
        <f>POWER(1/(1+Parameters!$H$32),A48-1)*(M48-N48)</f>
        <v>0.08911170133776437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0.04096000000000002</v>
      </c>
      <c r="E49" s="7">
        <f>Parameters!$H$6*C49</f>
        <v>0.0</v>
      </c>
      <c r="F49" s="7">
        <f>IF(Parameters!$H$5=1,E49,0)</f>
        <v>0.0</v>
      </c>
      <c r="G49" s="7">
        <f>Parameters!$H$27*G48+F49</f>
        <v>0.0</v>
      </c>
      <c r="H49" s="7">
        <f>IF(AND(Parameters!$H$5=1,Parameters!$H$26=1),SUMPRODUCT(--($A$45:A49&lt;A49),--(MOD(A49-$A$45:A49,Parameters!$H$28)=0),$F$45:F49,POWER(Parameters!$H$27,IF(A49-$A$45:A49=0,1,A49-$A$45:A49))),0)</f>
        <v>0.0</v>
      </c>
      <c r="I49" s="7">
        <f>Parameters!$H$23*I48+B49*Parameters!$H$22</f>
        <v>0.04072531249999999</v>
      </c>
      <c r="J49" s="7">
        <f>E49*Parameters!$H$14*(1-Parameters!$H$15)</f>
        <v>0.0</v>
      </c>
      <c r="K49" s="7">
        <f>H49*Parameters!$H$29</f>
        <v>0.0</v>
      </c>
      <c r="L49" s="7">
        <f>I49*Parameters!$H$24</f>
        <v>0.12217593749999997</v>
      </c>
      <c r="M49" s="7">
        <f>J49+K49+L49</f>
        <v>0.12217593749999997</v>
      </c>
      <c r="N49" s="7">
        <f>C49*Parameters!$H$17+D49*Parameters!$H$18+E49*Parameters!$H$16+I49*Parameters!$H$25+G49*Parameters!$H$30</f>
        <v>0.03265065625</v>
      </c>
      <c r="O49" s="7">
        <f>0</f>
        <v>0</v>
      </c>
      <c r="P49" s="7">
        <f>M49-N49-O49</f>
        <v>0.08952528124999998</v>
      </c>
      <c r="Q49" s="7">
        <f>0</f>
        <v>0</v>
      </c>
      <c r="R49" s="7">
        <f>P49-Q49</f>
        <v>0.08952528124999998</v>
      </c>
      <c r="S49" s="7">
        <f>IF(A49&lt;1+Parameters!$H$31,0,INDEX($M$45:$M$80,A49-Parameters!$H$31))</f>
        <v>0.12860624999999998</v>
      </c>
      <c r="T49" s="7">
        <f>T48+M49-S49</f>
        <v>0.12217593750000003</v>
      </c>
      <c r="U49" s="7">
        <f>S49-N49-O49-Q49</f>
        <v>0.09595559374999998</v>
      </c>
      <c r="V49" s="7">
        <f>V48+U49</f>
        <v>1.9725237187499995</v>
      </c>
      <c r="W49" s="7">
        <f>(1-Parameters!$H$7)*(C49-E49)+(1-Parameters!$H$8)*(D49+E49)</f>
        <v>0.008192000000000001</v>
      </c>
      <c r="X49" s="7">
        <f>Parameters!$H$7*(C49-E49)+Parameters!$H$8*Parameters!$H$9*(D49+E49)</f>
        <v>0.0</v>
      </c>
      <c r="Y49" s="7">
        <f>Parameters!$H$8*(1-Parameters!$H$9)*(D49+E49)</f>
        <v>0.03276800000000001</v>
      </c>
      <c r="Z49" s="7">
        <f>POWER(1/(1+Parameters!$H$32),A49-1)*(M49-N49)</f>
        <v>0.08603203561554598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0.03276800000000001</v>
      </c>
      <c r="E50" s="7">
        <f>Parameters!$H$6*C50</f>
        <v>0.0</v>
      </c>
      <c r="F50" s="7">
        <f>IF(Parameters!$H$5=1,E50,0)</f>
        <v>0.0</v>
      </c>
      <c r="G50" s="7">
        <f>Parameters!$H$27*G49+F50</f>
        <v>0.0</v>
      </c>
      <c r="H50" s="7">
        <f>IF(AND(Parameters!$H$5=1,Parameters!$H$26=1),SUMPRODUCT(--($A$45:A50&lt;A50),--(MOD(A50-$A$45:A50,Parameters!$H$28)=0),$F$45:F50,POWER(Parameters!$H$27,IF(A50-$A$45:A50=0,1,A50-$A$45:A50))),0)</f>
        <v>0.0</v>
      </c>
      <c r="I50" s="7">
        <f>Parameters!$H$23*I49+B50*Parameters!$H$22</f>
        <v>0.038689046874999994</v>
      </c>
      <c r="J50" s="7">
        <f>E50*Parameters!$H$14*(1-Parameters!$H$15)</f>
        <v>0.0</v>
      </c>
      <c r="K50" s="7">
        <f>H50*Parameters!$H$29</f>
        <v>0.0</v>
      </c>
      <c r="L50" s="7">
        <f>I50*Parameters!$H$24</f>
        <v>0.11606714062499998</v>
      </c>
      <c r="M50" s="7">
        <f>J50+K50+L50</f>
        <v>0.11606714062499998</v>
      </c>
      <c r="N50" s="7">
        <f>C50*Parameters!$H$17+D50*Parameters!$H$18+E50*Parameters!$H$16+I50*Parameters!$H$25+G50*Parameters!$H$30</f>
        <v>0.0291749234375</v>
      </c>
      <c r="O50" s="7">
        <f>0</f>
        <v>0</v>
      </c>
      <c r="P50" s="7">
        <f>M50-N50-O50</f>
        <v>0.08689221718749998</v>
      </c>
      <c r="Q50" s="7">
        <f>0</f>
        <v>0</v>
      </c>
      <c r="R50" s="7">
        <f>P50-Q50</f>
        <v>0.08689221718749998</v>
      </c>
      <c r="S50" s="7">
        <f>IF(A50&lt;1+Parameters!$H$31,0,INDEX($M$45:$M$80,A50-Parameters!$H$31))</f>
        <v>0.12217593749999997</v>
      </c>
      <c r="T50" s="7">
        <f>T49+M50-S50</f>
        <v>0.11606714062500004</v>
      </c>
      <c r="U50" s="7">
        <f>S50-N50-O50-Q50</f>
        <v>0.09300101406249997</v>
      </c>
      <c r="V50" s="7">
        <f>V49+U50</f>
        <v>2.0655247328124995</v>
      </c>
      <c r="W50" s="7">
        <f>(1-Parameters!$H$7)*(C50-E50)+(1-Parameters!$H$8)*(D50+E50)</f>
        <v>0.0065536000000000014</v>
      </c>
      <c r="X50" s="7">
        <f>Parameters!$H$7*(C50-E50)+Parameters!$H$8*Parameters!$H$9*(D50+E50)</f>
        <v>0.0</v>
      </c>
      <c r="Y50" s="7">
        <f>Parameters!$H$8*(1-Parameters!$H$9)*(D50+E50)</f>
        <v>0.026214400000000013</v>
      </c>
      <c r="Z50" s="7">
        <f>POWER(1/(1+Parameters!$H$32),A50-1)*(M50-N50)</f>
        <v>0.08267496317397963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0.026214400000000013</v>
      </c>
      <c r="E51" s="7">
        <f>Parameters!$H$6*C51</f>
        <v>0.0</v>
      </c>
      <c r="F51" s="7">
        <f>IF(Parameters!$H$5=1,E51,0)</f>
        <v>0.0</v>
      </c>
      <c r="G51" s="7">
        <f>Parameters!$H$27*G50+F51</f>
        <v>0.0</v>
      </c>
      <c r="H51" s="7">
        <f>IF(AND(Parameters!$H$5=1,Parameters!$H$26=1),SUMPRODUCT(--($A$45:A51&lt;A51),--(MOD(A51-$A$45:A51,Parameters!$H$28)=0),$F$45:F51,POWER(Parameters!$H$27,IF(A51-$A$45:A51=0,1,A51-$A$45:A51))),0)</f>
        <v>0.0</v>
      </c>
      <c r="I51" s="7">
        <f>Parameters!$H$23*I50+B51*Parameters!$H$22</f>
        <v>0.03675459453124999</v>
      </c>
      <c r="J51" s="7">
        <f>E51*Parameters!$H$14*(1-Parameters!$H$15)</f>
        <v>0.0</v>
      </c>
      <c r="K51" s="7">
        <f>H51*Parameters!$H$29</f>
        <v>0.0</v>
      </c>
      <c r="L51" s="7">
        <f>I51*Parameters!$H$24</f>
        <v>0.11026378359374997</v>
      </c>
      <c r="M51" s="7">
        <f>J51+K51+L51</f>
        <v>0.11026378359374997</v>
      </c>
      <c r="N51" s="7">
        <f>C51*Parameters!$H$17+D51*Parameters!$H$18+E51*Parameters!$H$16+I51*Parameters!$H$25+G51*Parameters!$H$30</f>
        <v>0.026241617265624996</v>
      </c>
      <c r="O51" s="7">
        <f>0</f>
        <v>0</v>
      </c>
      <c r="P51" s="7">
        <f>M51-N51-O51</f>
        <v>0.08402216632812498</v>
      </c>
      <c r="Q51" s="7">
        <f>0</f>
        <v>0</v>
      </c>
      <c r="R51" s="7">
        <f>P51-Q51</f>
        <v>0.08402216632812498</v>
      </c>
      <c r="S51" s="7">
        <f>IF(A51&lt;1+Parameters!$H$31,0,INDEX($M$45:$M$80,A51-Parameters!$H$31))</f>
        <v>0.11606714062499998</v>
      </c>
      <c r="T51" s="7">
        <f>T50+M51-S51</f>
        <v>0.11026378359375003</v>
      </c>
      <c r="U51" s="7">
        <f>S51-N51-O51-Q51</f>
        <v>0.08982552335937499</v>
      </c>
      <c r="V51" s="7">
        <f>V50+U51</f>
        <v>2.1553502561718743</v>
      </c>
      <c r="W51" s="7">
        <f>(1-Parameters!$H$7)*(C51-E51)+(1-Parameters!$H$8)*(D51+E51)</f>
        <v>0.005242880000000001</v>
      </c>
      <c r="X51" s="7">
        <f>Parameters!$H$7*(C51-E51)+Parameters!$H$8*Parameters!$H$9*(D51+E51)</f>
        <v>0.0</v>
      </c>
      <c r="Y51" s="7">
        <f>Parameters!$H$8*(1-Parameters!$H$9)*(D51+E51)</f>
        <v>0.02097152000000001</v>
      </c>
      <c r="Z51" s="7">
        <f>POWER(1/(1+Parameters!$H$32),A51-1)*(M51-N51)</f>
        <v>0.07915268144514657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0.02097152000000001</v>
      </c>
      <c r="E52" s="7">
        <f>Parameters!$H$6*C52</f>
        <v>0.0</v>
      </c>
      <c r="F52" s="7">
        <f>IF(Parameters!$H$5=1,E52,0)</f>
        <v>0.0</v>
      </c>
      <c r="G52" s="7">
        <f>Parameters!$H$27*G51+F52</f>
        <v>0.0</v>
      </c>
      <c r="H52" s="7">
        <f>IF(AND(Parameters!$H$5=1,Parameters!$H$26=1),SUMPRODUCT(--($A$45:A52&lt;A52),--(MOD(A52-$A$45:A52,Parameters!$H$28)=0),$F$45:F52,POWER(Parameters!$H$27,IF(A52-$A$45:A52=0,1,A52-$A$45:A52))),0)</f>
        <v>0.0</v>
      </c>
      <c r="I52" s="7">
        <f>Parameters!$H$23*I51+B52*Parameters!$H$22</f>
        <v>0.03491686480468749</v>
      </c>
      <c r="J52" s="7">
        <f>E52*Parameters!$H$14*(1-Parameters!$H$15)</f>
        <v>0.0</v>
      </c>
      <c r="K52" s="7">
        <f>H52*Parameters!$H$29</f>
        <v>0.0</v>
      </c>
      <c r="L52" s="7">
        <f>I52*Parameters!$H$24</f>
        <v>0.10475059441406247</v>
      </c>
      <c r="M52" s="7">
        <f>J52+K52+L52</f>
        <v>0.10475059441406247</v>
      </c>
      <c r="N52" s="7">
        <f>C52*Parameters!$H$17+D52*Parameters!$H$18+E52*Parameters!$H$16+I52*Parameters!$H$25+G52*Parameters!$H$30</f>
        <v>0.02374988840234375</v>
      </c>
      <c r="O52" s="7">
        <f>0</f>
        <v>0</v>
      </c>
      <c r="P52" s="7">
        <f>M52-N52-O52</f>
        <v>0.08100070601171871</v>
      </c>
      <c r="Q52" s="7">
        <f>0</f>
        <v>0</v>
      </c>
      <c r="R52" s="7">
        <f>P52-Q52</f>
        <v>0.08100070601171871</v>
      </c>
      <c r="S52" s="7">
        <f>IF(A52&lt;1+Parameters!$H$31,0,INDEX($M$45:$M$80,A52-Parameters!$H$31))</f>
        <v>0.11026378359374997</v>
      </c>
      <c r="T52" s="7">
        <f>T51+M52-S52</f>
        <v>0.10475059441406252</v>
      </c>
      <c r="U52" s="7">
        <f>S52-N52-O52-Q52</f>
        <v>0.08651389519140622</v>
      </c>
      <c r="V52" s="7">
        <f>V51+U52</f>
        <v>2.2418641513632807</v>
      </c>
      <c r="W52" s="7">
        <f>(1-Parameters!$H$7)*(C52-E52)+(1-Parameters!$H$8)*(D52+E52)</f>
        <v>0.004194304000000001</v>
      </c>
      <c r="X52" s="7">
        <f>Parameters!$H$7*(C52-E52)+Parameters!$H$8*Parameters!$H$9*(D52+E52)</f>
        <v>0.0</v>
      </c>
      <c r="Y52" s="7">
        <f>Parameters!$H$8*(1-Parameters!$H$9)*(D52+E52)</f>
        <v>0.016777216000000008</v>
      </c>
      <c r="Z52" s="7">
        <f>POWER(1/(1+Parameters!$H$32),A52-1)*(M52-N52)</f>
        <v>0.07555082094115484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0.016777216000000008</v>
      </c>
      <c r="E53" s="7">
        <f>Parameters!$H$6*C53</f>
        <v>0.0</v>
      </c>
      <c r="F53" s="7">
        <f>IF(Parameters!$H$5=1,E53,0)</f>
        <v>0.0</v>
      </c>
      <c r="G53" s="7">
        <f>Parameters!$H$27*G52+F53</f>
        <v>0.0</v>
      </c>
      <c r="H53" s="7">
        <f>IF(AND(Parameters!$H$5=1,Parameters!$H$26=1),SUMPRODUCT(--($A$45:A53&lt;A53),--(MOD(A53-$A$45:A53,Parameters!$H$28)=0),$F$45:F53,POWER(Parameters!$H$27,IF(A53-$A$45:A53=0,1,A53-$A$45:A53))),0)</f>
        <v>0.0</v>
      </c>
      <c r="I53" s="7">
        <f>Parameters!$H$23*I52+B53*Parameters!$H$22</f>
        <v>0.03317102156445311</v>
      </c>
      <c r="J53" s="7">
        <f>E53*Parameters!$H$14*(1-Parameters!$H$15)</f>
        <v>0.0</v>
      </c>
      <c r="K53" s="7">
        <f>H53*Parameters!$H$29</f>
        <v>0.0</v>
      </c>
      <c r="L53" s="7">
        <f>I53*Parameters!$H$24</f>
        <v>0.09951306469335933</v>
      </c>
      <c r="M53" s="7">
        <f>J53+K53+L53</f>
        <v>0.09951306469335933</v>
      </c>
      <c r="N53" s="7">
        <f>C53*Parameters!$H$17+D53*Parameters!$H$18+E53*Parameters!$H$16+I53*Parameters!$H$25+G53*Parameters!$H$30</f>
        <v>0.02161867558222656</v>
      </c>
      <c r="O53" s="7">
        <f>0</f>
        <v>0</v>
      </c>
      <c r="P53" s="7">
        <f>M53-N53-O53</f>
        <v>0.07789438911113276</v>
      </c>
      <c r="Q53" s="7">
        <f>0</f>
        <v>0</v>
      </c>
      <c r="R53" s="7">
        <f>P53-Q53</f>
        <v>0.07789438911113276</v>
      </c>
      <c r="S53" s="7">
        <f>IF(A53&lt;1+Parameters!$H$31,0,INDEX($M$45:$M$80,A53-Parameters!$H$31))</f>
        <v>0.10475059441406247</v>
      </c>
      <c r="T53" s="7">
        <f>T52+M53-S53</f>
        <v>0.09951306469335938</v>
      </c>
      <c r="U53" s="7">
        <f>S53-N53-O53-Q53</f>
        <v>0.0831319188318359</v>
      </c>
      <c r="V53" s="7">
        <f>V52+U53</f>
        <v>2.3249960701951164</v>
      </c>
      <c r="W53" s="7">
        <f>(1-Parameters!$H$7)*(C53-E53)+(1-Parameters!$H$8)*(D53+E53)</f>
        <v>0.003355443200000001</v>
      </c>
      <c r="X53" s="7">
        <f>Parameters!$H$7*(C53-E53)+Parameters!$H$8*Parameters!$H$9*(D53+E53)</f>
        <v>0.0</v>
      </c>
      <c r="Y53" s="7">
        <f>Parameters!$H$8*(1-Parameters!$H$9)*(D53+E53)</f>
        <v>0.013421772800000007</v>
      </c>
      <c r="Z53" s="7">
        <f>POWER(1/(1+Parameters!$H$32),A53-1)*(M53-N53)</f>
        <v>0.07193416146964002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0.013421772800000007</v>
      </c>
      <c r="E54" s="7">
        <f>Parameters!$H$6*C54</f>
        <v>0.0</v>
      </c>
      <c r="F54" s="7">
        <f>IF(Parameters!$H$5=1,E54,0)</f>
        <v>0.0</v>
      </c>
      <c r="G54" s="7">
        <f>Parameters!$H$27*G53+F54</f>
        <v>0.0</v>
      </c>
      <c r="H54" s="7">
        <f>IF(AND(Parameters!$H$5=1,Parameters!$H$26=1),SUMPRODUCT(--($A$45:A54&lt;A54),--(MOD(A54-$A$45:A54,Parameters!$H$28)=0),$F$45:F54,POWER(Parameters!$H$27,IF(A54-$A$45:A54=0,1,A54-$A$45:A54))),0)</f>
        <v>0.0</v>
      </c>
      <c r="I54" s="7">
        <f>Parameters!$H$23*I53+B54*Parameters!$H$22</f>
        <v>0.03151247048623045</v>
      </c>
      <c r="J54" s="7">
        <f>E54*Parameters!$H$14*(1-Parameters!$H$15)</f>
        <v>0.0</v>
      </c>
      <c r="K54" s="7">
        <f>H54*Parameters!$H$29</f>
        <v>0.0</v>
      </c>
      <c r="L54" s="7">
        <f>I54*Parameters!$H$24</f>
        <v>0.09453741145869135</v>
      </c>
      <c r="M54" s="7">
        <f>J54+K54+L54</f>
        <v>0.09453741145869135</v>
      </c>
      <c r="N54" s="7">
        <f>C54*Parameters!$H$17+D54*Parameters!$H$18+E54*Parameters!$H$16+I54*Parameters!$H$25+G54*Parameters!$H$30</f>
        <v>0.01978276708311523</v>
      </c>
      <c r="O54" s="7">
        <f>0</f>
        <v>0</v>
      </c>
      <c r="P54" s="7">
        <f>M54-N54-O54</f>
        <v>0.07475464437557612</v>
      </c>
      <c r="Q54" s="7">
        <f>0</f>
        <v>0</v>
      </c>
      <c r="R54" s="7">
        <f>P54-Q54</f>
        <v>0.07475464437557612</v>
      </c>
      <c r="S54" s="7">
        <f>IF(A54&lt;1+Parameters!$H$31,0,INDEX($M$45:$M$80,A54-Parameters!$H$31))</f>
        <v>0.09951306469335933</v>
      </c>
      <c r="T54" s="7">
        <f>T53+M54-S54</f>
        <v>0.0945374114586914</v>
      </c>
      <c r="U54" s="7">
        <f>S54-N54-O54-Q54</f>
        <v>0.0797302976102441</v>
      </c>
      <c r="V54" s="7">
        <f>V53+U54</f>
        <v>2.4047263678053605</v>
      </c>
      <c r="W54" s="7">
        <f>(1-Parameters!$H$7)*(C54-E54)+(1-Parameters!$H$8)*(D54+E54)</f>
        <v>0.0026843545600000007</v>
      </c>
      <c r="X54" s="7">
        <f>Parameters!$H$7*(C54-E54)+Parameters!$H$8*Parameters!$H$9*(D54+E54)</f>
        <v>0.0</v>
      </c>
      <c r="Y54" s="7">
        <f>Parameters!$H$8*(1-Parameters!$H$9)*(D54+E54)</f>
        <v>0.010737418240000006</v>
      </c>
      <c r="Z54" s="7">
        <f>POWER(1/(1+Parameters!$H$32),A54-1)*(M54-N54)</f>
        <v>0.06835114839948148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0.010737418240000006</v>
      </c>
      <c r="E55" s="7">
        <f>Parameters!$H$6*C55</f>
        <v>0.0</v>
      </c>
      <c r="F55" s="7">
        <f>IF(Parameters!$H$5=1,E55,0)</f>
        <v>0.0</v>
      </c>
      <c r="G55" s="7">
        <f>Parameters!$H$27*G54+F55</f>
        <v>0.0</v>
      </c>
      <c r="H55" s="7">
        <f>IF(AND(Parameters!$H$5=1,Parameters!$H$26=1),SUMPRODUCT(--($A$45:A55&lt;A55),--(MOD(A55-$A$45:A55,Parameters!$H$28)=0),$F$45:F55,POWER(Parameters!$H$27,IF(A55-$A$45:A55=0,1,A55-$A$45:A55))),0)</f>
        <v>0.0</v>
      </c>
      <c r="I55" s="7">
        <f>Parameters!$H$23*I54+B55*Parameters!$H$22</f>
        <v>0.02993684696191893</v>
      </c>
      <c r="J55" s="7">
        <f>E55*Parameters!$H$14*(1-Parameters!$H$15)</f>
        <v>0.0</v>
      </c>
      <c r="K55" s="7">
        <f>H55*Parameters!$H$29</f>
        <v>0.0</v>
      </c>
      <c r="L55" s="7">
        <f>I55*Parameters!$H$24</f>
        <v>0.0898105408857568</v>
      </c>
      <c r="M55" s="7">
        <f>J55+K55+L55</f>
        <v>0.0898105408857568</v>
      </c>
      <c r="N55" s="7">
        <f>C55*Parameters!$H$17+D55*Parameters!$H$18+E55*Parameters!$H$16+I55*Parameters!$H$25+G55*Parameters!$H$30</f>
        <v>0.018189648952959468</v>
      </c>
      <c r="O55" s="7">
        <f>0</f>
        <v>0</v>
      </c>
      <c r="P55" s="7">
        <f>M55-N55-O55</f>
        <v>0.07162089193279733</v>
      </c>
      <c r="Q55" s="7">
        <f>0</f>
        <v>0</v>
      </c>
      <c r="R55" s="7">
        <f>P55-Q55</f>
        <v>0.07162089193279733</v>
      </c>
      <c r="S55" s="7">
        <f>IF(A55&lt;1+Parameters!$H$31,0,INDEX($M$45:$M$80,A55-Parameters!$H$31))</f>
        <v>0.09453741145869135</v>
      </c>
      <c r="T55" s="7">
        <f>T54+M55-S55</f>
        <v>0.08981054088575685</v>
      </c>
      <c r="U55" s="7">
        <f>S55-N55-O55-Q55</f>
        <v>0.07634776250573189</v>
      </c>
      <c r="V55" s="7">
        <f>V54+U55</f>
        <v>2.4810741303110926</v>
      </c>
      <c r="W55" s="7">
        <f>(1-Parameters!$H$7)*(C55-E55)+(1-Parameters!$H$8)*(D55+E55)</f>
        <v>0.002147483648000001</v>
      </c>
      <c r="X55" s="7">
        <f>Parameters!$H$7*(C55-E55)+Parameters!$H$8*Parameters!$H$9*(D55+E55)</f>
        <v>0.0</v>
      </c>
      <c r="Y55" s="7">
        <f>Parameters!$H$8*(1-Parameters!$H$9)*(D55+E55)</f>
        <v>0.008589934592000005</v>
      </c>
      <c r="Z55" s="7">
        <f>POWER(1/(1+Parameters!$H$32),A55-1)*(M55-N55)</f>
        <v>0.06483745915023735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0.008589934592000005</v>
      </c>
      <c r="E56" s="7">
        <f>Parameters!$H$6*C56</f>
        <v>0.0</v>
      </c>
      <c r="F56" s="7">
        <f>IF(Parameters!$H$5=1,E56,0)</f>
        <v>0.0</v>
      </c>
      <c r="G56" s="7">
        <f>Parameters!$H$27*G55+F56</f>
        <v>0.0</v>
      </c>
      <c r="H56" s="7">
        <f>IF(AND(Parameters!$H$5=1,Parameters!$H$26=1),SUMPRODUCT(--($A$45:A56&lt;A56),--(MOD(A56-$A$45:A56,Parameters!$H$28)=0),$F$45:F56,POWER(Parameters!$H$27,IF(A56-$A$45:A56=0,1,A56-$A$45:A56))),0)</f>
        <v>0.0</v>
      </c>
      <c r="I56" s="7">
        <f>Parameters!$H$23*I55+B56*Parameters!$H$22</f>
        <v>0.028440004613822983</v>
      </c>
      <c r="J56" s="7">
        <f>E56*Parameters!$H$14*(1-Parameters!$H$15)</f>
        <v>0.0</v>
      </c>
      <c r="K56" s="7">
        <f>H56*Parameters!$H$29</f>
        <v>0.0</v>
      </c>
      <c r="L56" s="7">
        <f>I56*Parameters!$H$24</f>
        <v>0.08532001384146895</v>
      </c>
      <c r="M56" s="7">
        <f>J56+K56+L56</f>
        <v>0.08532001384146895</v>
      </c>
      <c r="N56" s="7">
        <f>C56*Parameters!$H$17+D56*Parameters!$H$18+E56*Parameters!$H$16+I56*Parameters!$H$25+G56*Parameters!$H$30</f>
        <v>0.016796982684511495</v>
      </c>
      <c r="O56" s="7">
        <f>0</f>
        <v>0</v>
      </c>
      <c r="P56" s="7">
        <f>M56-N56-O56</f>
        <v>0.06852303115695746</v>
      </c>
      <c r="Q56" s="7">
        <f>0</f>
        <v>0</v>
      </c>
      <c r="R56" s="7">
        <f>P56-Q56</f>
        <v>0.06852303115695746</v>
      </c>
      <c r="S56" s="7">
        <f>IF(A56&lt;1+Parameters!$H$31,0,INDEX($M$45:$M$80,A56-Parameters!$H$31))</f>
        <v>0.0898105408857568</v>
      </c>
      <c r="T56" s="7">
        <f>T55+M56-S56</f>
        <v>0.085320013841469</v>
      </c>
      <c r="U56" s="7">
        <f>S56-N56-O56-Q56</f>
        <v>0.0730135582012453</v>
      </c>
      <c r="V56" s="7">
        <f>V55+U56</f>
        <v>2.554087688512338</v>
      </c>
      <c r="W56" s="7">
        <f>(1-Parameters!$H$7)*(C56-E56)+(1-Parameters!$H$8)*(D56+E56)</f>
        <v>0.0017179869184000007</v>
      </c>
      <c r="X56" s="7">
        <f>Parameters!$H$7*(C56-E56)+Parameters!$H$8*Parameters!$H$9*(D56+E56)</f>
        <v>0.0</v>
      </c>
      <c r="Y56" s="7">
        <f>Parameters!$H$8*(1-Parameters!$H$9)*(D56+E56)</f>
        <v>0.0068719476736000045</v>
      </c>
      <c r="Z56" s="7">
        <f>POWER(1/(1+Parameters!$H$32),A56-1)*(M56-N56)</f>
        <v>0.0614188180221925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0.0068719476736000045</v>
      </c>
      <c r="E57" s="7">
        <f>Parameters!$H$6*C57</f>
        <v>0.0</v>
      </c>
      <c r="F57" s="7">
        <f>IF(Parameters!$H$5=1,E57,0)</f>
        <v>0.0</v>
      </c>
      <c r="G57" s="7">
        <f>Parameters!$H$27*G56+F57</f>
        <v>0.0</v>
      </c>
      <c r="H57" s="7">
        <f>IF(AND(Parameters!$H$5=1,Parameters!$H$26=1),SUMPRODUCT(--($A$45:A57&lt;A57),--(MOD(A57-$A$45:A57,Parameters!$H$28)=0),$F$45:F57,POWER(Parameters!$H$27,IF(A57-$A$45:A57=0,1,A57-$A$45:A57))),0)</f>
        <v>0.0</v>
      </c>
      <c r="I57" s="7">
        <f>Parameters!$H$23*I56+B57*Parameters!$H$22</f>
        <v>0.027018004383131834</v>
      </c>
      <c r="J57" s="7">
        <f>E57*Parameters!$H$14*(1-Parameters!$H$15)</f>
        <v>0.0</v>
      </c>
      <c r="K57" s="7">
        <f>H57*Parameters!$H$29</f>
        <v>0.0</v>
      </c>
      <c r="L57" s="7">
        <f>I57*Parameters!$H$24</f>
        <v>0.0810540131493955</v>
      </c>
      <c r="M57" s="7">
        <f>J57+K57+L57</f>
        <v>0.0810540131493955</v>
      </c>
      <c r="N57" s="7">
        <f>C57*Parameters!$H$17+D57*Parameters!$H$18+E57*Parameters!$H$16+I57*Parameters!$H$25+G57*Parameters!$H$30</f>
        <v>0.015570586493645918</v>
      </c>
      <c r="O57" s="7">
        <f>0</f>
        <v>0</v>
      </c>
      <c r="P57" s="7">
        <f>M57-N57-O57</f>
        <v>0.06548342665574959</v>
      </c>
      <c r="Q57" s="7">
        <f>0</f>
        <v>0</v>
      </c>
      <c r="R57" s="7">
        <f>P57-Q57</f>
        <v>0.06548342665574959</v>
      </c>
      <c r="S57" s="7">
        <f>IF(A57&lt;1+Parameters!$H$31,0,INDEX($M$45:$M$80,A57-Parameters!$H$31))</f>
        <v>0.08532001384146895</v>
      </c>
      <c r="T57" s="7">
        <f>T56+M57-S57</f>
        <v>0.08105401314939556</v>
      </c>
      <c r="U57" s="7">
        <f>S57-N57-O57-Q57</f>
        <v>0.06974942734782304</v>
      </c>
      <c r="V57" s="7">
        <f>V56+U57</f>
        <v>2.623837115860161</v>
      </c>
      <c r="W57" s="7">
        <f>(1-Parameters!$H$7)*(C57-E57)+(1-Parameters!$H$8)*(D57+E57)</f>
        <v>0.0013743895347200006</v>
      </c>
      <c r="X57" s="7">
        <f>Parameters!$H$7*(C57-E57)+Parameters!$H$8*Parameters!$H$9*(D57+E57)</f>
        <v>0.0</v>
      </c>
      <c r="Y57" s="7">
        <f>Parameters!$H$8*(1-Parameters!$H$9)*(D57+E57)</f>
        <v>0.005497558138880004</v>
      </c>
      <c r="Z57" s="7">
        <f>POWER(1/(1+Parameters!$H$32),A57-1)*(M57-N57)</f>
        <v>0.05811321625335248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0.005497558138880004</v>
      </c>
      <c r="E58" s="7">
        <f>Parameters!$H$6*C58</f>
        <v>0.0</v>
      </c>
      <c r="F58" s="7">
        <f>IF(Parameters!$H$5=1,E58,0)</f>
        <v>0.0</v>
      </c>
      <c r="G58" s="7">
        <f>Parameters!$H$27*G57+F58</f>
        <v>0.0</v>
      </c>
      <c r="H58" s="7">
        <f>IF(AND(Parameters!$H$5=1,Parameters!$H$26=1),SUMPRODUCT(--($A$45:A58&lt;A58),--(MOD(A58-$A$45:A58,Parameters!$H$28)=0),$F$45:F58,POWER(Parameters!$H$27,IF(A58-$A$45:A58=0,1,A58-$A$45:A58))),0)</f>
        <v>0.0</v>
      </c>
      <c r="I58" s="7">
        <f>Parameters!$H$23*I57+B58*Parameters!$H$22</f>
        <v>0.02566710416397524</v>
      </c>
      <c r="J58" s="7">
        <f>E58*Parameters!$H$14*(1-Parameters!$H$15)</f>
        <v>0.0</v>
      </c>
      <c r="K58" s="7">
        <f>H58*Parameters!$H$29</f>
        <v>0.0</v>
      </c>
      <c r="L58" s="7">
        <f>I58*Parameters!$H$24</f>
        <v>0.07700131249192571</v>
      </c>
      <c r="M58" s="7">
        <f>J58+K58+L58</f>
        <v>0.07700131249192571</v>
      </c>
      <c r="N58" s="7">
        <f>C58*Parameters!$H$17+D58*Parameters!$H$18+E58*Parameters!$H$16+I58*Parameters!$H$25+G58*Parameters!$H$30</f>
        <v>0.014482819523651621</v>
      </c>
      <c r="O58" s="7">
        <f>0</f>
        <v>0</v>
      </c>
      <c r="P58" s="7">
        <f>M58-N58-O58</f>
        <v>0.0625184929682741</v>
      </c>
      <c r="Q58" s="7">
        <f>0</f>
        <v>0</v>
      </c>
      <c r="R58" s="7">
        <f>P58-Q58</f>
        <v>0.0625184929682741</v>
      </c>
      <c r="S58" s="7">
        <f>IF(A58&lt;1+Parameters!$H$31,0,INDEX($M$45:$M$80,A58-Parameters!$H$31))</f>
        <v>0.0810540131493955</v>
      </c>
      <c r="T58" s="7">
        <f>T57+M58-S58</f>
        <v>0.07700131249192577</v>
      </c>
      <c r="U58" s="7">
        <f>S58-N58-O58-Q58</f>
        <v>0.06657119362574389</v>
      </c>
      <c r="V58" s="7">
        <f>V57+U58</f>
        <v>2.690408309485905</v>
      </c>
      <c r="W58" s="7">
        <f>(1-Parameters!$H$7)*(C58-E58)+(1-Parameters!$H$8)*(D58+E58)</f>
        <v>0.0010995116277760005</v>
      </c>
      <c r="X58" s="7">
        <f>Parameters!$H$7*(C58-E58)+Parameters!$H$8*Parameters!$H$9*(D58+E58)</f>
        <v>0.0</v>
      </c>
      <c r="Y58" s="7">
        <f>Parameters!$H$8*(1-Parameters!$H$9)*(D58+E58)</f>
        <v>0.004398046511104004</v>
      </c>
      <c r="Z58" s="7">
        <f>POWER(1/(1+Parameters!$H$32),A58-1)*(M58-N58)</f>
        <v>0.05493266153409881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0.004398046511104004</v>
      </c>
      <c r="E59" s="7">
        <f>Parameters!$H$6*C59</f>
        <v>0.0</v>
      </c>
      <c r="F59" s="7">
        <f>IF(Parameters!$H$5=1,E59,0)</f>
        <v>0.0</v>
      </c>
      <c r="G59" s="7">
        <f>Parameters!$H$27*G58+F59</f>
        <v>0.0</v>
      </c>
      <c r="H59" s="7">
        <f>IF(AND(Parameters!$H$5=1,Parameters!$H$26=1),SUMPRODUCT(--($A$45:A59&lt;A59),--(MOD(A59-$A$45:A59,Parameters!$H$28)=0),$F$45:F59,POWER(Parameters!$H$27,IF(A59-$A$45:A59=0,1,A59-$A$45:A59))),0)</f>
        <v>0.0</v>
      </c>
      <c r="I59" s="7">
        <f>Parameters!$H$23*I58+B59*Parameters!$H$22</f>
        <v>0.024383748955776476</v>
      </c>
      <c r="J59" s="7">
        <f>E59*Parameters!$H$14*(1-Parameters!$H$15)</f>
        <v>0.0</v>
      </c>
      <c r="K59" s="7">
        <f>H59*Parameters!$H$29</f>
        <v>0.0</v>
      </c>
      <c r="L59" s="7">
        <f>I59*Parameters!$H$24</f>
        <v>0.07315124686732943</v>
      </c>
      <c r="M59" s="7">
        <f>J59+K59+L59</f>
        <v>0.07315124686732943</v>
      </c>
      <c r="N59" s="7">
        <f>C59*Parameters!$H$17+D59*Parameters!$H$18+E59*Parameters!$H$16+I59*Parameters!$H$25+G59*Parameters!$H$30</f>
        <v>0.013511288431219438</v>
      </c>
      <c r="O59" s="7">
        <f>0</f>
        <v>0</v>
      </c>
      <c r="P59" s="7">
        <f>M59-N59-O59</f>
        <v>0.059639958436109995</v>
      </c>
      <c r="Q59" s="7">
        <f>0</f>
        <v>0</v>
      </c>
      <c r="R59" s="7">
        <f>P59-Q59</f>
        <v>0.059639958436109995</v>
      </c>
      <c r="S59" s="7">
        <f>IF(A59&lt;1+Parameters!$H$31,0,INDEX($M$45:$M$80,A59-Parameters!$H$31))</f>
        <v>0.07700131249192571</v>
      </c>
      <c r="T59" s="7">
        <f>T58+M59-S59</f>
        <v>0.07315124686732949</v>
      </c>
      <c r="U59" s="7">
        <f>S59-N59-O59-Q59</f>
        <v>0.06349002406070628</v>
      </c>
      <c r="V59" s="7">
        <f>V58+U59</f>
        <v>2.753898333546611</v>
      </c>
      <c r="W59" s="7">
        <f>(1-Parameters!$H$7)*(C59-E59)+(1-Parameters!$H$8)*(D59+E59)</f>
        <v>0.0008796093022208005</v>
      </c>
      <c r="X59" s="7">
        <f>Parameters!$H$7*(C59-E59)+Parameters!$H$8*Parameters!$H$9*(D59+E59)</f>
        <v>0.0</v>
      </c>
      <c r="Y59" s="7">
        <f>Parameters!$H$8*(1-Parameters!$H$9)*(D59+E59)</f>
        <v>0.0035184372088832034</v>
      </c>
      <c r="Z59" s="7">
        <f>POWER(1/(1+Parameters!$H$32),A59-1)*(M59-N59)</f>
        <v>0.05188455534650698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0.0035184372088832034</v>
      </c>
      <c r="E60" s="7">
        <f>Parameters!$H$6*C60</f>
        <v>0.0</v>
      </c>
      <c r="F60" s="7">
        <f>IF(Parameters!$H$5=1,E60,0)</f>
        <v>0.0</v>
      </c>
      <c r="G60" s="7">
        <f>Parameters!$H$27*G59+F60</f>
        <v>0.0</v>
      </c>
      <c r="H60" s="7">
        <f>IF(AND(Parameters!$H$5=1,Parameters!$H$26=1),SUMPRODUCT(--($A$45:A60&lt;A60),--(MOD(A60-$A$45:A60,Parameters!$H$28)=0),$F$45:F60,POWER(Parameters!$H$27,IF(A60-$A$45:A60=0,1,A60-$A$45:A60))),0)</f>
        <v>0.0</v>
      </c>
      <c r="I60" s="7">
        <f>Parameters!$H$23*I59+B60*Parameters!$H$22</f>
        <v>0.023164561507987652</v>
      </c>
      <c r="J60" s="7">
        <f>E60*Parameters!$H$14*(1-Parameters!$H$15)</f>
        <v>0.0</v>
      </c>
      <c r="K60" s="7">
        <f>H60*Parameters!$H$29</f>
        <v>0.0</v>
      </c>
      <c r="L60" s="7">
        <f>I60*Parameters!$H$24</f>
        <v>0.06949368452396296</v>
      </c>
      <c r="M60" s="7">
        <f>J60+K60+L60</f>
        <v>0.06949368452396296</v>
      </c>
      <c r="N60" s="7">
        <f>C60*Parameters!$H$17+D60*Parameters!$H$18+E60*Parameters!$H$16+I60*Parameters!$H$25+G60*Parameters!$H$30</f>
        <v>0.012637811916658788</v>
      </c>
      <c r="O60" s="7">
        <f>0</f>
        <v>0</v>
      </c>
      <c r="P60" s="7">
        <f>M60-N60-O60</f>
        <v>0.05685587260730417</v>
      </c>
      <c r="Q60" s="7">
        <f>0</f>
        <v>0</v>
      </c>
      <c r="R60" s="7">
        <f>P60-Q60</f>
        <v>0.05685587260730417</v>
      </c>
      <c r="S60" s="7">
        <f>IF(A60&lt;1+Parameters!$H$31,0,INDEX($M$45:$M$80,A60-Parameters!$H$31))</f>
        <v>0.07315124686732943</v>
      </c>
      <c r="T60" s="7">
        <f>T59+M60-S60</f>
        <v>0.06949368452396301</v>
      </c>
      <c r="U60" s="7">
        <f>S60-N60-O60-Q60</f>
        <v>0.060513434950670644</v>
      </c>
      <c r="V60" s="7">
        <f>V59+U60</f>
        <v>2.814411768497282</v>
      </c>
      <c r="W60" s="7">
        <f>(1-Parameters!$H$7)*(C60-E60)+(1-Parameters!$H$8)*(D60+E60)</f>
        <v>0.0007036874417766405</v>
      </c>
      <c r="X60" s="7">
        <f>Parameters!$H$7*(C60-E60)+Parameters!$H$8*Parameters!$H$9*(D60+E60)</f>
        <v>0.0</v>
      </c>
      <c r="Y60" s="7">
        <f>Parameters!$H$8*(1-Parameters!$H$9)*(D60+E60)</f>
        <v>0.002814749767106563</v>
      </c>
      <c r="Z60" s="7">
        <f>POWER(1/(1+Parameters!$H$32),A60-1)*(M60-N60)</f>
        <v>0.04897277601121065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0.002814749767106563</v>
      </c>
      <c r="E61" s="7">
        <f>Parameters!$H$6*C61</f>
        <v>0.0</v>
      </c>
      <c r="F61" s="7">
        <f>IF(Parameters!$H$5=1,E61,0)</f>
        <v>0.0</v>
      </c>
      <c r="G61" s="7">
        <f>Parameters!$H$27*G60+F61</f>
        <v>0.0</v>
      </c>
      <c r="H61" s="7">
        <f>IF(AND(Parameters!$H$5=1,Parameters!$H$26=1),SUMPRODUCT(--($A$45:A61&lt;A61),--(MOD(A61-$A$45:A61,Parameters!$H$28)=0),$F$45:F61,POWER(Parameters!$H$27,IF(A61-$A$45:A61=0,1,A61-$A$45:A61))),0)</f>
        <v>0.0</v>
      </c>
      <c r="I61" s="7">
        <f>Parameters!$H$23*I60+B61*Parameters!$H$22</f>
        <v>0.02200633343258827</v>
      </c>
      <c r="J61" s="7">
        <f>E61*Parameters!$H$14*(1-Parameters!$H$15)</f>
        <v>0.0</v>
      </c>
      <c r="K61" s="7">
        <f>H61*Parameters!$H$29</f>
        <v>0.0</v>
      </c>
      <c r="L61" s="7">
        <f>I61*Parameters!$H$24</f>
        <v>0.06601900029776481</v>
      </c>
      <c r="M61" s="7">
        <f>J61+K61+L61</f>
        <v>0.06601900029776481</v>
      </c>
      <c r="N61" s="7">
        <f>C61*Parameters!$H$17+D61*Parameters!$H$18+E61*Parameters!$H$16+I61*Parameters!$H$25+G61*Parameters!$H$30</f>
        <v>0.011847591646426105</v>
      </c>
      <c r="O61" s="7">
        <f>0</f>
        <v>0</v>
      </c>
      <c r="P61" s="7">
        <f>M61-N61-O61</f>
        <v>0.0541714086513387</v>
      </c>
      <c r="Q61" s="7">
        <f>0</f>
        <v>0</v>
      </c>
      <c r="R61" s="7">
        <f>P61-Q61</f>
        <v>0.0541714086513387</v>
      </c>
      <c r="S61" s="7">
        <f>IF(A61&lt;1+Parameters!$H$31,0,INDEX($M$45:$M$80,A61-Parameters!$H$31))</f>
        <v>0.06949368452396296</v>
      </c>
      <c r="T61" s="7">
        <f>T60+M61-S61</f>
        <v>0.06601900029776486</v>
      </c>
      <c r="U61" s="7">
        <f>S61-N61-O61-Q61</f>
        <v>0.05764609287753685</v>
      </c>
      <c r="V61" s="7">
        <f>V60+U61</f>
        <v>2.872057861374819</v>
      </c>
      <c r="W61" s="7">
        <f>(1-Parameters!$H$7)*(C61-E61)+(1-Parameters!$H$8)*(D61+E61)</f>
        <v>0.0005629499534213125</v>
      </c>
      <c r="X61" s="7">
        <f>Parameters!$H$7*(C61-E61)+Parameters!$H$8*Parameters!$H$9*(D61+E61)</f>
        <v>0.0</v>
      </c>
      <c r="Y61" s="7">
        <f>Parameters!$H$8*(1-Parameters!$H$9)*(D61+E61)</f>
        <v>0.0022517998136852503</v>
      </c>
      <c r="Z61" s="7">
        <f>POWER(1/(1+Parameters!$H$32),A61-1)*(M61-N61)</f>
        <v>0.0461985291015288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0.0022517998136852503</v>
      </c>
      <c r="E62" s="7">
        <f>Parameters!$H$6*C62</f>
        <v>0.0</v>
      </c>
      <c r="F62" s="7">
        <f>IF(Parameters!$H$5=1,E62,0)</f>
        <v>0.0</v>
      </c>
      <c r="G62" s="7">
        <f>Parameters!$H$27*G61+F62</f>
        <v>0.0</v>
      </c>
      <c r="H62" s="7">
        <f>IF(AND(Parameters!$H$5=1,Parameters!$H$26=1),SUMPRODUCT(--($A$45:A62&lt;A62),--(MOD(A62-$A$45:A62,Parameters!$H$28)=0),$F$45:F62,POWER(Parameters!$H$27,IF(A62-$A$45:A62=0,1,A62-$A$45:A62))),0)</f>
        <v>0.0</v>
      </c>
      <c r="I62" s="7">
        <f>Parameters!$H$23*I61+B62*Parameters!$H$22</f>
        <v>0.020906016760958854</v>
      </c>
      <c r="J62" s="7">
        <f>E62*Parameters!$H$14*(1-Parameters!$H$15)</f>
        <v>0.0</v>
      </c>
      <c r="K62" s="7">
        <f>H62*Parameters!$H$29</f>
        <v>0.0</v>
      </c>
      <c r="L62" s="7">
        <f>I62*Parameters!$H$24</f>
        <v>0.06271805028287657</v>
      </c>
      <c r="M62" s="7">
        <f>J62+K62+L62</f>
        <v>0.06271805028287657</v>
      </c>
      <c r="N62" s="7">
        <f>C62*Parameters!$H$17+D62*Parameters!$H$18+E62*Parameters!$H$16+I62*Parameters!$H$25+G62*Parameters!$H$30</f>
        <v>0.011128548324585001</v>
      </c>
      <c r="O62" s="7">
        <f>0</f>
        <v>0</v>
      </c>
      <c r="P62" s="7">
        <f>M62-N62-O62</f>
        <v>0.05158950195829157</v>
      </c>
      <c r="Q62" s="7">
        <f>0</f>
        <v>0</v>
      </c>
      <c r="R62" s="7">
        <f>P62-Q62</f>
        <v>0.05158950195829157</v>
      </c>
      <c r="S62" s="7">
        <f>IF(A62&lt;1+Parameters!$H$31,0,INDEX($M$45:$M$80,A62-Parameters!$H$31))</f>
        <v>0.06601900029776481</v>
      </c>
      <c r="T62" s="7">
        <f>T61+M62-S62</f>
        <v>0.06271805028287662</v>
      </c>
      <c r="U62" s="7">
        <f>S62-N62-O62-Q62</f>
        <v>0.05489045197317981</v>
      </c>
      <c r="V62" s="7">
        <f>V61+U62</f>
        <v>2.9269483133479985</v>
      </c>
      <c r="W62" s="7">
        <f>(1-Parameters!$H$7)*(C62-E62)+(1-Parameters!$H$8)*(D62+E62)</f>
        <v>0.00045035996273704997</v>
      </c>
      <c r="X62" s="7">
        <f>Parameters!$H$7*(C62-E62)+Parameters!$H$8*Parameters!$H$9*(D62+E62)</f>
        <v>0.0</v>
      </c>
      <c r="Y62" s="7">
        <f>Parameters!$H$8*(1-Parameters!$H$9)*(D62+E62)</f>
        <v>0.0018014398509482003</v>
      </c>
      <c r="Z62" s="7">
        <f>POWER(1/(1+Parameters!$H$32),A62-1)*(M62-N62)</f>
        <v>0.04356101403630238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0.0018014398509482003</v>
      </c>
      <c r="E63" s="7">
        <f>Parameters!$H$6*C63</f>
        <v>0.0</v>
      </c>
      <c r="F63" s="7">
        <f>IF(Parameters!$H$5=1,E63,0)</f>
        <v>0.0</v>
      </c>
      <c r="G63" s="7">
        <f>Parameters!$H$27*G62+F63</f>
        <v>0.0</v>
      </c>
      <c r="H63" s="7">
        <f>IF(AND(Parameters!$H$5=1,Parameters!$H$26=1),SUMPRODUCT(--($A$45:A63&lt;A63),--(MOD(A63-$A$45:A63,Parameters!$H$28)=0),$F$45:F63,POWER(Parameters!$H$27,IF(A63-$A$45:A63=0,1,A63-$A$45:A63))),0)</f>
        <v>0.0</v>
      </c>
      <c r="I63" s="7">
        <f>Parameters!$H$23*I62+B63*Parameters!$H$22</f>
        <v>0.019860715922910912</v>
      </c>
      <c r="J63" s="7">
        <f>E63*Parameters!$H$14*(1-Parameters!$H$15)</f>
        <v>0.0</v>
      </c>
      <c r="K63" s="7">
        <f>H63*Parameters!$H$29</f>
        <v>0.0</v>
      </c>
      <c r="L63" s="7">
        <f>I63*Parameters!$H$24</f>
        <v>0.05958214776873273</v>
      </c>
      <c r="M63" s="7">
        <f>J63+K63+L63</f>
        <v>0.05958214776873273</v>
      </c>
      <c r="N63" s="7">
        <f>C63*Parameters!$H$17+D63*Parameters!$H$18+E63*Parameters!$H$16+I63*Parameters!$H$25+G63*Parameters!$H$30</f>
        <v>0.010470789916739916</v>
      </c>
      <c r="O63" s="7">
        <f>0</f>
        <v>0</v>
      </c>
      <c r="P63" s="7">
        <f>M63-N63-O63</f>
        <v>0.04911135785199282</v>
      </c>
      <c r="Q63" s="7">
        <f>0</f>
        <v>0</v>
      </c>
      <c r="R63" s="7">
        <f>P63-Q63</f>
        <v>0.04911135785199282</v>
      </c>
      <c r="S63" s="7">
        <f>IF(A63&lt;1+Parameters!$H$31,0,INDEX($M$45:$M$80,A63-Parameters!$H$31))</f>
        <v>0.06271805028287657</v>
      </c>
      <c r="T63" s="7">
        <f>T62+M63-S63</f>
        <v>0.05958214776873279</v>
      </c>
      <c r="U63" s="7">
        <f>S63-N63-O63-Q63</f>
        <v>0.05224726036613665</v>
      </c>
      <c r="V63" s="7">
        <f>V62+U63</f>
        <v>2.979195573714135</v>
      </c>
      <c r="W63" s="7">
        <f>(1-Parameters!$H$7)*(C63-E63)+(1-Parameters!$H$8)*(D63+E63)</f>
        <v>0.00036028797018964</v>
      </c>
      <c r="X63" s="7">
        <f>Parameters!$H$7*(C63-E63)+Parameters!$H$8*Parameters!$H$9*(D63+E63)</f>
        <v>0.0</v>
      </c>
      <c r="Y63" s="7">
        <f>Parameters!$H$8*(1-Parameters!$H$9)*(D63+E63)</f>
        <v>0.0014411518807585604</v>
      </c>
      <c r="Z63" s="7">
        <f>POWER(1/(1+Parameters!$H$32),A63-1)*(M63-N63)</f>
        <v>0.0410579454876998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0.0014411518807585604</v>
      </c>
      <c r="E64" s="7">
        <f>Parameters!$H$6*C64</f>
        <v>0.0</v>
      </c>
      <c r="F64" s="7">
        <f>IF(Parameters!$H$5=1,E64,0)</f>
        <v>0.0</v>
      </c>
      <c r="G64" s="7">
        <f>Parameters!$H$27*G63+F64</f>
        <v>0.0</v>
      </c>
      <c r="H64" s="7">
        <f>IF(AND(Parameters!$H$5=1,Parameters!$H$26=1),SUMPRODUCT(--($A$45:A64&lt;A64),--(MOD(A64-$A$45:A64,Parameters!$H$28)=0),$F$45:F64,POWER(Parameters!$H$27,IF(A64-$A$45:A64=0,1,A64-$A$45:A64))),0)</f>
        <v>0.0</v>
      </c>
      <c r="I64" s="7">
        <f>Parameters!$H$23*I63+B64*Parameters!$H$22</f>
        <v>0.018867680126765367</v>
      </c>
      <c r="J64" s="7">
        <f>E64*Parameters!$H$14*(1-Parameters!$H$15)</f>
        <v>0.0</v>
      </c>
      <c r="K64" s="7">
        <f>H64*Parameters!$H$29</f>
        <v>0.0</v>
      </c>
      <c r="L64" s="7">
        <f>I64*Parameters!$H$24</f>
        <v>0.0566030403802961</v>
      </c>
      <c r="M64" s="7">
        <f>J64+K64+L64</f>
        <v>0.0566030403802961</v>
      </c>
      <c r="N64" s="7">
        <f>C64*Parameters!$H$17+D64*Parameters!$H$18+E64*Parameters!$H$16+I64*Parameters!$H$25+G64*Parameters!$H$30</f>
        <v>0.009866185627610252</v>
      </c>
      <c r="O64" s="7">
        <f>0</f>
        <v>0</v>
      </c>
      <c r="P64" s="7">
        <f>M64-N64-O64</f>
        <v>0.04673685475268585</v>
      </c>
      <c r="Q64" s="7">
        <f>0</f>
        <v>0</v>
      </c>
      <c r="R64" s="7">
        <f>P64-Q64</f>
        <v>0.04673685475268585</v>
      </c>
      <c r="S64" s="7">
        <f>IF(A64&lt;1+Parameters!$H$31,0,INDEX($M$45:$M$80,A64-Parameters!$H$31))</f>
        <v>0.05958214776873273</v>
      </c>
      <c r="T64" s="7">
        <f>T63+M64-S64</f>
        <v>0.056603040380296156</v>
      </c>
      <c r="U64" s="7">
        <f>S64-N64-O64-Q64</f>
        <v>0.04971596214112248</v>
      </c>
      <c r="V64" s="7">
        <f>V63+U64</f>
        <v>3.0289115358552574</v>
      </c>
      <c r="W64" s="7">
        <f>(1-Parameters!$H$7)*(C64-E64)+(1-Parameters!$H$8)*(D64+E64)</f>
        <v>0.000288230376151712</v>
      </c>
      <c r="X64" s="7">
        <f>Parameters!$H$7*(C64-E64)+Parameters!$H$8*Parameters!$H$9*(D64+E64)</f>
        <v>0.0</v>
      </c>
      <c r="Y64" s="7">
        <f>Parameters!$H$8*(1-Parameters!$H$9)*(D64+E64)</f>
        <v>0.0011529215046068484</v>
      </c>
      <c r="Z64" s="7">
        <f>POWER(1/(1+Parameters!$H$32),A64-1)*(M64-N64)</f>
        <v>0.03868596018225624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0.0011529215046068484</v>
      </c>
      <c r="E65" s="7">
        <f>Parameters!$H$6*C65</f>
        <v>0.0</v>
      </c>
      <c r="F65" s="7">
        <f>IF(Parameters!$H$5=1,E65,0)</f>
        <v>0.0</v>
      </c>
      <c r="G65" s="7">
        <f>Parameters!$H$27*G64+F65</f>
        <v>0.0</v>
      </c>
      <c r="H65" s="7">
        <f>IF(AND(Parameters!$H$5=1,Parameters!$H$26=1),SUMPRODUCT(--($A$45:A65&lt;A65),--(MOD(A65-$A$45:A65,Parameters!$H$28)=0),$F$45:F65,POWER(Parameters!$H$27,IF(A65-$A$45:A65=0,1,A65-$A$45:A65))),0)</f>
        <v>0.0</v>
      </c>
      <c r="I65" s="7">
        <f>Parameters!$H$23*I64+B65*Parameters!$H$22</f>
        <v>0.017924296120427098</v>
      </c>
      <c r="J65" s="7">
        <f>E65*Parameters!$H$14*(1-Parameters!$H$15)</f>
        <v>0.0</v>
      </c>
      <c r="K65" s="7">
        <f>H65*Parameters!$H$29</f>
        <v>0.0</v>
      </c>
      <c r="L65" s="7">
        <f>I65*Parameters!$H$24</f>
        <v>0.053772888361281294</v>
      </c>
      <c r="M65" s="7">
        <f>J65+K65+L65</f>
        <v>0.053772888361281294</v>
      </c>
      <c r="N65" s="7">
        <f>C65*Parameters!$H$17+D65*Parameters!$H$18+E65*Parameters!$H$16+I65*Parameters!$H$25+G65*Parameters!$H$30</f>
        <v>0.009308024511595604</v>
      </c>
      <c r="O65" s="7">
        <f>0</f>
        <v>0</v>
      </c>
      <c r="P65" s="7">
        <f>M65-N65-O65</f>
        <v>0.04446486384968569</v>
      </c>
      <c r="Q65" s="7">
        <f>0</f>
        <v>0</v>
      </c>
      <c r="R65" s="7">
        <f>P65-Q65</f>
        <v>0.04446486384968569</v>
      </c>
      <c r="S65" s="7">
        <f>IF(A65&lt;1+Parameters!$H$31,0,INDEX($M$45:$M$80,A65-Parameters!$H$31))</f>
        <v>0.0566030403802961</v>
      </c>
      <c r="T65" s="7">
        <f>T64+M65-S65</f>
        <v>0.05377288836128135</v>
      </c>
      <c r="U65" s="7">
        <f>S65-N65-O65-Q65</f>
        <v>0.047295015868700496</v>
      </c>
      <c r="V65" s="7">
        <f>V64+U65</f>
        <v>3.076206551723958</v>
      </c>
      <c r="W65" s="7">
        <f>(1-Parameters!$H$7)*(C65-E65)+(1-Parameters!$H$8)*(D65+E65)</f>
        <v>0.00023058430092136962</v>
      </c>
      <c r="X65" s="7">
        <f>Parameters!$H$7*(C65-E65)+Parameters!$H$8*Parameters!$H$9*(D65+E65)</f>
        <v>0.0</v>
      </c>
      <c r="Y65" s="7">
        <f>Parameters!$H$8*(1-Parameters!$H$9)*(D65+E65)</f>
        <v>0.0009223372036854787</v>
      </c>
      <c r="Z65" s="7">
        <f>POWER(1/(1+Parameters!$H$32),A65-1)*(M65-N65)</f>
        <v>0.036440933292310615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0.0009223372036854787</v>
      </c>
      <c r="E66" s="7">
        <f>Parameters!$H$6*C66</f>
        <v>0.0</v>
      </c>
      <c r="F66" s="7">
        <f>IF(Parameters!$H$5=1,E66,0)</f>
        <v>0.0</v>
      </c>
      <c r="G66" s="7">
        <f>Parameters!$H$27*G65+F66</f>
        <v>0.0</v>
      </c>
      <c r="H66" s="7">
        <f>IF(AND(Parameters!$H$5=1,Parameters!$H$26=1),SUMPRODUCT(--($A$45:A66&lt;A66),--(MOD(A66-$A$45:A66,Parameters!$H$28)=0),$F$45:F66,POWER(Parameters!$H$27,IF(A66-$A$45:A66=0,1,A66-$A$45:A66))),0)</f>
        <v>0.0</v>
      </c>
      <c r="I66" s="7">
        <f>Parameters!$H$23*I65+B66*Parameters!$H$22</f>
        <v>0.01702808131440574</v>
      </c>
      <c r="J66" s="7">
        <f>E66*Parameters!$H$14*(1-Parameters!$H$15)</f>
        <v>0.0</v>
      </c>
      <c r="K66" s="7">
        <f>H66*Parameters!$H$29</f>
        <v>0.0</v>
      </c>
      <c r="L66" s="7">
        <f>I66*Parameters!$H$24</f>
        <v>0.05108424394321723</v>
      </c>
      <c r="M66" s="7">
        <f>J66+K66+L66</f>
        <v>0.05108424394321723</v>
      </c>
      <c r="N66" s="7">
        <f>C66*Parameters!$H$17+D66*Parameters!$H$18+E66*Parameters!$H$16+I66*Parameters!$H$25+G66*Parameters!$H$30</f>
        <v>0.008790741818308514</v>
      </c>
      <c r="O66" s="7">
        <f>0</f>
        <v>0</v>
      </c>
      <c r="P66" s="7">
        <f>M66-N66-O66</f>
        <v>0.04229350212490871</v>
      </c>
      <c r="Q66" s="7">
        <f>0</f>
        <v>0</v>
      </c>
      <c r="R66" s="7">
        <f>P66-Q66</f>
        <v>0.04229350212490871</v>
      </c>
      <c r="S66" s="7">
        <f>IF(A66&lt;1+Parameters!$H$31,0,INDEX($M$45:$M$80,A66-Parameters!$H$31))</f>
        <v>0.053772888361281294</v>
      </c>
      <c r="T66" s="7">
        <f>T65+M66-S66</f>
        <v>0.05108424394321728</v>
      </c>
      <c r="U66" s="7">
        <f>S66-N66-O66-Q66</f>
        <v>0.04498214654297278</v>
      </c>
      <c r="V66" s="7">
        <f>V65+U66</f>
        <v>3.121188698266931</v>
      </c>
      <c r="W66" s="7">
        <f>(1-Parameters!$H$7)*(C66-E66)+(1-Parameters!$H$8)*(D66+E66)</f>
        <v>0.0001844674407370957</v>
      </c>
      <c r="X66" s="7">
        <f>Parameters!$H$7*(C66-E66)+Parameters!$H$8*Parameters!$H$9*(D66+E66)</f>
        <v>0.0</v>
      </c>
      <c r="Y66" s="7">
        <f>Parameters!$H$8*(1-Parameters!$H$9)*(D66+E66)</f>
        <v>0.000737869762948383</v>
      </c>
      <c r="Z66" s="7">
        <f>POWER(1/(1+Parameters!$H$32),A66-1)*(M66-N66)</f>
        <v>0.03431822356204712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0.000737869762948383</v>
      </c>
      <c r="E67" s="7">
        <f>Parameters!$H$6*C67</f>
        <v>0.0</v>
      </c>
      <c r="F67" s="7">
        <f>IF(Parameters!$H$5=1,E67,0)</f>
        <v>0.0</v>
      </c>
      <c r="G67" s="7">
        <f>Parameters!$H$27*G66+F67</f>
        <v>0.0</v>
      </c>
      <c r="H67" s="7">
        <f>IF(AND(Parameters!$H$5=1,Parameters!$H$26=1),SUMPRODUCT(--($A$45:A67&lt;A67),--(MOD(A67-$A$45:A67,Parameters!$H$28)=0),$F$45:F67,POWER(Parameters!$H$27,IF(A67-$A$45:A67=0,1,A67-$A$45:A67))),0)</f>
        <v>0.0</v>
      </c>
      <c r="I67" s="7">
        <f>Parameters!$H$23*I66+B67*Parameters!$H$22</f>
        <v>0.016176677248685455</v>
      </c>
      <c r="J67" s="7">
        <f>E67*Parameters!$H$14*(1-Parameters!$H$15)</f>
        <v>0.0</v>
      </c>
      <c r="K67" s="7">
        <f>H67*Parameters!$H$29</f>
        <v>0.0</v>
      </c>
      <c r="L67" s="7">
        <f>I67*Parameters!$H$24</f>
        <v>0.048530031746056364</v>
      </c>
      <c r="M67" s="7">
        <f>J67+K67+L67</f>
        <v>0.048530031746056364</v>
      </c>
      <c r="N67" s="7">
        <f>C67*Parameters!$H$17+D67*Parameters!$H$18+E67*Parameters!$H$16+I67*Parameters!$H$25+G67*Parameters!$H$30</f>
        <v>0.008309699553227242</v>
      </c>
      <c r="O67" s="7">
        <f>0</f>
        <v>0</v>
      </c>
      <c r="P67" s="7">
        <f>M67-N67-O67</f>
        <v>0.040220332192829125</v>
      </c>
      <c r="Q67" s="7">
        <f>0</f>
        <v>0</v>
      </c>
      <c r="R67" s="7">
        <f>P67-Q67</f>
        <v>0.040220332192829125</v>
      </c>
      <c r="S67" s="7">
        <f>IF(A67&lt;1+Parameters!$H$31,0,INDEX($M$45:$M$80,A67-Parameters!$H$31))</f>
        <v>0.05108424394321723</v>
      </c>
      <c r="T67" s="7">
        <f>T66+M67-S67</f>
        <v>0.04853003174605642</v>
      </c>
      <c r="U67" s="7">
        <f>S67-N67-O67-Q67</f>
        <v>0.04277454438998998</v>
      </c>
      <c r="V67" s="7">
        <f>V66+U67</f>
        <v>3.163963242656921</v>
      </c>
      <c r="W67" s="7">
        <f>(1-Parameters!$H$7)*(C67-E67)+(1-Parameters!$H$8)*(D67+E67)</f>
        <v>0.00014757395258967656</v>
      </c>
      <c r="X67" s="7">
        <f>Parameters!$H$7*(C67-E67)+Parameters!$H$8*Parameters!$H$9*(D67+E67)</f>
        <v>0.0</v>
      </c>
      <c r="Y67" s="7">
        <f>Parameters!$H$8*(1-Parameters!$H$9)*(D67+E67)</f>
        <v>0.0005902958103587065</v>
      </c>
      <c r="Z67" s="7">
        <f>POWER(1/(1+Parameters!$H$32),A67-1)*(M67-N67)</f>
        <v>0.032312862311304986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0.0005902958103587065</v>
      </c>
      <c r="E68" s="7">
        <f>Parameters!$H$6*C68</f>
        <v>0.0</v>
      </c>
      <c r="F68" s="7">
        <f>IF(Parameters!$H$5=1,E68,0)</f>
        <v>0.0</v>
      </c>
      <c r="G68" s="7">
        <f>Parameters!$H$27*G67+F68</f>
        <v>0.0</v>
      </c>
      <c r="H68" s="7">
        <f>IF(AND(Parameters!$H$5=1,Parameters!$H$26=1),SUMPRODUCT(--($A$45:A68&lt;A68),--(MOD(A68-$A$45:A68,Parameters!$H$28)=0),$F$45:F68,POWER(Parameters!$H$27,IF(A68-$A$45:A68=0,1,A68-$A$45:A68))),0)</f>
        <v>0.0</v>
      </c>
      <c r="I68" s="7">
        <f>Parameters!$H$23*I67+B68*Parameters!$H$22</f>
        <v>0.015367843386251181</v>
      </c>
      <c r="J68" s="7">
        <f>E68*Parameters!$H$14*(1-Parameters!$H$15)</f>
        <v>0.0</v>
      </c>
      <c r="K68" s="7">
        <f>H68*Parameters!$H$29</f>
        <v>0.0</v>
      </c>
      <c r="L68" s="7">
        <f>I68*Parameters!$H$24</f>
        <v>0.04610353015875354</v>
      </c>
      <c r="M68" s="7">
        <f>J68+K68+L68</f>
        <v>0.04610353015875354</v>
      </c>
      <c r="N68" s="7">
        <f>C68*Parameters!$H$17+D68*Parameters!$H$18+E68*Parameters!$H$16+I68*Parameters!$H$25+G68*Parameters!$H$30</f>
        <v>0.007861010436233202</v>
      </c>
      <c r="O68" s="7">
        <f>0</f>
        <v>0</v>
      </c>
      <c r="P68" s="7">
        <f>M68-N68-O68</f>
        <v>0.03824251972252034</v>
      </c>
      <c r="Q68" s="7">
        <f>0</f>
        <v>0</v>
      </c>
      <c r="R68" s="7">
        <f>P68-Q68</f>
        <v>0.03824251972252034</v>
      </c>
      <c r="S68" s="7">
        <f>IF(A68&lt;1+Parameters!$H$31,0,INDEX($M$45:$M$80,A68-Parameters!$H$31))</f>
        <v>0.048530031746056364</v>
      </c>
      <c r="T68" s="7">
        <f>T67+M68-S68</f>
        <v>0.0461035301587536</v>
      </c>
      <c r="U68" s="7">
        <f>S68-N68-O68-Q68</f>
        <v>0.04066902130982316</v>
      </c>
      <c r="V68" s="7">
        <f>V67+U68</f>
        <v>3.204632263966744</v>
      </c>
      <c r="W68" s="7">
        <f>(1-Parameters!$H$7)*(C68-E68)+(1-Parameters!$H$8)*(D68+E68)</f>
        <v>0.00011805916207174127</v>
      </c>
      <c r="X68" s="7">
        <f>Parameters!$H$7*(C68-E68)+Parameters!$H$8*Parameters!$H$9*(D68+E68)</f>
        <v>0.0</v>
      </c>
      <c r="Y68" s="7">
        <f>Parameters!$H$8*(1-Parameters!$H$9)*(D68+E68)</f>
        <v>0.0004722366482869652</v>
      </c>
      <c r="Z68" s="7">
        <f>POWER(1/(1+Parameters!$H$32),A68-1)*(M68-N68)</f>
        <v>0.030419698292398534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0.0004722366482869652</v>
      </c>
      <c r="E69" s="7">
        <f>Parameters!$H$6*C69</f>
        <v>0.0</v>
      </c>
      <c r="F69" s="7">
        <f>IF(Parameters!$H$5=1,E69,0)</f>
        <v>0.0</v>
      </c>
      <c r="G69" s="7">
        <f>Parameters!$H$27*G68+F69</f>
        <v>0.0</v>
      </c>
      <c r="H69" s="7">
        <f>IF(AND(Parameters!$H$5=1,Parameters!$H$26=1),SUMPRODUCT(--($A$45:A69&lt;A69),--(MOD(A69-$A$45:A69,Parameters!$H$28)=0),$F$45:F69,POWER(Parameters!$H$27,IF(A69-$A$45:A69=0,1,A69-$A$45:A69))),0)</f>
        <v>0.0</v>
      </c>
      <c r="I69" s="7">
        <f>Parameters!$H$23*I68+B69*Parameters!$H$22</f>
        <v>0.014599451216938621</v>
      </c>
      <c r="J69" s="7">
        <f>E69*Parameters!$H$14*(1-Parameters!$H$15)</f>
        <v>0.0</v>
      </c>
      <c r="K69" s="7">
        <f>H69*Parameters!$H$29</f>
        <v>0.0</v>
      </c>
      <c r="L69" s="7">
        <f>I69*Parameters!$H$24</f>
        <v>0.043798353650815865</v>
      </c>
      <c r="M69" s="7">
        <f>J69+K69+L69</f>
        <v>0.043798353650815865</v>
      </c>
      <c r="N69" s="7">
        <f>C69*Parameters!$H$17+D69*Parameters!$H$18+E69*Parameters!$H$16+I69*Parameters!$H$25+G69*Parameters!$H$30</f>
        <v>0.0074413966029554</v>
      </c>
      <c r="O69" s="7">
        <f>0</f>
        <v>0</v>
      </c>
      <c r="P69" s="7">
        <f>M69-N69-O69</f>
        <v>0.03635695704786046</v>
      </c>
      <c r="Q69" s="7">
        <f>0</f>
        <v>0</v>
      </c>
      <c r="R69" s="7">
        <f>P69-Q69</f>
        <v>0.03635695704786046</v>
      </c>
      <c r="S69" s="7">
        <f>IF(A69&lt;1+Parameters!$H$31,0,INDEX($M$45:$M$80,A69-Parameters!$H$31))</f>
        <v>0.04610353015875354</v>
      </c>
      <c r="T69" s="7">
        <f>T68+M69-S69</f>
        <v>0.04379835365081592</v>
      </c>
      <c r="U69" s="7">
        <f>S69-N69-O69-Q69</f>
        <v>0.038662133555798145</v>
      </c>
      <c r="V69" s="7">
        <f>V68+U69</f>
        <v>3.243294397522542</v>
      </c>
      <c r="W69" s="7">
        <f>(1-Parameters!$H$7)*(C69-E69)+(1-Parameters!$H$8)*(D69+E69)</f>
        <v>9.444732965739302e-05</v>
      </c>
      <c r="X69" s="7">
        <f>Parameters!$H$7*(C69-E69)+Parameters!$H$8*Parameters!$H$9*(D69+E69)</f>
        <v>0.0</v>
      </c>
      <c r="Y69" s="7">
        <f>Parameters!$H$8*(1-Parameters!$H$9)*(D69+E69)</f>
        <v>0.0003777893186295722</v>
      </c>
      <c r="Z69" s="7">
        <f>POWER(1/(1+Parameters!$H$32),A69-1)*(M69-N69)</f>
        <v>0.028633507867094034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0.0003777893186295722</v>
      </c>
      <c r="E70" s="7">
        <f>Parameters!$H$6*C70</f>
        <v>0.0</v>
      </c>
      <c r="F70" s="7">
        <f>IF(Parameters!$H$5=1,E70,0)</f>
        <v>0.0</v>
      </c>
      <c r="G70" s="7">
        <f>Parameters!$H$27*G69+F70</f>
        <v>0.0</v>
      </c>
      <c r="H70" s="7">
        <f>IF(AND(Parameters!$H$5=1,Parameters!$H$26=1),SUMPRODUCT(--($A$45:A70&lt;A70),--(MOD(A70-$A$45:A70,Parameters!$H$28)=0),$F$45:F70,POWER(Parameters!$H$27,IF(A70-$A$45:A70=0,1,A70-$A$45:A70))),0)</f>
        <v>0.0</v>
      </c>
      <c r="I70" s="7">
        <f>Parameters!$H$23*I69+B70*Parameters!$H$22</f>
        <v>0.013869478656091689</v>
      </c>
      <c r="J70" s="7">
        <f>E70*Parameters!$H$14*(1-Parameters!$H$15)</f>
        <v>0.0</v>
      </c>
      <c r="K70" s="7">
        <f>H70*Parameters!$H$29</f>
        <v>0.0</v>
      </c>
      <c r="L70" s="7">
        <f>I70*Parameters!$H$24</f>
        <v>0.04160843596827507</v>
      </c>
      <c r="M70" s="7">
        <f>J70+K70+L70</f>
        <v>0.04160843596827507</v>
      </c>
      <c r="N70" s="7">
        <f>C70*Parameters!$H$17+D70*Parameters!$H$18+E70*Parameters!$H$16+I70*Parameters!$H$25+G70*Parameters!$H$30</f>
        <v>0.0070480761236347165</v>
      </c>
      <c r="O70" s="7">
        <f>0</f>
        <v>0</v>
      </c>
      <c r="P70" s="7">
        <f>M70-N70-O70</f>
        <v>0.034560359844640356</v>
      </c>
      <c r="Q70" s="7">
        <f>0</f>
        <v>0</v>
      </c>
      <c r="R70" s="7">
        <f>P70-Q70</f>
        <v>0.034560359844640356</v>
      </c>
      <c r="S70" s="7">
        <f>IF(A70&lt;1+Parameters!$H$31,0,INDEX($M$45:$M$80,A70-Parameters!$H$31))</f>
        <v>0.043798353650815865</v>
      </c>
      <c r="T70" s="7">
        <f>T69+M70-S70</f>
        <v>0.041608435968275126</v>
      </c>
      <c r="U70" s="7">
        <f>S70-N70-O70-Q70</f>
        <v>0.03675027752718115</v>
      </c>
      <c r="V70" s="7">
        <f>V69+U70</f>
        <v>3.2800446750497234</v>
      </c>
      <c r="W70" s="7">
        <f>(1-Parameters!$H$7)*(C70-E70)+(1-Parameters!$H$8)*(D70+E70)</f>
        <v>7.555786372591442e-05</v>
      </c>
      <c r="X70" s="7">
        <f>Parameters!$H$7*(C70-E70)+Parameters!$H$8*Parameters!$H$9*(D70+E70)</f>
        <v>0.0</v>
      </c>
      <c r="Y70" s="7">
        <f>Parameters!$H$8*(1-Parameters!$H$9)*(D70+E70)</f>
        <v>0.00030223145490365774</v>
      </c>
      <c r="Z70" s="7">
        <f>POWER(1/(1+Parameters!$H$32),A70-1)*(M70-N70)</f>
        <v>0.026949077985360087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0.00030223145490365774</v>
      </c>
      <c r="E71" s="7">
        <f>Parameters!$H$6*C71</f>
        <v>0.0</v>
      </c>
      <c r="F71" s="7">
        <f>IF(Parameters!$H$5=1,E71,0)</f>
        <v>0.0</v>
      </c>
      <c r="G71" s="7">
        <f>Parameters!$H$27*G70+F71</f>
        <v>0.0</v>
      </c>
      <c r="H71" s="7">
        <f>IF(AND(Parameters!$H$5=1,Parameters!$H$26=1),SUMPRODUCT(--($A$45:A71&lt;A71),--(MOD(A71-$A$45:A71,Parameters!$H$28)=0),$F$45:F71,POWER(Parameters!$H$27,IF(A71-$A$45:A71=0,1,A71-$A$45:A71))),0)</f>
        <v>0.0</v>
      </c>
      <c r="I71" s="7">
        <f>Parameters!$H$23*I70+B71*Parameters!$H$22</f>
        <v>0.013176004723287104</v>
      </c>
      <c r="J71" s="7">
        <f>E71*Parameters!$H$14*(1-Parameters!$H$15)</f>
        <v>0.0</v>
      </c>
      <c r="K71" s="7">
        <f>H71*Parameters!$H$29</f>
        <v>0.0</v>
      </c>
      <c r="L71" s="7">
        <f>I71*Parameters!$H$24</f>
        <v>0.03952801416986131</v>
      </c>
      <c r="M71" s="7">
        <f>J71+K71+L71</f>
        <v>0.03952801416986131</v>
      </c>
      <c r="N71" s="7">
        <f>C71*Parameters!$H$17+D71*Parameters!$H$18+E71*Parameters!$H$16+I71*Parameters!$H$25+G71*Parameters!$H$30</f>
        <v>0.006678671798114649</v>
      </c>
      <c r="O71" s="7">
        <f>0</f>
        <v>0</v>
      </c>
      <c r="P71" s="7">
        <f>M71-N71-O71</f>
        <v>0.032849342371746665</v>
      </c>
      <c r="Q71" s="7">
        <f>0</f>
        <v>0</v>
      </c>
      <c r="R71" s="7">
        <f>P71-Q71</f>
        <v>0.032849342371746665</v>
      </c>
      <c r="S71" s="7">
        <f>IF(A71&lt;1+Parameters!$H$31,0,INDEX($M$45:$M$80,A71-Parameters!$H$31))</f>
        <v>0.04160843596827507</v>
      </c>
      <c r="T71" s="7">
        <f>T70+M71-S71</f>
        <v>0.03952801416986137</v>
      </c>
      <c r="U71" s="7">
        <f>S71-N71-O71-Q71</f>
        <v>0.03492976417016042</v>
      </c>
      <c r="V71" s="7">
        <f>V70+U71</f>
        <v>3.314974439219884</v>
      </c>
      <c r="W71" s="7">
        <f>(1-Parameters!$H$7)*(C71-E71)+(1-Parameters!$H$8)*(D71+E71)</f>
        <v>6.044629098073153e-05</v>
      </c>
      <c r="X71" s="7">
        <f>Parameters!$H$7*(C71-E71)+Parameters!$H$8*Parameters!$H$9*(D71+E71)</f>
        <v>0.0</v>
      </c>
      <c r="Y71" s="7">
        <f>Parameters!$H$8*(1-Parameters!$H$9)*(D71+E71)</f>
        <v>0.0002417851639229262</v>
      </c>
      <c r="Z71" s="7">
        <f>POWER(1/(1+Parameters!$H$32),A71-1)*(M71-N71)</f>
        <v>0.025361267875828333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0.0002417851639229262</v>
      </c>
      <c r="E72" s="7">
        <f>Parameters!$H$6*C72</f>
        <v>0.0</v>
      </c>
      <c r="F72" s="7">
        <f>IF(Parameters!$H$5=1,E72,0)</f>
        <v>0.0</v>
      </c>
      <c r="G72" s="7">
        <f>Parameters!$H$27*G71+F72</f>
        <v>0.0</v>
      </c>
      <c r="H72" s="7">
        <f>IF(AND(Parameters!$H$5=1,Parameters!$H$26=1),SUMPRODUCT(--($A$45:A72&lt;A72),--(MOD(A72-$A$45:A72,Parameters!$H$28)=0),$F$45:F72,POWER(Parameters!$H$27,IF(A72-$A$45:A72=0,1,A72-$A$45:A72))),0)</f>
        <v>0.0</v>
      </c>
      <c r="I72" s="7">
        <f>Parameters!$H$23*I71+B72*Parameters!$H$22</f>
        <v>0.012517204487122747</v>
      </c>
      <c r="J72" s="7">
        <f>E72*Parameters!$H$14*(1-Parameters!$H$15)</f>
        <v>0.0</v>
      </c>
      <c r="K72" s="7">
        <f>H72*Parameters!$H$29</f>
        <v>0.0</v>
      </c>
      <c r="L72" s="7">
        <f>I72*Parameters!$H$24</f>
        <v>0.03755161346136824</v>
      </c>
      <c r="M72" s="7">
        <f>J72+K72+L72</f>
        <v>0.03755161346136824</v>
      </c>
      <c r="N72" s="7">
        <f>C72*Parameters!$H$17+D72*Parameters!$H$18+E72*Parameters!$H$16+I72*Parameters!$H$25+G72*Parameters!$H$30</f>
        <v>0.0063311377927382515</v>
      </c>
      <c r="O72" s="7">
        <f>0</f>
        <v>0</v>
      </c>
      <c r="P72" s="7">
        <f>M72-N72-O72</f>
        <v>0.03122047566862999</v>
      </c>
      <c r="Q72" s="7">
        <f>0</f>
        <v>0</v>
      </c>
      <c r="R72" s="7">
        <f>P72-Q72</f>
        <v>0.03122047566862999</v>
      </c>
      <c r="S72" s="7">
        <f>IF(A72&lt;1+Parameters!$H$31,0,INDEX($M$45:$M$80,A72-Parameters!$H$31))</f>
        <v>0.03952801416986131</v>
      </c>
      <c r="T72" s="7">
        <f>T71+M72-S72</f>
        <v>0.037551613461368295</v>
      </c>
      <c r="U72" s="7">
        <f>S72-N72-O72-Q72</f>
        <v>0.03319687637712306</v>
      </c>
      <c r="V72" s="7">
        <f>V71+U72</f>
        <v>3.348171315597007</v>
      </c>
      <c r="W72" s="7">
        <f>(1-Parameters!$H$7)*(C72-E72)+(1-Parameters!$H$8)*(D72+E72)</f>
        <v>4.835703278458523e-05</v>
      </c>
      <c r="X72" s="7">
        <f>Parameters!$H$7*(C72-E72)+Parameters!$H$8*Parameters!$H$9*(D72+E72)</f>
        <v>0.0</v>
      </c>
      <c r="Y72" s="7">
        <f>Parameters!$H$8*(1-Parameters!$H$9)*(D72+E72)</f>
        <v>0.00019342813113834098</v>
      </c>
      <c r="Z72" s="7">
        <f>POWER(1/(1+Parameters!$H$32),A72-1)*(M72-N72)</f>
        <v>0.023865054113962267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0.00019342813113834098</v>
      </c>
      <c r="E73" s="7">
        <f>Parameters!$H$6*C73</f>
        <v>0.0</v>
      </c>
      <c r="F73" s="7">
        <f>IF(Parameters!$H$5=1,E73,0)</f>
        <v>0.0</v>
      </c>
      <c r="G73" s="7">
        <f>Parameters!$H$27*G72+F73</f>
        <v>0.0</v>
      </c>
      <c r="H73" s="7">
        <f>IF(AND(Parameters!$H$5=1,Parameters!$H$26=1),SUMPRODUCT(--($A$45:A73&lt;A73),--(MOD(A73-$A$45:A73,Parameters!$H$28)=0),$F$45:F73,POWER(Parameters!$H$27,IF(A73-$A$45:A73=0,1,A73-$A$45:A73))),0)</f>
        <v>0.0</v>
      </c>
      <c r="I73" s="7">
        <f>Parameters!$H$23*I72+B73*Parameters!$H$22</f>
        <v>0.011891344262766609</v>
      </c>
      <c r="J73" s="7">
        <f>E73*Parameters!$H$14*(1-Parameters!$H$15)</f>
        <v>0.0</v>
      </c>
      <c r="K73" s="7">
        <f>H73*Parameters!$H$29</f>
        <v>0.0</v>
      </c>
      <c r="L73" s="7">
        <f>I73*Parameters!$H$24</f>
        <v>0.03567403278829982</v>
      </c>
      <c r="M73" s="7">
        <f>J73+K73+L73</f>
        <v>0.03567403278829982</v>
      </c>
      <c r="N73" s="7">
        <f>C73*Parameters!$H$17+D73*Parameters!$H$18+E73*Parameters!$H$16+I73*Parameters!$H$25+G73*Parameters!$H$30</f>
        <v>0.006003700570724807</v>
      </c>
      <c r="O73" s="7">
        <f>0</f>
        <v>0</v>
      </c>
      <c r="P73" s="7">
        <f>M73-N73-O73</f>
        <v>0.029670332217575014</v>
      </c>
      <c r="Q73" s="7">
        <f>0</f>
        <v>0</v>
      </c>
      <c r="R73" s="7">
        <f>P73-Q73</f>
        <v>0.029670332217575014</v>
      </c>
      <c r="S73" s="7">
        <f>IF(A73&lt;1+Parameters!$H$31,0,INDEX($M$45:$M$80,A73-Parameters!$H$31))</f>
        <v>0.03755161346136824</v>
      </c>
      <c r="T73" s="7">
        <f>T72+M73-S73</f>
        <v>0.03567403278829988</v>
      </c>
      <c r="U73" s="7">
        <f>S73-N73-O73-Q73</f>
        <v>0.03154791289064343</v>
      </c>
      <c r="V73" s="7">
        <f>V72+U73</f>
        <v>3.3797192284876503</v>
      </c>
      <c r="W73" s="7">
        <f>(1-Parameters!$H$7)*(C73-E73)+(1-Parameters!$H$8)*(D73+E73)</f>
        <v>3.868562622766819e-05</v>
      </c>
      <c r="X73" s="7">
        <f>Parameters!$H$7*(C73-E73)+Parameters!$H$8*Parameters!$H$9*(D73+E73)</f>
        <v>0.0</v>
      </c>
      <c r="Y73" s="7">
        <f>Parameters!$H$8*(1-Parameters!$H$9)*(D73+E73)</f>
        <v>0.0001547425049106728</v>
      </c>
      <c r="Z73" s="7">
        <f>POWER(1/(1+Parameters!$H$32),A73-1)*(M73-N73)</f>
        <v>0.022455562749533156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0.0001547425049106728</v>
      </c>
      <c r="E74" s="7">
        <f>Parameters!$H$6*C74</f>
        <v>0.0</v>
      </c>
      <c r="F74" s="7">
        <f>IF(Parameters!$H$5=1,E74,0)</f>
        <v>0.0</v>
      </c>
      <c r="G74" s="7">
        <f>Parameters!$H$27*G73+F74</f>
        <v>0.0</v>
      </c>
      <c r="H74" s="7">
        <f>IF(AND(Parameters!$H$5=1,Parameters!$H$26=1),SUMPRODUCT(--($A$45:A74&lt;A74),--(MOD(A74-$A$45:A74,Parameters!$H$28)=0),$F$45:F74,POWER(Parameters!$H$27,IF(A74-$A$45:A74=0,1,A74-$A$45:A74))),0)</f>
        <v>0.0</v>
      </c>
      <c r="I74" s="7">
        <f>Parameters!$H$23*I73+B74*Parameters!$H$22</f>
        <v>0.011296777049628278</v>
      </c>
      <c r="J74" s="7">
        <f>E74*Parameters!$H$14*(1-Parameters!$H$15)</f>
        <v>0.0</v>
      </c>
      <c r="K74" s="7">
        <f>H74*Parameters!$H$29</f>
        <v>0.0</v>
      </c>
      <c r="L74" s="7">
        <f>I74*Parameters!$H$24</f>
        <v>0.03389033114888483</v>
      </c>
      <c r="M74" s="7">
        <f>J74+K74+L74</f>
        <v>0.03389033114888483</v>
      </c>
      <c r="N74" s="7">
        <f>C74*Parameters!$H$17+D74*Parameters!$H$18+E74*Parameters!$H$16+I74*Parameters!$H$25+G74*Parameters!$H$30</f>
        <v>0.005694811276287341</v>
      </c>
      <c r="O74" s="7">
        <f>0</f>
        <v>0</v>
      </c>
      <c r="P74" s="7">
        <f>M74-N74-O74</f>
        <v>0.02819551987259749</v>
      </c>
      <c r="Q74" s="7">
        <f>0</f>
        <v>0</v>
      </c>
      <c r="R74" s="7">
        <f>P74-Q74</f>
        <v>0.02819551987259749</v>
      </c>
      <c r="S74" s="7">
        <f>IF(A74&lt;1+Parameters!$H$31,0,INDEX($M$45:$M$80,A74-Parameters!$H$31))</f>
        <v>0.03567403278829982</v>
      </c>
      <c r="T74" s="7">
        <f>T73+M74-S74</f>
        <v>0.033890331148884886</v>
      </c>
      <c r="U74" s="7">
        <f>S74-N74-O74-Q74</f>
        <v>0.02997922151201248</v>
      </c>
      <c r="V74" s="7">
        <f>V73+U74</f>
        <v>3.4096984499996625</v>
      </c>
      <c r="W74" s="7">
        <f>(1-Parameters!$H$7)*(C74-E74)+(1-Parameters!$H$8)*(D74+E74)</f>
        <v>3.094850098213455e-05</v>
      </c>
      <c r="X74" s="7">
        <f>Parameters!$H$7*(C74-E74)+Parameters!$H$8*Parameters!$H$9*(D74+E74)</f>
        <v>0.0</v>
      </c>
      <c r="Y74" s="7">
        <f>Parameters!$H$8*(1-Parameters!$H$9)*(D74+E74)</f>
        <v>0.00012379400392853823</v>
      </c>
      <c r="Z74" s="7">
        <f>POWER(1/(1+Parameters!$H$32),A74-1)*(M74-N74)</f>
        <v>0.021128091396126394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0.00012379400392853823</v>
      </c>
      <c r="E75" s="7">
        <f>Parameters!$H$6*C75</f>
        <v>0.0</v>
      </c>
      <c r="F75" s="7">
        <f>IF(Parameters!$H$5=1,E75,0)</f>
        <v>0.0</v>
      </c>
      <c r="G75" s="7">
        <f>Parameters!$H$27*G74+F75</f>
        <v>0.0</v>
      </c>
      <c r="H75" s="7">
        <f>IF(AND(Parameters!$H$5=1,Parameters!$H$26=1),SUMPRODUCT(--($A$45:A75&lt;A75),--(MOD(A75-$A$45:A75,Parameters!$H$28)=0),$F$45:F75,POWER(Parameters!$H$27,IF(A75-$A$45:A75=0,1,A75-$A$45:A75))),0)</f>
        <v>0.0</v>
      </c>
      <c r="I75" s="7">
        <f>Parameters!$H$23*I74+B75*Parameters!$H$22</f>
        <v>0.010731938197146863</v>
      </c>
      <c r="J75" s="7">
        <f>E75*Parameters!$H$14*(1-Parameters!$H$15)</f>
        <v>0.0</v>
      </c>
      <c r="K75" s="7">
        <f>H75*Parameters!$H$29</f>
        <v>0.0</v>
      </c>
      <c r="L75" s="7">
        <f>I75*Parameters!$H$24</f>
        <v>0.03219581459144059</v>
      </c>
      <c r="M75" s="7">
        <f>J75+K75+L75</f>
        <v>0.03219581459144059</v>
      </c>
      <c r="N75" s="7">
        <f>C75*Parameters!$H$17+D75*Parameters!$H$18+E75*Parameters!$H$16+I75*Parameters!$H$25+G75*Parameters!$H$30</f>
        <v>0.005403107299751993</v>
      </c>
      <c r="O75" s="7">
        <f>0</f>
        <v>0</v>
      </c>
      <c r="P75" s="7">
        <f>M75-N75-O75</f>
        <v>0.026792707291688596</v>
      </c>
      <c r="Q75" s="7">
        <f>0</f>
        <v>0</v>
      </c>
      <c r="R75" s="7">
        <f>P75-Q75</f>
        <v>0.026792707291688596</v>
      </c>
      <c r="S75" s="7">
        <f>IF(A75&lt;1+Parameters!$H$31,0,INDEX($M$45:$M$80,A75-Parameters!$H$31))</f>
        <v>0.03389033114888483</v>
      </c>
      <c r="T75" s="7">
        <f>T74+M75-S75</f>
        <v>0.03219581459144064</v>
      </c>
      <c r="U75" s="7">
        <f>S75-N75-O75-Q75</f>
        <v>0.02848722384913284</v>
      </c>
      <c r="V75" s="7">
        <f>V74+U75</f>
        <v>3.4381856738487953</v>
      </c>
      <c r="W75" s="7">
        <f>(1-Parameters!$H$7)*(C75-E75)+(1-Parameters!$H$8)*(D75+E75)</f>
        <v>2.475880078570764e-05</v>
      </c>
      <c r="X75" s="7">
        <f>Parameters!$H$7*(C75-E75)+Parameters!$H$8*Parameters!$H$9*(D75+E75)</f>
        <v>0.0</v>
      </c>
      <c r="Y75" s="7">
        <f>Parameters!$H$8*(1-Parameters!$H$9)*(D75+E75)</f>
        <v>9.903520314283059e-05</v>
      </c>
      <c r="Z75" s="7">
        <f>POWER(1/(1+Parameters!$H$32),A75-1)*(M75-N75)</f>
        <v>0.01987812356926596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9.903520314283059e-05</v>
      </c>
      <c r="E76" s="7">
        <f>Parameters!$H$6*C76</f>
        <v>0.0</v>
      </c>
      <c r="F76" s="7">
        <f>IF(Parameters!$H$5=1,E76,0)</f>
        <v>0.0</v>
      </c>
      <c r="G76" s="7">
        <f>Parameters!$H$27*G75+F76</f>
        <v>0.0</v>
      </c>
      <c r="H76" s="7">
        <f>IF(AND(Parameters!$H$5=1,Parameters!$H$26=1),SUMPRODUCT(--($A$45:A76&lt;A76),--(MOD(A76-$A$45:A76,Parameters!$H$28)=0),$F$45:F76,POWER(Parameters!$H$27,IF(A76-$A$45:A76=0,1,A76-$A$45:A76))),0)</f>
        <v>0.0</v>
      </c>
      <c r="I76" s="7">
        <f>Parameters!$H$23*I75+B76*Parameters!$H$22</f>
        <v>0.010195341287289519</v>
      </c>
      <c r="J76" s="7">
        <f>E76*Parameters!$H$14*(1-Parameters!$H$15)</f>
        <v>0.0</v>
      </c>
      <c r="K76" s="7">
        <f>H76*Parameters!$H$29</f>
        <v>0.0</v>
      </c>
      <c r="L76" s="7">
        <f>I76*Parameters!$H$24</f>
        <v>0.030586023861868556</v>
      </c>
      <c r="M76" s="7">
        <f>J76+K76+L76</f>
        <v>0.030586023861868556</v>
      </c>
      <c r="N76" s="7">
        <f>C76*Parameters!$H$17+D76*Parameters!$H$18+E76*Parameters!$H$16+I76*Parameters!$H$25+G76*Parameters!$H$30</f>
        <v>0.0051273812045876084</v>
      </c>
      <c r="O76" s="7">
        <f>0</f>
        <v>0</v>
      </c>
      <c r="P76" s="7">
        <f>M76-N76-O76</f>
        <v>0.02545864265728095</v>
      </c>
      <c r="Q76" s="7">
        <f>0</f>
        <v>0</v>
      </c>
      <c r="R76" s="7">
        <f>P76-Q76</f>
        <v>0.02545864265728095</v>
      </c>
      <c r="S76" s="7">
        <f>IF(A76&lt;1+Parameters!$H$31,0,INDEX($M$45:$M$80,A76-Parameters!$H$31))</f>
        <v>0.03219581459144059</v>
      </c>
      <c r="T76" s="7">
        <f>T75+M76-S76</f>
        <v>0.03058602386186861</v>
      </c>
      <c r="U76" s="7">
        <f>S76-N76-O76-Q76</f>
        <v>0.02706843338685298</v>
      </c>
      <c r="V76" s="7">
        <f>V75+U76</f>
        <v>3.465254107235648</v>
      </c>
      <c r="W76" s="7">
        <f>(1-Parameters!$H$7)*(C76-E76)+(1-Parameters!$H$8)*(D76+E76)</f>
        <v>1.9807040628566113e-05</v>
      </c>
      <c r="X76" s="7">
        <f>Parameters!$H$7*(C76-E76)+Parameters!$H$8*Parameters!$H$9*(D76+E76)</f>
        <v>0.0</v>
      </c>
      <c r="Y76" s="7">
        <f>Parameters!$H$8*(1-Parameters!$H$9)*(D76+E76)</f>
        <v>7.922816251426448e-05</v>
      </c>
      <c r="Z76" s="7">
        <f>POWER(1/(1+Parameters!$H$32),A76-1)*(M76-N76)</f>
        <v>0.018701337072464973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7.922816251426448e-05</v>
      </c>
      <c r="E77" s="7">
        <f>Parameters!$H$6*C77</f>
        <v>0.0</v>
      </c>
      <c r="F77" s="7">
        <f>IF(Parameters!$H$5=1,E77,0)</f>
        <v>0.0</v>
      </c>
      <c r="G77" s="7">
        <f>Parameters!$H$27*G76+F77</f>
        <v>0.0</v>
      </c>
      <c r="H77" s="7">
        <f>IF(AND(Parameters!$H$5=1,Parameters!$H$26=1),SUMPRODUCT(--($A$45:A77&lt;A77),--(MOD(A77-$A$45:A77,Parameters!$H$28)=0),$F$45:F77,POWER(Parameters!$H$27,IF(A77-$A$45:A77=0,1,A77-$A$45:A77))),0)</f>
        <v>0.0</v>
      </c>
      <c r="I77" s="7">
        <f>Parameters!$H$23*I76+B77*Parameters!$H$22</f>
        <v>0.009685574222925042</v>
      </c>
      <c r="J77" s="7">
        <f>E77*Parameters!$H$14*(1-Parameters!$H$15)</f>
        <v>0.0</v>
      </c>
      <c r="K77" s="7">
        <f>H77*Parameters!$H$29</f>
        <v>0.0</v>
      </c>
      <c r="L77" s="7">
        <f>I77*Parameters!$H$24</f>
        <v>0.029056722668775126</v>
      </c>
      <c r="M77" s="7">
        <f>J77+K77+L77</f>
        <v>0.029056722668775126</v>
      </c>
      <c r="N77" s="7">
        <f>C77*Parameters!$H$17+D77*Parameters!$H$18+E77*Parameters!$H$16+I77*Parameters!$H$25+G77*Parameters!$H$30</f>
        <v>0.0048665555602168</v>
      </c>
      <c r="O77" s="7">
        <f>0</f>
        <v>0</v>
      </c>
      <c r="P77" s="7">
        <f>M77-N77-O77</f>
        <v>0.024190167108558328</v>
      </c>
      <c r="Q77" s="7">
        <f>0</f>
        <v>0</v>
      </c>
      <c r="R77" s="7">
        <f>P77-Q77</f>
        <v>0.024190167108558328</v>
      </c>
      <c r="S77" s="7">
        <f>IF(A77&lt;1+Parameters!$H$31,0,INDEX($M$45:$M$80,A77-Parameters!$H$31))</f>
        <v>0.030586023861868556</v>
      </c>
      <c r="T77" s="7">
        <f>T76+M77-S77</f>
        <v>0.02905672266877518</v>
      </c>
      <c r="U77" s="7">
        <f>S77-N77-O77-Q77</f>
        <v>0.025719468301651754</v>
      </c>
      <c r="V77" s="7">
        <f>V76+U77</f>
        <v>3.4909735755373</v>
      </c>
      <c r="W77" s="7">
        <f>(1-Parameters!$H$7)*(C77-E77)+(1-Parameters!$H$8)*(D77+E77)</f>
        <v>1.5845632502852893e-05</v>
      </c>
      <c r="X77" s="7">
        <f>Parameters!$H$7*(C77-E77)+Parameters!$H$8*Parameters!$H$9*(D77+E77)</f>
        <v>0.0</v>
      </c>
      <c r="Y77" s="7">
        <f>Parameters!$H$8*(1-Parameters!$H$9)*(D77+E77)</f>
        <v>6.338253001141159e-05</v>
      </c>
      <c r="Z77" s="7">
        <f>POWER(1/(1+Parameters!$H$32),A77-1)*(M77-N77)</f>
        <v>0.017593607845250183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6.338253001141159e-05</v>
      </c>
      <c r="E78" s="7">
        <f>Parameters!$H$6*C78</f>
        <v>0.0</v>
      </c>
      <c r="F78" s="7">
        <f>IF(Parameters!$H$5=1,E78,0)</f>
        <v>0.0</v>
      </c>
      <c r="G78" s="7">
        <f>Parameters!$H$27*G77+F78</f>
        <v>0.0</v>
      </c>
      <c r="H78" s="7">
        <f>IF(AND(Parameters!$H$5=1,Parameters!$H$26=1),SUMPRODUCT(--($A$45:A78&lt;A78),--(MOD(A78-$A$45:A78,Parameters!$H$28)=0),$F$45:F78,POWER(Parameters!$H$27,IF(A78-$A$45:A78=0,1,A78-$A$45:A78))),0)</f>
        <v>0.0</v>
      </c>
      <c r="I78" s="7">
        <f>Parameters!$H$23*I77+B78*Parameters!$H$22</f>
        <v>0.00920129551177879</v>
      </c>
      <c r="J78" s="7">
        <f>E78*Parameters!$H$14*(1-Parameters!$H$15)</f>
        <v>0.0</v>
      </c>
      <c r="K78" s="7">
        <f>H78*Parameters!$H$29</f>
        <v>0.0</v>
      </c>
      <c r="L78" s="7">
        <f>I78*Parameters!$H$24</f>
        <v>0.027603886535336367</v>
      </c>
      <c r="M78" s="7">
        <f>J78+K78+L78</f>
        <v>0.027603886535336367</v>
      </c>
      <c r="N78" s="7">
        <f>C78*Parameters!$H$17+D78*Parameters!$H$18+E78*Parameters!$H$16+I78*Parameters!$H$25+G78*Parameters!$H$30</f>
        <v>0.0046196625148928186</v>
      </c>
      <c r="O78" s="7">
        <f>0</f>
        <v>0</v>
      </c>
      <c r="P78" s="7">
        <f>M78-N78-O78</f>
        <v>0.022984224020443547</v>
      </c>
      <c r="Q78" s="7">
        <f>0</f>
        <v>0</v>
      </c>
      <c r="R78" s="7">
        <f>P78-Q78</f>
        <v>0.022984224020443547</v>
      </c>
      <c r="S78" s="7">
        <f>IF(A78&lt;1+Parameters!$H$31,0,INDEX($M$45:$M$80,A78-Parameters!$H$31))</f>
        <v>0.029056722668775126</v>
      </c>
      <c r="T78" s="7">
        <f>T77+M78-S78</f>
        <v>0.027603886535336422</v>
      </c>
      <c r="U78" s="7">
        <f>S78-N78-O78-Q78</f>
        <v>0.024437060153882306</v>
      </c>
      <c r="V78" s="7">
        <f>V77+U78</f>
        <v>3.515410635691182</v>
      </c>
      <c r="W78" s="7">
        <f>(1-Parameters!$H$7)*(C78-E78)+(1-Parameters!$H$8)*(D78+E78)</f>
        <v>1.2676506002282314e-05</v>
      </c>
      <c r="X78" s="7">
        <f>Parameters!$H$7*(C78-E78)+Parameters!$H$8*Parameters!$H$9*(D78+E78)</f>
        <v>0.0</v>
      </c>
      <c r="Y78" s="7">
        <f>Parameters!$H$8*(1-Parameters!$H$9)*(D78+E78)</f>
        <v>5.070602400912927e-05</v>
      </c>
      <c r="Z78" s="7">
        <f>POWER(1/(1+Parameters!$H$32),A78-1)*(M78-N78)</f>
        <v>0.016551010382713772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5.070602400912927e-05</v>
      </c>
      <c r="E79" s="7">
        <f>Parameters!$H$6*C79</f>
        <v>0.0</v>
      </c>
      <c r="F79" s="7">
        <f>IF(Parameters!$H$5=1,E79,0)</f>
        <v>0.0</v>
      </c>
      <c r="G79" s="7">
        <f>Parameters!$H$27*G78+F79</f>
        <v>0.0</v>
      </c>
      <c r="H79" s="7">
        <f>IF(AND(Parameters!$H$5=1,Parameters!$H$26=1),SUMPRODUCT(--($A$45:A79&lt;A79),--(MOD(A79-$A$45:A79,Parameters!$H$28)=0),$F$45:F79,POWER(Parameters!$H$27,IF(A79-$A$45:A79=0,1,A79-$A$45:A79))),0)</f>
        <v>0.0</v>
      </c>
      <c r="I79" s="7">
        <f>Parameters!$H$23*I78+B79*Parameters!$H$22</f>
        <v>0.00874123073618985</v>
      </c>
      <c r="J79" s="7">
        <f>E79*Parameters!$H$14*(1-Parameters!$H$15)</f>
        <v>0.0</v>
      </c>
      <c r="K79" s="7">
        <f>H79*Parameters!$H$29</f>
        <v>0.0</v>
      </c>
      <c r="L79" s="7">
        <f>I79*Parameters!$H$24</f>
        <v>0.02622369220856955</v>
      </c>
      <c r="M79" s="7">
        <f>J79+K79+L79</f>
        <v>0.02622369220856955</v>
      </c>
      <c r="N79" s="7">
        <f>C79*Parameters!$H$17+D79*Parameters!$H$18+E79*Parameters!$H$16+I79*Parameters!$H$25+G79*Parameters!$H$30</f>
        <v>0.004385827175297664</v>
      </c>
      <c r="O79" s="7">
        <f>0</f>
        <v>0</v>
      </c>
      <c r="P79" s="7">
        <f>M79-N79-O79</f>
        <v>0.021837865033271887</v>
      </c>
      <c r="Q79" s="7">
        <f>0</f>
        <v>0</v>
      </c>
      <c r="R79" s="7">
        <f>P79-Q79</f>
        <v>0.021837865033271887</v>
      </c>
      <c r="S79" s="7">
        <f>IF(A79&lt;1+Parameters!$H$31,0,INDEX($M$45:$M$80,A79-Parameters!$H$31))</f>
        <v>0.027603886535336367</v>
      </c>
      <c r="T79" s="7">
        <f>T78+M79-S79</f>
        <v>0.026223692208569606</v>
      </c>
      <c r="U79" s="7">
        <f>S79-N79-O79-Q79</f>
        <v>0.023218059360038703</v>
      </c>
      <c r="V79" s="7">
        <f>V78+U79</f>
        <v>3.5386286950512207</v>
      </c>
      <c r="W79" s="7">
        <f>(1-Parameters!$H$7)*(C79-E79)+(1-Parameters!$H$8)*(D79+E79)</f>
        <v>1.0141204801825852e-05</v>
      </c>
      <c r="X79" s="7">
        <f>Parameters!$H$7*(C79-E79)+Parameters!$H$8*Parameters!$H$9*(D79+E79)</f>
        <v>0.0</v>
      </c>
      <c r="Y79" s="7">
        <f>Parameters!$H$8*(1-Parameters!$H$9)*(D79+E79)</f>
        <v>4.056481920730342e-05</v>
      </c>
      <c r="Z79" s="7">
        <f>POWER(1/(1+Parameters!$H$32),A79-1)*(M79-N79)</f>
        <v>0.015569815595585191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4.056481920730342e-05</v>
      </c>
      <c r="E80" s="7">
        <f>Parameters!$H$6*C80</f>
        <v>0.0</v>
      </c>
      <c r="F80" s="7">
        <f>IF(Parameters!$H$5=1,E80,0)</f>
        <v>0.0</v>
      </c>
      <c r="G80" s="7">
        <f>Parameters!$H$27*G79+F80</f>
        <v>0.0</v>
      </c>
      <c r="H80" s="7">
        <f>IF(AND(Parameters!$H$5=1,Parameters!$H$26=1),SUMPRODUCT(--($A$45:A80&lt;A80),--(MOD(A80-$A$45:A80,Parameters!$H$28)=0),$F$45:F80,POWER(Parameters!$H$27,IF(A80-$A$45:A80=0,1,A80-$A$45:A80))),0)</f>
        <v>0.0</v>
      </c>
      <c r="I80" s="7">
        <f>Parameters!$H$23*I79+B80*Parameters!$H$22</f>
        <v>0.008304169199380356</v>
      </c>
      <c r="J80" s="7">
        <f>E80*Parameters!$H$14*(1-Parameters!$H$15)</f>
        <v>0.0</v>
      </c>
      <c r="K80" s="7">
        <f>H80*Parameters!$H$29</f>
        <v>0.0</v>
      </c>
      <c r="L80" s="7">
        <f>I80*Parameters!$H$24</f>
        <v>0.02491250759814107</v>
      </c>
      <c r="M80" s="7">
        <f>J80+K80+L80</f>
        <v>0.02491250759814107</v>
      </c>
      <c r="N80" s="7">
        <f>C80*Parameters!$H$17+D80*Parameters!$H$18+E80*Parameters!$H$16+I80*Parameters!$H$25+G80*Parameters!$H$30</f>
        <v>0.004164254045452369</v>
      </c>
      <c r="O80" s="7">
        <f>0</f>
        <v>0</v>
      </c>
      <c r="P80" s="7">
        <f>M80-N80-O80</f>
        <v>0.020748253552688698</v>
      </c>
      <c r="Q80" s="7">
        <f>0</f>
        <v>0</v>
      </c>
      <c r="R80" s="7">
        <f>P80-Q80</f>
        <v>0.020748253552688698</v>
      </c>
      <c r="S80" s="7">
        <f>IF(A80&lt;1+Parameters!$H$31,0,INDEX($M$45:$M$80,A80-Parameters!$H$31))</f>
        <v>0.02622369220856955</v>
      </c>
      <c r="T80" s="7">
        <f>T79+M80-S80</f>
        <v>0.024912507598141124</v>
      </c>
      <c r="U80" s="7">
        <f>S80-N80-O80-Q80</f>
        <v>0.02205943816311718</v>
      </c>
      <c r="V80" s="7">
        <f>V79+U80</f>
        <v>3.560688133214338</v>
      </c>
      <c r="W80" s="7">
        <f>(1-Parameters!$H$7)*(C80-E80)+(1-Parameters!$H$8)*(D80+E80)</f>
        <v>8.112963841460682e-06</v>
      </c>
      <c r="X80" s="7">
        <f>Parameters!$H$7*(C80-E80)+Parameters!$H$8*Parameters!$H$9*(D80+E80)</f>
        <v>0.0</v>
      </c>
      <c r="Y80" s="7">
        <f>Parameters!$H$8*(1-Parameters!$H$9)*(D80+E80)</f>
        <v>3.2451855365842736e-05</v>
      </c>
      <c r="Z80" s="7">
        <f>POWER(1/(1+Parameters!$H$32),A80-1)*(M80-N80)</f>
        <v>0.014646486789858207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95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179</v>
      </c>
      <c r="V4" s="4" t="s">
        <v>180</v>
      </c>
      <c r="W4" s="4" t="s">
        <v>181</v>
      </c>
      <c r="X4" s="4" t="s">
        <v>182</v>
      </c>
      <c r="Y4" s="4" t="s">
        <v>183</v>
      </c>
      <c r="Z4" s="4" t="s">
        <v>184</v>
      </c>
    </row>
    <row r="5" spans="1:26">
      <c r="A5" s="7">
        <v>1</v>
      </c>
      <c r="B5" s="7">
        <f>Parameters!$I$20</f>
        <v>1000</v>
      </c>
      <c r="C5" s="7">
        <f>B5</f>
        <v>1000</v>
      </c>
      <c r="D5" s="7">
        <f>0</f>
        <v>0.0</v>
      </c>
      <c r="E5" s="7">
        <f>Parameters!$I$6*C5</f>
        <v>100.0</v>
      </c>
      <c r="F5" s="7">
        <f>IF(Parameters!$I$5=1,E5,0)</f>
        <v>100.0</v>
      </c>
      <c r="G5" s="7">
        <f>F5</f>
        <v>100.0</v>
      </c>
      <c r="H5" s="7">
        <f>IF(AND(Parameters!$I$5=1,Parameters!$I$26=1),SUMPRODUCT(--($A$5:A5&lt;A5),--(MOD(A5-$A$5:A5,Parameters!$I$28)=0),$F$5:F5,POWER(Parameters!$I$27,IF(A5-$A$5:A5=0,1,A5-$A$5:A5))),0)</f>
        <v>0</v>
      </c>
      <c r="I5" s="7">
        <f>B5*Parameters!$I$22</f>
        <v>0.0</v>
      </c>
      <c r="J5" s="7">
        <f>E5*Parameters!$I$14*(1-Parameters!$I$15)</f>
        <v>3000.0</v>
      </c>
      <c r="K5" s="7">
        <f>H5*Parameters!$I$29</f>
        <v>0</v>
      </c>
      <c r="L5" s="7">
        <f>I5*Parameters!$I$24</f>
        <v>0.0</v>
      </c>
      <c r="M5" s="7">
        <f>J5+K5+L5</f>
        <v>3000.0</v>
      </c>
      <c r="N5" s="7">
        <f>C5*Parameters!$I$17+D5*Parameters!$I$18+E5*Parameters!$I$16+I5*Parameters!$I$25+G5*Parameters!$I$30</f>
        <v>310.0</v>
      </c>
      <c r="O5" s="7">
        <f>B5*Parameters!$I$19</f>
        <v>4000</v>
      </c>
      <c r="P5" s="7">
        <f>M5-N5-O5</f>
        <v>-1310.0</v>
      </c>
      <c r="Q5" s="7">
        <f>Parameters!$I$21</f>
        <v>1000</v>
      </c>
      <c r="R5" s="7">
        <f>P5-Q5</f>
        <v>-2310.0</v>
      </c>
      <c r="S5" s="7">
        <f>IF(A5&lt;1+Parameters!$I$31,0,INDEX($M$5:$M$40,A5-Parameters!$I$31))</f>
        <v>0.0</v>
      </c>
      <c r="T5" s="7">
        <f>M5-S5</f>
        <v>3000.0</v>
      </c>
      <c r="U5" s="7">
        <f>S5-N5-O5-Q5</f>
        <v>-5310.0</v>
      </c>
      <c r="V5" s="7">
        <f>U5</f>
        <v>-5310.0</v>
      </c>
      <c r="W5" s="7">
        <f>(1-Parameters!$I$7)*(C5-E5)+(1-Parameters!$I$8)*(D5+E5)</f>
        <v>1000.0</v>
      </c>
      <c r="X5" s="7">
        <f>Parameters!$I$7*(C5-E5)+Parameters!$I$8*Parameters!$I$9*(D5+E5)</f>
        <v>0.0</v>
      </c>
      <c r="Y5" s="7">
        <f>Parameters!$I$8*(1-Parameters!$I$9)*(D5+E5)</f>
        <v>0.0</v>
      </c>
      <c r="Z5" s="7">
        <f>POWER(1/(1+Parameters!$I$32),A5-1)*(M5-N5)</f>
        <v>2690.0</v>
      </c>
    </row>
    <row r="6" spans="1:26">
      <c r="A6" s="7">
        <v>2</v>
      </c>
      <c r="B6" s="7">
        <f>Parameters!$I$20</f>
        <v>1000</v>
      </c>
      <c r="C6" s="7">
        <f>X5+B6</f>
        <v>1000.0</v>
      </c>
      <c r="D6" s="7">
        <f>Y5</f>
        <v>0.0</v>
      </c>
      <c r="E6" s="7">
        <f>Parameters!$I$6*C6</f>
        <v>100.0</v>
      </c>
      <c r="F6" s="7">
        <f>IF(Parameters!$I$5=1,E6,0)</f>
        <v>100.0</v>
      </c>
      <c r="G6" s="7">
        <f>Parameters!$I$27*G5+F6</f>
        <v>198.0</v>
      </c>
      <c r="H6" s="7">
        <f>IF(AND(Parameters!$I$5=1,Parameters!$I$26=1),SUMPRODUCT(--($A$5:A6&lt;A6),--(MOD(A6-$A$5:A6,Parameters!$I$28)=0),$F$5:F6,POWER(Parameters!$I$27,IF(A6-$A$5:A6=0,1,A6-$A$5:A6))),0)</f>
        <v>0</v>
      </c>
      <c r="I6" s="7">
        <f>Parameters!$I$23*I5+B6*Parameters!$I$22</f>
        <v>0.0</v>
      </c>
      <c r="J6" s="7">
        <f>E6*Parameters!$I$14*(1-Parameters!$I$15)</f>
        <v>3000.0</v>
      </c>
      <c r="K6" s="7">
        <f>H6*Parameters!$I$29</f>
        <v>0</v>
      </c>
      <c r="L6" s="7">
        <f>I6*Parameters!$I$24</f>
        <v>0.0</v>
      </c>
      <c r="M6" s="7">
        <f>J6+K6+L6</f>
        <v>3000.0</v>
      </c>
      <c r="N6" s="7">
        <f>C6*Parameters!$I$17+D6*Parameters!$I$18+E6*Parameters!$I$16+I6*Parameters!$I$25+G6*Parameters!$I$30</f>
        <v>319.8</v>
      </c>
      <c r="O6" s="7">
        <f>B6*Parameters!$I$19</f>
        <v>4000</v>
      </c>
      <c r="P6" s="7">
        <f>M6-N6-O6</f>
        <v>-1319.8000000000002</v>
      </c>
      <c r="Q6" s="7">
        <f>Parameters!$I$21</f>
        <v>1000</v>
      </c>
      <c r="R6" s="7">
        <f>P6-Q6</f>
        <v>-2319.8</v>
      </c>
      <c r="S6" s="7">
        <f>IF(A6&lt;1+Parameters!$I$31,0,INDEX($M$5:$M$40,A6-Parameters!$I$31))</f>
        <v>3000.0</v>
      </c>
      <c r="T6" s="7">
        <f>T5+M6-S6</f>
        <v>3000.0</v>
      </c>
      <c r="U6" s="7">
        <f>S6-N6-O6-Q6</f>
        <v>-2319.8</v>
      </c>
      <c r="V6" s="7">
        <f>V5+U6</f>
        <v>-7629.8</v>
      </c>
      <c r="W6" s="7">
        <f>(1-Parameters!$I$7)*(C6-E6)+(1-Parameters!$I$8)*(D6+E6)</f>
        <v>1000.0</v>
      </c>
      <c r="X6" s="7">
        <f>Parameters!$I$7*(C6-E6)+Parameters!$I$8*Parameters!$I$9*(D6+E6)</f>
        <v>0.0</v>
      </c>
      <c r="Y6" s="7">
        <f>Parameters!$I$8*(1-Parameters!$I$9)*(D6+E6)</f>
        <v>0.0</v>
      </c>
      <c r="Z6" s="7">
        <f>POWER(1/(1+Parameters!$I$32),A6-1)*(M6-N6)</f>
        <v>2653.6633663366333</v>
      </c>
    </row>
    <row r="7" spans="1:26">
      <c r="A7" s="7">
        <v>3</v>
      </c>
      <c r="B7" s="7">
        <f>Parameters!$I$20</f>
        <v>1000</v>
      </c>
      <c r="C7" s="7">
        <f>X6+B7</f>
        <v>1000.0</v>
      </c>
      <c r="D7" s="7">
        <f>Y6</f>
        <v>0.0</v>
      </c>
      <c r="E7" s="7">
        <f>Parameters!$I$6*C7</f>
        <v>100.0</v>
      </c>
      <c r="F7" s="7">
        <f>IF(Parameters!$I$5=1,E7,0)</f>
        <v>100.0</v>
      </c>
      <c r="G7" s="7">
        <f>Parameters!$I$27*G6+F7</f>
        <v>294.03999999999996</v>
      </c>
      <c r="H7" s="7">
        <f>IF(AND(Parameters!$I$5=1,Parameters!$I$26=1),SUMPRODUCT(--($A$5:A7&lt;A7),--(MOD(A7-$A$5:A7,Parameters!$I$28)=0),$F$5:F7,POWER(Parameters!$I$27,IF(A7-$A$5:A7=0,1,A7-$A$5:A7))),0)</f>
        <v>0</v>
      </c>
      <c r="I7" s="7">
        <f>Parameters!$I$23*I6+B7*Parameters!$I$22</f>
        <v>0.0</v>
      </c>
      <c r="J7" s="7">
        <f>E7*Parameters!$I$14*(1-Parameters!$I$15)</f>
        <v>3000.0</v>
      </c>
      <c r="K7" s="7">
        <f>H7*Parameters!$I$29</f>
        <v>0</v>
      </c>
      <c r="L7" s="7">
        <f>I7*Parameters!$I$24</f>
        <v>0.0</v>
      </c>
      <c r="M7" s="7">
        <f>J7+K7+L7</f>
        <v>3000.0</v>
      </c>
      <c r="N7" s="7">
        <f>C7*Parameters!$I$17+D7*Parameters!$I$18+E7*Parameters!$I$16+I7*Parameters!$I$25+G7*Parameters!$I$30</f>
        <v>329.404</v>
      </c>
      <c r="O7" s="7">
        <f>B7*Parameters!$I$19</f>
        <v>4000</v>
      </c>
      <c r="P7" s="7">
        <f>M7-N7-O7</f>
        <v>-1329.404</v>
      </c>
      <c r="Q7" s="7">
        <f>Parameters!$I$21</f>
        <v>1000</v>
      </c>
      <c r="R7" s="7">
        <f>P7-Q7</f>
        <v>-2329.404</v>
      </c>
      <c r="S7" s="7">
        <f>IF(A7&lt;1+Parameters!$I$31,0,INDEX($M$5:$M$40,A7-Parameters!$I$31))</f>
        <v>3000.0</v>
      </c>
      <c r="T7" s="7">
        <f>T6+M7-S7</f>
        <v>3000.0</v>
      </c>
      <c r="U7" s="7">
        <f>S7-N7-O7-Q7</f>
        <v>-2329.404</v>
      </c>
      <c r="V7" s="7">
        <f>V6+U7</f>
        <v>-9959.204</v>
      </c>
      <c r="W7" s="7">
        <f>(1-Parameters!$I$7)*(C7-E7)+(1-Parameters!$I$8)*(D7+E7)</f>
        <v>1000.0</v>
      </c>
      <c r="X7" s="7">
        <f>Parameters!$I$7*(C7-E7)+Parameters!$I$8*Parameters!$I$9*(D7+E7)</f>
        <v>0.0</v>
      </c>
      <c r="Y7" s="7">
        <f>Parameters!$I$8*(1-Parameters!$I$9)*(D7+E7)</f>
        <v>0.0</v>
      </c>
      <c r="Z7" s="7">
        <f>POWER(1/(1+Parameters!$I$32),A7-1)*(M7-N7)</f>
        <v>2617.974708361925</v>
      </c>
    </row>
    <row r="8" spans="1:26">
      <c r="A8" s="7">
        <v>4</v>
      </c>
      <c r="B8" s="7">
        <f>Parameters!$I$20</f>
        <v>1000</v>
      </c>
      <c r="C8" s="7">
        <f>X7+B8</f>
        <v>1000.0</v>
      </c>
      <c r="D8" s="7">
        <f>Y7</f>
        <v>0.0</v>
      </c>
      <c r="E8" s="7">
        <f>Parameters!$I$6*C8</f>
        <v>100.0</v>
      </c>
      <c r="F8" s="7">
        <f>IF(Parameters!$I$5=1,E8,0)</f>
        <v>100.0</v>
      </c>
      <c r="G8" s="7">
        <f>Parameters!$I$27*G7+F8</f>
        <v>388.15919999999994</v>
      </c>
      <c r="H8" s="7">
        <f>IF(AND(Parameters!$I$5=1,Parameters!$I$26=1),SUMPRODUCT(--($A$5:A8&lt;A8),--(MOD(A8-$A$5:A8,Parameters!$I$28)=0),$F$5:F8,POWER(Parameters!$I$27,IF(A8-$A$5:A8=0,1,A8-$A$5:A8))),0)</f>
        <v>0</v>
      </c>
      <c r="I8" s="7">
        <f>Parameters!$I$23*I7+B8*Parameters!$I$22</f>
        <v>0.0</v>
      </c>
      <c r="J8" s="7">
        <f>E8*Parameters!$I$14*(1-Parameters!$I$15)</f>
        <v>3000.0</v>
      </c>
      <c r="K8" s="7">
        <f>H8*Parameters!$I$29</f>
        <v>0</v>
      </c>
      <c r="L8" s="7">
        <f>I8*Parameters!$I$24</f>
        <v>0.0</v>
      </c>
      <c r="M8" s="7">
        <f>J8+K8+L8</f>
        <v>3000.0</v>
      </c>
      <c r="N8" s="7">
        <f>C8*Parameters!$I$17+D8*Parameters!$I$18+E8*Parameters!$I$16+I8*Parameters!$I$25+G8*Parameters!$I$30</f>
        <v>338.81592</v>
      </c>
      <c r="O8" s="7">
        <f>B8*Parameters!$I$19</f>
        <v>4000</v>
      </c>
      <c r="P8" s="7">
        <f>M8-N8-O8</f>
        <v>-1338.81592</v>
      </c>
      <c r="Q8" s="7">
        <f>Parameters!$I$21</f>
        <v>1000</v>
      </c>
      <c r="R8" s="7">
        <f>P8-Q8</f>
        <v>-2338.81592</v>
      </c>
      <c r="S8" s="7">
        <f>IF(A8&lt;1+Parameters!$I$31,0,INDEX($M$5:$M$40,A8-Parameters!$I$31))</f>
        <v>3000.0</v>
      </c>
      <c r="T8" s="7">
        <f>T7+M8-S8</f>
        <v>3000.0</v>
      </c>
      <c r="U8" s="7">
        <f>S8-N8-O8-Q8</f>
        <v>-2338.81592</v>
      </c>
      <c r="V8" s="7">
        <f>V7+U8</f>
        <v>-12298.019919999999</v>
      </c>
      <c r="W8" s="7">
        <f>(1-Parameters!$I$7)*(C8-E8)+(1-Parameters!$I$8)*(D8+E8)</f>
        <v>1000.0</v>
      </c>
      <c r="X8" s="7">
        <f>Parameters!$I$7*(C8-E8)+Parameters!$I$8*Parameters!$I$9*(D8+E8)</f>
        <v>0.0</v>
      </c>
      <c r="Y8" s="7">
        <f>Parameters!$I$8*(1-Parameters!$I$9)*(D8+E8)</f>
        <v>0.0</v>
      </c>
      <c r="Z8" s="7">
        <f>POWER(1/(1+Parameters!$I$32),A8-1)*(M8-N8)</f>
        <v>2582.919049869892</v>
      </c>
    </row>
    <row r="9" spans="1:26">
      <c r="A9" s="7">
        <v>5</v>
      </c>
      <c r="B9" s="7">
        <f>Parameters!$I$20</f>
        <v>1000</v>
      </c>
      <c r="C9" s="7">
        <f>X8+B9</f>
        <v>1000.0</v>
      </c>
      <c r="D9" s="7">
        <f>Y8</f>
        <v>0.0</v>
      </c>
      <c r="E9" s="7">
        <f>Parameters!$I$6*C9</f>
        <v>100.0</v>
      </c>
      <c r="F9" s="7">
        <f>IF(Parameters!$I$5=1,E9,0)</f>
        <v>100.0</v>
      </c>
      <c r="G9" s="7">
        <f>Parameters!$I$27*G8+F9</f>
        <v>480.3960159999999</v>
      </c>
      <c r="H9" s="7">
        <f>IF(AND(Parameters!$I$5=1,Parameters!$I$26=1),SUMPRODUCT(--($A$5:A9&lt;A9),--(MOD(A9-$A$5:A9,Parameters!$I$28)=0),$F$5:F9,POWER(Parameters!$I$27,IF(A9-$A$5:A9=0,1,A9-$A$5:A9))),0)</f>
        <v>0</v>
      </c>
      <c r="I9" s="7">
        <f>Parameters!$I$23*I8+B9*Parameters!$I$22</f>
        <v>0.0</v>
      </c>
      <c r="J9" s="7">
        <f>E9*Parameters!$I$14*(1-Parameters!$I$15)</f>
        <v>3000.0</v>
      </c>
      <c r="K9" s="7">
        <f>H9*Parameters!$I$29</f>
        <v>0</v>
      </c>
      <c r="L9" s="7">
        <f>I9*Parameters!$I$24</f>
        <v>0.0</v>
      </c>
      <c r="M9" s="7">
        <f>J9+K9+L9</f>
        <v>3000.0</v>
      </c>
      <c r="N9" s="7">
        <f>C9*Parameters!$I$17+D9*Parameters!$I$18+E9*Parameters!$I$16+I9*Parameters!$I$25+G9*Parameters!$I$30</f>
        <v>348.03960159999997</v>
      </c>
      <c r="O9" s="7">
        <f>B9*Parameters!$I$19</f>
        <v>4000</v>
      </c>
      <c r="P9" s="7">
        <f>M9-N9-O9</f>
        <v>-1348.0396016</v>
      </c>
      <c r="Q9" s="7">
        <f>Parameters!$I$21</f>
        <v>1000</v>
      </c>
      <c r="R9" s="7">
        <f>P9-Q9</f>
        <v>-2348.0396016</v>
      </c>
      <c r="S9" s="7">
        <f>IF(A9&lt;1+Parameters!$I$31,0,INDEX($M$5:$M$40,A9-Parameters!$I$31))</f>
        <v>3000.0</v>
      </c>
      <c r="T9" s="7">
        <f>T8+M9-S9</f>
        <v>3000.0</v>
      </c>
      <c r="U9" s="7">
        <f>S9-N9-O9-Q9</f>
        <v>-2348.0396016</v>
      </c>
      <c r="V9" s="7">
        <f>V8+U9</f>
        <v>-14646.059521599998</v>
      </c>
      <c r="W9" s="7">
        <f>(1-Parameters!$I$7)*(C9-E9)+(1-Parameters!$I$8)*(D9+E9)</f>
        <v>1000.0</v>
      </c>
      <c r="X9" s="7">
        <f>Parameters!$I$7*(C9-E9)+Parameters!$I$8*Parameters!$I$9*(D9+E9)</f>
        <v>0.0</v>
      </c>
      <c r="Y9" s="7">
        <f>Parameters!$I$8*(1-Parameters!$I$9)*(D9+E9)</f>
        <v>0.0</v>
      </c>
      <c r="Z9" s="7">
        <f>POWER(1/(1+Parameters!$I$32),A9-1)*(M9-N9)</f>
        <v>2548.4818172092187</v>
      </c>
    </row>
    <row r="10" spans="1:26">
      <c r="A10" s="7">
        <v>6</v>
      </c>
      <c r="B10" s="7">
        <f>Parameters!$I$20</f>
        <v>1000</v>
      </c>
      <c r="C10" s="7">
        <f>X9+B10</f>
        <v>1000.0</v>
      </c>
      <c r="D10" s="7">
        <f>Y9</f>
        <v>0.0</v>
      </c>
      <c r="E10" s="7">
        <f>Parameters!$I$6*C10</f>
        <v>100.0</v>
      </c>
      <c r="F10" s="7">
        <f>IF(Parameters!$I$5=1,E10,0)</f>
        <v>100.0</v>
      </c>
      <c r="G10" s="7">
        <f>Parameters!$I$27*G9+F10</f>
        <v>570.78809568</v>
      </c>
      <c r="H10" s="7">
        <f>IF(AND(Parameters!$I$5=1,Parameters!$I$26=1),SUMPRODUCT(--($A$5:A10&lt;A10),--(MOD(A10-$A$5:A10,Parameters!$I$28)=0),$F$5:F10,POWER(Parameters!$I$27,IF(A10-$A$5:A10=0,1,A10-$A$5:A10))),0)</f>
        <v>0</v>
      </c>
      <c r="I10" s="7">
        <f>Parameters!$I$23*I9+B10*Parameters!$I$22</f>
        <v>0.0</v>
      </c>
      <c r="J10" s="7">
        <f>E10*Parameters!$I$14*(1-Parameters!$I$15)</f>
        <v>3000.0</v>
      </c>
      <c r="K10" s="7">
        <f>H10*Parameters!$I$29</f>
        <v>0</v>
      </c>
      <c r="L10" s="7">
        <f>I10*Parameters!$I$24</f>
        <v>0.0</v>
      </c>
      <c r="M10" s="7">
        <f>J10+K10+L10</f>
        <v>3000.0</v>
      </c>
      <c r="N10" s="7">
        <f>C10*Parameters!$I$17+D10*Parameters!$I$18+E10*Parameters!$I$16+I10*Parameters!$I$25+G10*Parameters!$I$30</f>
        <v>357.078809568</v>
      </c>
      <c r="O10" s="7">
        <f>B10*Parameters!$I$19</f>
        <v>4000</v>
      </c>
      <c r="P10" s="7">
        <f>M10-N10-O10</f>
        <v>-1357.078809568</v>
      </c>
      <c r="Q10" s="7">
        <f>Parameters!$I$21</f>
        <v>1000</v>
      </c>
      <c r="R10" s="7">
        <f>P10-Q10</f>
        <v>-2357.078809568</v>
      </c>
      <c r="S10" s="7">
        <f>IF(A10&lt;1+Parameters!$I$31,0,INDEX($M$5:$M$40,A10-Parameters!$I$31))</f>
        <v>3000.0</v>
      </c>
      <c r="T10" s="7">
        <f>T9+M10-S10</f>
        <v>3000.0</v>
      </c>
      <c r="U10" s="7">
        <f>S10-N10-O10-Q10</f>
        <v>-2357.078809568</v>
      </c>
      <c r="V10" s="7">
        <f>V9+U10</f>
        <v>-17003.138331167997</v>
      </c>
      <c r="W10" s="7">
        <f>(1-Parameters!$I$7)*(C10-E10)+(1-Parameters!$I$8)*(D10+E10)</f>
        <v>1000.0</v>
      </c>
      <c r="X10" s="7">
        <f>Parameters!$I$7*(C10-E10)+Parameters!$I$8*Parameters!$I$9*(D10+E10)</f>
        <v>0.0</v>
      </c>
      <c r="Y10" s="7">
        <f>Parameters!$I$8*(1-Parameters!$I$9)*(D10+E10)</f>
        <v>0.0</v>
      </c>
      <c r="Z10" s="7">
        <f>POWER(1/(1+Parameters!$I$32),A10-1)*(M10-N10)</f>
        <v>2514.6488277448298</v>
      </c>
    </row>
    <row r="11" spans="1:26">
      <c r="A11" s="7">
        <v>7</v>
      </c>
      <c r="B11" s="7">
        <f>Parameters!$I$20</f>
        <v>1000</v>
      </c>
      <c r="C11" s="7">
        <f>X10+B11</f>
        <v>1000.0</v>
      </c>
      <c r="D11" s="7">
        <f>Y10</f>
        <v>0.0</v>
      </c>
      <c r="E11" s="7">
        <f>Parameters!$I$6*C11</f>
        <v>100.0</v>
      </c>
      <c r="F11" s="7">
        <f>IF(Parameters!$I$5=1,E11,0)</f>
        <v>100.0</v>
      </c>
      <c r="G11" s="7">
        <f>Parameters!$I$27*G10+F11</f>
        <v>659.3723337664</v>
      </c>
      <c r="H11" s="7">
        <f>IF(AND(Parameters!$I$5=1,Parameters!$I$26=1),SUMPRODUCT(--($A$5:A11&lt;A11),--(MOD(A11-$A$5:A11,Parameters!$I$28)=0),$F$5:F11,POWER(Parameters!$I$27,IF(A11-$A$5:A11=0,1,A11-$A$5:A11))),0)</f>
        <v>0</v>
      </c>
      <c r="I11" s="7">
        <f>Parameters!$I$23*I10+B11*Parameters!$I$22</f>
        <v>0.0</v>
      </c>
      <c r="J11" s="7">
        <f>E11*Parameters!$I$14*(1-Parameters!$I$15)</f>
        <v>3000.0</v>
      </c>
      <c r="K11" s="7">
        <f>H11*Parameters!$I$29</f>
        <v>0</v>
      </c>
      <c r="L11" s="7">
        <f>I11*Parameters!$I$24</f>
        <v>0.0</v>
      </c>
      <c r="M11" s="7">
        <f>J11+K11+L11</f>
        <v>3000.0</v>
      </c>
      <c r="N11" s="7">
        <f>C11*Parameters!$I$17+D11*Parameters!$I$18+E11*Parameters!$I$16+I11*Parameters!$I$25+G11*Parameters!$I$30</f>
        <v>365.93723337664</v>
      </c>
      <c r="O11" s="7">
        <f>B11*Parameters!$I$19</f>
        <v>4000</v>
      </c>
      <c r="P11" s="7">
        <f>M11-N11-O11</f>
        <v>-1365.93723337664</v>
      </c>
      <c r="Q11" s="7">
        <f>Parameters!$I$21</f>
        <v>1000</v>
      </c>
      <c r="R11" s="7">
        <f>P11-Q11</f>
        <v>-2365.93723337664</v>
      </c>
      <c r="S11" s="7">
        <f>IF(A11&lt;1+Parameters!$I$31,0,INDEX($M$5:$M$40,A11-Parameters!$I$31))</f>
        <v>3000.0</v>
      </c>
      <c r="T11" s="7">
        <f>T10+M11-S11</f>
        <v>3000.0</v>
      </c>
      <c r="U11" s="7">
        <f>S11-N11-O11-Q11</f>
        <v>-2365.93723337664</v>
      </c>
      <c r="V11" s="7">
        <f>V10+U11</f>
        <v>-19369.075564544637</v>
      </c>
      <c r="W11" s="7">
        <f>(1-Parameters!$I$7)*(C11-E11)+(1-Parameters!$I$8)*(D11+E11)</f>
        <v>1000.0</v>
      </c>
      <c r="X11" s="7">
        <f>Parameters!$I$7*(C11-E11)+Parameters!$I$8*Parameters!$I$9*(D11+E11)</f>
        <v>0.0</v>
      </c>
      <c r="Y11" s="7">
        <f>Parameters!$I$8*(1-Parameters!$I$9)*(D11+E11)</f>
        <v>0.0</v>
      </c>
      <c r="Z11" s="7">
        <f>POWER(1/(1+Parameters!$I$32),A11-1)*(M11-N11)</f>
        <v>2481.40627865805</v>
      </c>
    </row>
    <row r="12" spans="1:26">
      <c r="A12" s="7">
        <v>8</v>
      </c>
      <c r="B12" s="7">
        <f>Parameters!$I$20</f>
        <v>1000</v>
      </c>
      <c r="C12" s="7">
        <f>X11+B12</f>
        <v>1000.0</v>
      </c>
      <c r="D12" s="7">
        <f>Y11</f>
        <v>0.0</v>
      </c>
      <c r="E12" s="7">
        <f>Parameters!$I$6*C12</f>
        <v>100.0</v>
      </c>
      <c r="F12" s="7">
        <f>IF(Parameters!$I$5=1,E12,0)</f>
        <v>100.0</v>
      </c>
      <c r="G12" s="7">
        <f>Parameters!$I$27*G11+F12</f>
        <v>746.1848870910719</v>
      </c>
      <c r="H12" s="7">
        <f>IF(AND(Parameters!$I$5=1,Parameters!$I$26=1),SUMPRODUCT(--($A$5:A12&lt;A12),--(MOD(A12-$A$5:A12,Parameters!$I$28)=0),$F$5:F12,POWER(Parameters!$I$27,IF(A12-$A$5:A12=0,1,A12-$A$5:A12))),0)</f>
        <v>0</v>
      </c>
      <c r="I12" s="7">
        <f>Parameters!$I$23*I11+B12*Parameters!$I$22</f>
        <v>0.0</v>
      </c>
      <c r="J12" s="7">
        <f>E12*Parameters!$I$14*(1-Parameters!$I$15)</f>
        <v>3000.0</v>
      </c>
      <c r="K12" s="7">
        <f>H12*Parameters!$I$29</f>
        <v>0</v>
      </c>
      <c r="L12" s="7">
        <f>I12*Parameters!$I$24</f>
        <v>0.0</v>
      </c>
      <c r="M12" s="7">
        <f>J12+K12+L12</f>
        <v>3000.0</v>
      </c>
      <c r="N12" s="7">
        <f>C12*Parameters!$I$17+D12*Parameters!$I$18+E12*Parameters!$I$16+I12*Parameters!$I$25+G12*Parameters!$I$30</f>
        <v>374.61848870910717</v>
      </c>
      <c r="O12" s="7">
        <f>B12*Parameters!$I$19</f>
        <v>4000</v>
      </c>
      <c r="P12" s="7">
        <f>M12-N12-O12</f>
        <v>-1374.6184887091072</v>
      </c>
      <c r="Q12" s="7">
        <f>Parameters!$I$21</f>
        <v>1000</v>
      </c>
      <c r="R12" s="7">
        <f>P12-Q12</f>
        <v>-2374.618488709107</v>
      </c>
      <c r="S12" s="7">
        <f>IF(A12&lt;1+Parameters!$I$31,0,INDEX($M$5:$M$40,A12-Parameters!$I$31))</f>
        <v>3000.0</v>
      </c>
      <c r="T12" s="7">
        <f>T11+M12-S12</f>
        <v>3000.0</v>
      </c>
      <c r="U12" s="7">
        <f>S12-N12-O12-Q12</f>
        <v>-2374.618488709107</v>
      </c>
      <c r="V12" s="7">
        <f>V11+U12</f>
        <v>-21743.694053253745</v>
      </c>
      <c r="W12" s="7">
        <f>(1-Parameters!$I$7)*(C12-E12)+(1-Parameters!$I$8)*(D12+E12)</f>
        <v>1000.0</v>
      </c>
      <c r="X12" s="7">
        <f>Parameters!$I$7*(C12-E12)+Parameters!$I$8*Parameters!$I$9*(D12+E12)</f>
        <v>0.0</v>
      </c>
      <c r="Y12" s="7">
        <f>Parameters!$I$8*(1-Parameters!$I$9)*(D12+E12)</f>
        <v>0.0</v>
      </c>
      <c r="Z12" s="7">
        <f>POWER(1/(1+Parameters!$I$32),A12-1)*(M12-N12)</f>
        <v>2448.7407360753205</v>
      </c>
    </row>
    <row r="13" spans="1:26">
      <c r="A13" s="7">
        <v>9</v>
      </c>
      <c r="B13" s="7">
        <f>Parameters!$I$20</f>
        <v>1000</v>
      </c>
      <c r="C13" s="7">
        <f>X12+B13</f>
        <v>1000.0</v>
      </c>
      <c r="D13" s="7">
        <f>Y12</f>
        <v>0.0</v>
      </c>
      <c r="E13" s="7">
        <f>Parameters!$I$6*C13</f>
        <v>100.0</v>
      </c>
      <c r="F13" s="7">
        <f>IF(Parameters!$I$5=1,E13,0)</f>
        <v>100.0</v>
      </c>
      <c r="G13" s="7">
        <f>Parameters!$I$27*G12+F13</f>
        <v>831.2611893492505</v>
      </c>
      <c r="H13" s="7">
        <f>IF(AND(Parameters!$I$5=1,Parameters!$I$26=1),SUMPRODUCT(--($A$5:A13&lt;A13),--(MOD(A13-$A$5:A13,Parameters!$I$28)=0),$F$5:F13,POWER(Parameters!$I$27,IF(A13-$A$5:A13=0,1,A13-$A$5:A13))),0)</f>
        <v>0</v>
      </c>
      <c r="I13" s="7">
        <f>Parameters!$I$23*I12+B13*Parameters!$I$22</f>
        <v>0.0</v>
      </c>
      <c r="J13" s="7">
        <f>E13*Parameters!$I$14*(1-Parameters!$I$15)</f>
        <v>3000.0</v>
      </c>
      <c r="K13" s="7">
        <f>H13*Parameters!$I$29</f>
        <v>0</v>
      </c>
      <c r="L13" s="7">
        <f>I13*Parameters!$I$24</f>
        <v>0.0</v>
      </c>
      <c r="M13" s="7">
        <f>J13+K13+L13</f>
        <v>3000.0</v>
      </c>
      <c r="N13" s="7">
        <f>C13*Parameters!$I$17+D13*Parameters!$I$18+E13*Parameters!$I$16+I13*Parameters!$I$25+G13*Parameters!$I$30</f>
        <v>383.12611893492505</v>
      </c>
      <c r="O13" s="7">
        <f>B13*Parameters!$I$19</f>
        <v>4000</v>
      </c>
      <c r="P13" s="7">
        <f>M13-N13-O13</f>
        <v>-1383.1261189349252</v>
      </c>
      <c r="Q13" s="7">
        <f>Parameters!$I$21</f>
        <v>1000</v>
      </c>
      <c r="R13" s="7">
        <f>P13-Q13</f>
        <v>-2383.126118934925</v>
      </c>
      <c r="S13" s="7">
        <f>IF(A13&lt;1+Parameters!$I$31,0,INDEX($M$5:$M$40,A13-Parameters!$I$31))</f>
        <v>3000.0</v>
      </c>
      <c r="T13" s="7">
        <f>T12+M13-S13</f>
        <v>3000.0</v>
      </c>
      <c r="U13" s="7">
        <f>S13-N13-O13-Q13</f>
        <v>-2383.126118934925</v>
      </c>
      <c r="V13" s="7">
        <f>V12+U13</f>
        <v>-24126.82017218867</v>
      </c>
      <c r="W13" s="7">
        <f>(1-Parameters!$I$7)*(C13-E13)+(1-Parameters!$I$8)*(D13+E13)</f>
        <v>1000.0</v>
      </c>
      <c r="X13" s="7">
        <f>Parameters!$I$7*(C13-E13)+Parameters!$I$8*Parameters!$I$9*(D13+E13)</f>
        <v>0.0</v>
      </c>
      <c r="Y13" s="7">
        <f>Parameters!$I$8*(1-Parameters!$I$9)*(D13+E13)</f>
        <v>0.0</v>
      </c>
      <c r="Z13" s="7">
        <f>POWER(1/(1+Parameters!$I$32),A13-1)*(M13-N13)</f>
        <v>2416.63912451577</v>
      </c>
    </row>
    <row r="14" spans="1:26">
      <c r="A14" s="7">
        <v>10</v>
      </c>
      <c r="B14" s="7">
        <f>Parameters!$I$20</f>
        <v>1000</v>
      </c>
      <c r="C14" s="7">
        <f>X13+B14</f>
        <v>1000.0</v>
      </c>
      <c r="D14" s="7">
        <f>Y13</f>
        <v>0.0</v>
      </c>
      <c r="E14" s="7">
        <f>Parameters!$I$6*C14</f>
        <v>100.0</v>
      </c>
      <c r="F14" s="7">
        <f>IF(Parameters!$I$5=1,E14,0)</f>
        <v>100.0</v>
      </c>
      <c r="G14" s="7">
        <f>Parameters!$I$27*G13+F14</f>
        <v>914.6359655622655</v>
      </c>
      <c r="H14" s="7">
        <f>IF(AND(Parameters!$I$5=1,Parameters!$I$26=1),SUMPRODUCT(--($A$5:A14&lt;A14),--(MOD(A14-$A$5:A14,Parameters!$I$28)=0),$F$5:F14,POWER(Parameters!$I$27,IF(A14-$A$5:A14=0,1,A14-$A$5:A14))),0)</f>
        <v>0</v>
      </c>
      <c r="I14" s="7">
        <f>Parameters!$I$23*I13+B14*Parameters!$I$22</f>
        <v>0.0</v>
      </c>
      <c r="J14" s="7">
        <f>E14*Parameters!$I$14*(1-Parameters!$I$15)</f>
        <v>3000.0</v>
      </c>
      <c r="K14" s="7">
        <f>H14*Parameters!$I$29</f>
        <v>0</v>
      </c>
      <c r="L14" s="7">
        <f>I14*Parameters!$I$24</f>
        <v>0.0</v>
      </c>
      <c r="M14" s="7">
        <f>J14+K14+L14</f>
        <v>3000.0</v>
      </c>
      <c r="N14" s="7">
        <f>C14*Parameters!$I$17+D14*Parameters!$I$18+E14*Parameters!$I$16+I14*Parameters!$I$25+G14*Parameters!$I$30</f>
        <v>391.46359655622655</v>
      </c>
      <c r="O14" s="7">
        <f>B14*Parameters!$I$19</f>
        <v>4000</v>
      </c>
      <c r="P14" s="7">
        <f>M14-N14-O14</f>
        <v>-1391.4635965562265</v>
      </c>
      <c r="Q14" s="7">
        <f>Parameters!$I$21</f>
        <v>1000</v>
      </c>
      <c r="R14" s="7">
        <f>P14-Q14</f>
        <v>-2391.4635965562265</v>
      </c>
      <c r="S14" s="7">
        <f>IF(A14&lt;1+Parameters!$I$31,0,INDEX($M$5:$M$40,A14-Parameters!$I$31))</f>
        <v>3000.0</v>
      </c>
      <c r="T14" s="7">
        <f>T13+M14-S14</f>
        <v>3000.0</v>
      </c>
      <c r="U14" s="7">
        <f>S14-N14-O14-Q14</f>
        <v>-2391.4635965562265</v>
      </c>
      <c r="V14" s="7">
        <f>V13+U14</f>
        <v>-26518.283768744895</v>
      </c>
      <c r="W14" s="7">
        <f>(1-Parameters!$I$7)*(C14-E14)+(1-Parameters!$I$8)*(D14+E14)</f>
        <v>1000.0</v>
      </c>
      <c r="X14" s="7">
        <f>Parameters!$I$7*(C14-E14)+Parameters!$I$8*Parameters!$I$9*(D14+E14)</f>
        <v>0.0</v>
      </c>
      <c r="Y14" s="7">
        <f>Parameters!$I$8*(1-Parameters!$I$9)*(D14+E14)</f>
        <v>0.0</v>
      </c>
      <c r="Z14" s="7">
        <f>POWER(1/(1+Parameters!$I$32),A14-1)*(M14-N14)</f>
        <v>2385.088716648195</v>
      </c>
    </row>
    <row r="15" spans="1:26">
      <c r="A15" s="7">
        <v>11</v>
      </c>
      <c r="B15" s="7">
        <f>Parameters!$I$20</f>
        <v>1000</v>
      </c>
      <c r="C15" s="7">
        <f>X14+B15</f>
        <v>1000.0</v>
      </c>
      <c r="D15" s="7">
        <f>Y14</f>
        <v>0.0</v>
      </c>
      <c r="E15" s="7">
        <f>Parameters!$I$6*C15</f>
        <v>100.0</v>
      </c>
      <c r="F15" s="7">
        <f>IF(Parameters!$I$5=1,E15,0)</f>
        <v>100.0</v>
      </c>
      <c r="G15" s="7">
        <f>Parameters!$I$27*G14+F15</f>
        <v>996.3432462510201</v>
      </c>
      <c r="H15" s="7">
        <f>IF(AND(Parameters!$I$5=1,Parameters!$I$26=1),SUMPRODUCT(--($A$5:A15&lt;A15),--(MOD(A15-$A$5:A15,Parameters!$I$28)=0),$F$5:F15,POWER(Parameters!$I$27,IF(A15-$A$5:A15=0,1,A15-$A$5:A15))),0)</f>
        <v>0</v>
      </c>
      <c r="I15" s="7">
        <f>Parameters!$I$23*I14+B15*Parameters!$I$22</f>
        <v>0.0</v>
      </c>
      <c r="J15" s="7">
        <f>E15*Parameters!$I$14*(1-Parameters!$I$15)</f>
        <v>3000.0</v>
      </c>
      <c r="K15" s="7">
        <f>H15*Parameters!$I$29</f>
        <v>0</v>
      </c>
      <c r="L15" s="7">
        <f>I15*Parameters!$I$24</f>
        <v>0.0</v>
      </c>
      <c r="M15" s="7">
        <f>J15+K15+L15</f>
        <v>3000.0</v>
      </c>
      <c r="N15" s="7">
        <f>C15*Parameters!$I$17+D15*Parameters!$I$18+E15*Parameters!$I$16+I15*Parameters!$I$25+G15*Parameters!$I$30</f>
        <v>399.634324625102</v>
      </c>
      <c r="O15" s="7">
        <f>B15*Parameters!$I$19</f>
        <v>4000</v>
      </c>
      <c r="P15" s="7">
        <f>M15-N15-O15</f>
        <v>-1399.6343246251022</v>
      </c>
      <c r="Q15" s="7">
        <f>Parameters!$I$21</f>
        <v>1000</v>
      </c>
      <c r="R15" s="7">
        <f>P15-Q15</f>
        <v>-2399.634324625102</v>
      </c>
      <c r="S15" s="7">
        <f>IF(A15&lt;1+Parameters!$I$31,0,INDEX($M$5:$M$40,A15-Parameters!$I$31))</f>
        <v>3000.0</v>
      </c>
      <c r="T15" s="7">
        <f>T14+M15-S15</f>
        <v>3000.0</v>
      </c>
      <c r="U15" s="7">
        <f>S15-N15-O15-Q15</f>
        <v>-2399.634324625102</v>
      </c>
      <c r="V15" s="7">
        <f>V14+U15</f>
        <v>-28917.918093369997</v>
      </c>
      <c r="W15" s="7">
        <f>(1-Parameters!$I$7)*(C15-E15)+(1-Parameters!$I$8)*(D15+E15)</f>
        <v>1000.0</v>
      </c>
      <c r="X15" s="7">
        <f>Parameters!$I$7*(C15-E15)+Parameters!$I$8*Parameters!$I$9*(D15+E15)</f>
        <v>0.0</v>
      </c>
      <c r="Y15" s="7">
        <f>Parameters!$I$8*(1-Parameters!$I$9)*(D15+E15)</f>
        <v>0.0</v>
      </c>
      <c r="Z15" s="7">
        <f>POWER(1/(1+Parameters!$I$32),A15-1)*(M15-N15)</f>
        <v>2354.0771233483038</v>
      </c>
    </row>
    <row r="16" spans="1:26">
      <c r="A16" s="7">
        <v>12</v>
      </c>
      <c r="B16" s="7">
        <f>Parameters!$I$20</f>
        <v>1000</v>
      </c>
      <c r="C16" s="7">
        <f>X15+B16</f>
        <v>1000.0</v>
      </c>
      <c r="D16" s="7">
        <f>Y15</f>
        <v>0.0</v>
      </c>
      <c r="E16" s="7">
        <f>Parameters!$I$6*C16</f>
        <v>100.0</v>
      </c>
      <c r="F16" s="7">
        <f>IF(Parameters!$I$5=1,E16,0)</f>
        <v>100.0</v>
      </c>
      <c r="G16" s="7">
        <f>Parameters!$I$27*G15+F16</f>
        <v>1076.4163813259997</v>
      </c>
      <c r="H16" s="7">
        <f>IF(AND(Parameters!$I$5=1,Parameters!$I$26=1),SUMPRODUCT(--($A$5:A16&lt;A16),--(MOD(A16-$A$5:A16,Parameters!$I$28)=0),$F$5:F16,POWER(Parameters!$I$27,IF(A16-$A$5:A16=0,1,A16-$A$5:A16))),0)</f>
        <v>0</v>
      </c>
      <c r="I16" s="7">
        <f>Parameters!$I$23*I15+B16*Parameters!$I$22</f>
        <v>0.0</v>
      </c>
      <c r="J16" s="7">
        <f>E16*Parameters!$I$14*(1-Parameters!$I$15)</f>
        <v>3000.0</v>
      </c>
      <c r="K16" s="7">
        <f>H16*Parameters!$I$29</f>
        <v>0</v>
      </c>
      <c r="L16" s="7">
        <f>I16*Parameters!$I$24</f>
        <v>0.0</v>
      </c>
      <c r="M16" s="7">
        <f>J16+K16+L16</f>
        <v>3000.0</v>
      </c>
      <c r="N16" s="7">
        <f>C16*Parameters!$I$17+D16*Parameters!$I$18+E16*Parameters!$I$16+I16*Parameters!$I$25+G16*Parameters!$I$30</f>
        <v>407.64163813259995</v>
      </c>
      <c r="O16" s="7">
        <f>B16*Parameters!$I$19</f>
        <v>4000</v>
      </c>
      <c r="P16" s="7">
        <f>M16-N16-O16</f>
        <v>-1407.6416381325998</v>
      </c>
      <c r="Q16" s="7">
        <f>Parameters!$I$21</f>
        <v>1000</v>
      </c>
      <c r="R16" s="7">
        <f>P16-Q16</f>
        <v>-2407.6416381326</v>
      </c>
      <c r="S16" s="7">
        <f>IF(A16&lt;1+Parameters!$I$31,0,INDEX($M$5:$M$40,A16-Parameters!$I$31))</f>
        <v>3000.0</v>
      </c>
      <c r="T16" s="7">
        <f>T15+M16-S16</f>
        <v>3000.0</v>
      </c>
      <c r="U16" s="7">
        <f>S16-N16-O16-Q16</f>
        <v>-2407.6416381326</v>
      </c>
      <c r="V16" s="7">
        <f>V15+U16</f>
        <v>-31325.559731502595</v>
      </c>
      <c r="W16" s="7">
        <f>(1-Parameters!$I$7)*(C16-E16)+(1-Parameters!$I$8)*(D16+E16)</f>
        <v>1000.0</v>
      </c>
      <c r="X16" s="7">
        <f>Parameters!$I$7*(C16-E16)+Parameters!$I$8*Parameters!$I$9*(D16+E16)</f>
        <v>0.0</v>
      </c>
      <c r="Y16" s="7">
        <f>Parameters!$I$8*(1-Parameters!$I$9)*(D16+E16)</f>
        <v>0.0</v>
      </c>
      <c r="Z16" s="7">
        <f>POWER(1/(1+Parameters!$I$32),A16-1)*(M16-N16)</f>
        <v>2323.592284047356</v>
      </c>
    </row>
    <row r="17" spans="1:26">
      <c r="A17" s="7">
        <v>13</v>
      </c>
      <c r="B17" s="7">
        <f>Parameters!$I$20</f>
        <v>1000</v>
      </c>
      <c r="C17" s="7">
        <f>X16+B17</f>
        <v>1000.0</v>
      </c>
      <c r="D17" s="7">
        <f>Y16</f>
        <v>0.0</v>
      </c>
      <c r="E17" s="7">
        <f>Parameters!$I$6*C17</f>
        <v>100.0</v>
      </c>
      <c r="F17" s="7">
        <f>IF(Parameters!$I$5=1,E17,0)</f>
        <v>100.0</v>
      </c>
      <c r="G17" s="7">
        <f>Parameters!$I$27*G16+F17</f>
        <v>1154.8880536994798</v>
      </c>
      <c r="H17" s="7">
        <f>IF(AND(Parameters!$I$5=1,Parameters!$I$26=1),SUMPRODUCT(--($A$5:A17&lt;A17),--(MOD(A17-$A$5:A17,Parameters!$I$28)=0),$F$5:F17,POWER(Parameters!$I$27,IF(A17-$A$5:A17=0,1,A17-$A$5:A17))),0)</f>
        <v>78.47167237347999</v>
      </c>
      <c r="I17" s="7">
        <f>Parameters!$I$23*I16+B17*Parameters!$I$22</f>
        <v>0.0</v>
      </c>
      <c r="J17" s="7">
        <f>E17*Parameters!$I$14*(1-Parameters!$I$15)</f>
        <v>3000.0</v>
      </c>
      <c r="K17" s="7">
        <f>H17*Parameters!$I$29</f>
        <v>1177.0750856021998</v>
      </c>
      <c r="L17" s="7">
        <f>I17*Parameters!$I$24</f>
        <v>0.0</v>
      </c>
      <c r="M17" s="7">
        <f>J17+K17+L17</f>
        <v>4177.0750856022</v>
      </c>
      <c r="N17" s="7">
        <f>C17*Parameters!$I$17+D17*Parameters!$I$18+E17*Parameters!$I$16+I17*Parameters!$I$25+G17*Parameters!$I$30</f>
        <v>415.48880536994795</v>
      </c>
      <c r="O17" s="7">
        <f>B17*Parameters!$I$19</f>
        <v>4000</v>
      </c>
      <c r="P17" s="7">
        <f>M17-N17-O17</f>
        <v>-238.41371976774826</v>
      </c>
      <c r="Q17" s="7">
        <f>Parameters!$I$21</f>
        <v>1000</v>
      </c>
      <c r="R17" s="7">
        <f>P17-Q17</f>
        <v>-1238.4137197677483</v>
      </c>
      <c r="S17" s="7">
        <f>IF(A17&lt;1+Parameters!$I$31,0,INDEX($M$5:$M$40,A17-Parameters!$I$31))</f>
        <v>3000.0</v>
      </c>
      <c r="T17" s="7">
        <f>T16+M17-S17</f>
        <v>4177.0750856022</v>
      </c>
      <c r="U17" s="7">
        <f>S17-N17-O17-Q17</f>
        <v>-2415.488805369948</v>
      </c>
      <c r="V17" s="7">
        <f>V16+U17</f>
        <v>-33741.04853687254</v>
      </c>
      <c r="W17" s="7">
        <f>(1-Parameters!$I$7)*(C17-E17)+(1-Parameters!$I$8)*(D17+E17)</f>
        <v>1000.0</v>
      </c>
      <c r="X17" s="7">
        <f>Parameters!$I$7*(C17-E17)+Parameters!$I$8*Parameters!$I$9*(D17+E17)</f>
        <v>0.0</v>
      </c>
      <c r="Y17" s="7">
        <f>Parameters!$I$8*(1-Parameters!$I$9)*(D17+E17)</f>
        <v>0.0</v>
      </c>
      <c r="Z17" s="7">
        <f>POWER(1/(1+Parameters!$I$32),A17-1)*(M17-N17)</f>
        <v>3338.2168301601428</v>
      </c>
    </row>
    <row r="18" spans="1:26">
      <c r="A18" s="7">
        <v>14</v>
      </c>
      <c r="B18" s="7">
        <f>Parameters!$I$20</f>
        <v>1000</v>
      </c>
      <c r="C18" s="7">
        <f>X17+B18</f>
        <v>1000.0</v>
      </c>
      <c r="D18" s="7">
        <f>Y17</f>
        <v>0.0</v>
      </c>
      <c r="E18" s="7">
        <f>Parameters!$I$6*C18</f>
        <v>100.0</v>
      </c>
      <c r="F18" s="7">
        <f>IF(Parameters!$I$5=1,E18,0)</f>
        <v>100.0</v>
      </c>
      <c r="G18" s="7">
        <f>Parameters!$I$27*G17+F18</f>
        <v>1231.79029262549</v>
      </c>
      <c r="H18" s="7">
        <f>IF(AND(Parameters!$I$5=1,Parameters!$I$26=1),SUMPRODUCT(--($A$5:A18&lt;A18),--(MOD(A18-$A$5:A18,Parameters!$I$28)=0),$F$5:F18,POWER(Parameters!$I$27,IF(A18-$A$5:A18=0,1,A18-$A$5:A18))),0)</f>
        <v>78.47167237347999</v>
      </c>
      <c r="I18" s="7">
        <f>Parameters!$I$23*I17+B18*Parameters!$I$22</f>
        <v>0.0</v>
      </c>
      <c r="J18" s="7">
        <f>E18*Parameters!$I$14*(1-Parameters!$I$15)</f>
        <v>3000.0</v>
      </c>
      <c r="K18" s="7">
        <f>H18*Parameters!$I$29</f>
        <v>1177.0750856021998</v>
      </c>
      <c r="L18" s="7">
        <f>I18*Parameters!$I$24</f>
        <v>0.0</v>
      </c>
      <c r="M18" s="7">
        <f>J18+K18+L18</f>
        <v>4177.0750856022</v>
      </c>
      <c r="N18" s="7">
        <f>C18*Parameters!$I$17+D18*Parameters!$I$18+E18*Parameters!$I$16+I18*Parameters!$I$25+G18*Parameters!$I$30</f>
        <v>423.179029262549</v>
      </c>
      <c r="O18" s="7">
        <f>B18*Parameters!$I$19</f>
        <v>4000</v>
      </c>
      <c r="P18" s="7">
        <f>M18-N18-O18</f>
        <v>-246.10394366034961</v>
      </c>
      <c r="Q18" s="7">
        <f>Parameters!$I$21</f>
        <v>1000</v>
      </c>
      <c r="R18" s="7">
        <f>P18-Q18</f>
        <v>-1246.1039436603496</v>
      </c>
      <c r="S18" s="7">
        <f>IF(A18&lt;1+Parameters!$I$31,0,INDEX($M$5:$M$40,A18-Parameters!$I$31))</f>
        <v>4177.0750856022</v>
      </c>
      <c r="T18" s="7">
        <f>T17+M18-S18</f>
        <v>4177.0750856022</v>
      </c>
      <c r="U18" s="7">
        <f>S18-N18-O18-Q18</f>
        <v>-1246.1039436603496</v>
      </c>
      <c r="V18" s="7">
        <f>V17+U18</f>
        <v>-34987.152480532895</v>
      </c>
      <c r="W18" s="7">
        <f>(1-Parameters!$I$7)*(C18-E18)+(1-Parameters!$I$8)*(D18+E18)</f>
        <v>1000.0</v>
      </c>
      <c r="X18" s="7">
        <f>Parameters!$I$7*(C18-E18)+Parameters!$I$8*Parameters!$I$9*(D18+E18)</f>
        <v>0.0</v>
      </c>
      <c r="Y18" s="7">
        <f>Parameters!$I$8*(1-Parameters!$I$9)*(D18+E18)</f>
        <v>0.0</v>
      </c>
      <c r="Z18" s="7">
        <f>POWER(1/(1+Parameters!$I$32),A18-1)*(M18-N18)</f>
        <v>3298.408066261919</v>
      </c>
    </row>
    <row r="19" spans="1:26">
      <c r="A19" s="7">
        <v>15</v>
      </c>
      <c r="B19" s="7">
        <f>Parameters!$I$20</f>
        <v>1000</v>
      </c>
      <c r="C19" s="7">
        <f>X18+B19</f>
        <v>1000.0</v>
      </c>
      <c r="D19" s="7">
        <f>Y18</f>
        <v>0.0</v>
      </c>
      <c r="E19" s="7">
        <f>Parameters!$I$6*C19</f>
        <v>100.0</v>
      </c>
      <c r="F19" s="7">
        <f>IF(Parameters!$I$5=1,E19,0)</f>
        <v>100.0</v>
      </c>
      <c r="G19" s="7">
        <f>Parameters!$I$27*G18+F19</f>
        <v>1307.1544867729804</v>
      </c>
      <c r="H19" s="7">
        <f>IF(AND(Parameters!$I$5=1,Parameters!$I$26=1),SUMPRODUCT(--($A$5:A19&lt;A19),--(MOD(A19-$A$5:A19,Parameters!$I$28)=0),$F$5:F19,POWER(Parameters!$I$27,IF(A19-$A$5:A19=0,1,A19-$A$5:A19))),0)</f>
        <v>78.47167237347999</v>
      </c>
      <c r="I19" s="7">
        <f>Parameters!$I$23*I18+B19*Parameters!$I$22</f>
        <v>0.0</v>
      </c>
      <c r="J19" s="7">
        <f>E19*Parameters!$I$14*(1-Parameters!$I$15)</f>
        <v>3000.0</v>
      </c>
      <c r="K19" s="7">
        <f>H19*Parameters!$I$29</f>
        <v>1177.0750856021998</v>
      </c>
      <c r="L19" s="7">
        <f>I19*Parameters!$I$24</f>
        <v>0.0</v>
      </c>
      <c r="M19" s="7">
        <f>J19+K19+L19</f>
        <v>4177.0750856022</v>
      </c>
      <c r="N19" s="7">
        <f>C19*Parameters!$I$17+D19*Parameters!$I$18+E19*Parameters!$I$16+I19*Parameters!$I$25+G19*Parameters!$I$30</f>
        <v>430.715448677298</v>
      </c>
      <c r="O19" s="7">
        <f>B19*Parameters!$I$19</f>
        <v>4000</v>
      </c>
      <c r="P19" s="7">
        <f>M19-N19-O19</f>
        <v>-253.64036307509832</v>
      </c>
      <c r="Q19" s="7">
        <f>Parameters!$I$21</f>
        <v>1000</v>
      </c>
      <c r="R19" s="7">
        <f>P19-Q19</f>
        <v>-1253.6403630750983</v>
      </c>
      <c r="S19" s="7">
        <f>IF(A19&lt;1+Parameters!$I$31,0,INDEX($M$5:$M$40,A19-Parameters!$I$31))</f>
        <v>4177.0750856022</v>
      </c>
      <c r="T19" s="7">
        <f>T18+M19-S19</f>
        <v>4177.0750856022</v>
      </c>
      <c r="U19" s="7">
        <f>S19-N19-O19-Q19</f>
        <v>-1253.6403630750983</v>
      </c>
      <c r="V19" s="7">
        <f>V18+U19</f>
        <v>-36240.792843608</v>
      </c>
      <c r="W19" s="7">
        <f>(1-Parameters!$I$7)*(C19-E19)+(1-Parameters!$I$8)*(D19+E19)</f>
        <v>1000.0</v>
      </c>
      <c r="X19" s="7">
        <f>Parameters!$I$7*(C19-E19)+Parameters!$I$8*Parameters!$I$9*(D19+E19)</f>
        <v>0.0</v>
      </c>
      <c r="Y19" s="7">
        <f>Parameters!$I$8*(1-Parameters!$I$9)*(D19+E19)</f>
        <v>0.0</v>
      </c>
      <c r="Z19" s="7">
        <f>POWER(1/(1+Parameters!$I$32),A19-1)*(M19-N19)</f>
        <v>3259.194154841335</v>
      </c>
    </row>
    <row r="20" spans="1:26">
      <c r="A20" s="7">
        <v>16</v>
      </c>
      <c r="B20" s="7">
        <f>Parameters!$I$20</f>
        <v>1000</v>
      </c>
      <c r="C20" s="7">
        <f>X19+B20</f>
        <v>1000.0</v>
      </c>
      <c r="D20" s="7">
        <f>Y19</f>
        <v>0.0</v>
      </c>
      <c r="E20" s="7">
        <f>Parameters!$I$6*C20</f>
        <v>100.0</v>
      </c>
      <c r="F20" s="7">
        <f>IF(Parameters!$I$5=1,E20,0)</f>
        <v>100.0</v>
      </c>
      <c r="G20" s="7">
        <f>Parameters!$I$27*G19+F20</f>
        <v>1381.0113970375207</v>
      </c>
      <c r="H20" s="7">
        <f>IF(AND(Parameters!$I$5=1,Parameters!$I$26=1),SUMPRODUCT(--($A$5:A20&lt;A20),--(MOD(A20-$A$5:A20,Parameters!$I$28)=0),$F$5:F20,POWER(Parameters!$I$27,IF(A20-$A$5:A20=0,1,A20-$A$5:A20))),0)</f>
        <v>78.47167237347999</v>
      </c>
      <c r="I20" s="7">
        <f>Parameters!$I$23*I19+B20*Parameters!$I$22</f>
        <v>0.0</v>
      </c>
      <c r="J20" s="7">
        <f>E20*Parameters!$I$14*(1-Parameters!$I$15)</f>
        <v>3000.0</v>
      </c>
      <c r="K20" s="7">
        <f>H20*Parameters!$I$29</f>
        <v>1177.0750856021998</v>
      </c>
      <c r="L20" s="7">
        <f>I20*Parameters!$I$24</f>
        <v>0.0</v>
      </c>
      <c r="M20" s="7">
        <f>J20+K20+L20</f>
        <v>4177.0750856022</v>
      </c>
      <c r="N20" s="7">
        <f>C20*Parameters!$I$17+D20*Parameters!$I$18+E20*Parameters!$I$16+I20*Parameters!$I$25+G20*Parameters!$I$30</f>
        <v>438.1011397037521</v>
      </c>
      <c r="O20" s="7">
        <f>B20*Parameters!$I$19</f>
        <v>4000</v>
      </c>
      <c r="P20" s="7">
        <f>M20-N20-O20</f>
        <v>-261.0260541015523</v>
      </c>
      <c r="Q20" s="7">
        <f>Parameters!$I$21</f>
        <v>1000</v>
      </c>
      <c r="R20" s="7">
        <f>P20-Q20</f>
        <v>-1261.0260541015523</v>
      </c>
      <c r="S20" s="7">
        <f>IF(A20&lt;1+Parameters!$I$31,0,INDEX($M$5:$M$40,A20-Parameters!$I$31))</f>
        <v>4177.0750856022</v>
      </c>
      <c r="T20" s="7">
        <f>T19+M20-S20</f>
        <v>4177.0750856022</v>
      </c>
      <c r="U20" s="7">
        <f>S20-N20-O20-Q20</f>
        <v>-1261.0260541015523</v>
      </c>
      <c r="V20" s="7">
        <f>V19+U20</f>
        <v>-37501.81889770955</v>
      </c>
      <c r="W20" s="7">
        <f>(1-Parameters!$I$7)*(C20-E20)+(1-Parameters!$I$8)*(D20+E20)</f>
        <v>1000.0</v>
      </c>
      <c r="X20" s="7">
        <f>Parameters!$I$7*(C20-E20)+Parameters!$I$8*Parameters!$I$9*(D20+E20)</f>
        <v>0.0</v>
      </c>
      <c r="Y20" s="7">
        <f>Parameters!$I$8*(1-Parameters!$I$9)*(D20+E20)</f>
        <v>0.0</v>
      </c>
      <c r="Z20" s="7">
        <f>POWER(1/(1+Parameters!$I$32),A20-1)*(M20-N20)</f>
        <v>3220.563244696619</v>
      </c>
    </row>
    <row r="21" spans="1:26">
      <c r="A21" s="7">
        <v>17</v>
      </c>
      <c r="B21" s="7">
        <f>Parameters!$I$20</f>
        <v>1000</v>
      </c>
      <c r="C21" s="7">
        <f>X20+B21</f>
        <v>1000.0</v>
      </c>
      <c r="D21" s="7">
        <f>Y20</f>
        <v>0.0</v>
      </c>
      <c r="E21" s="7">
        <f>Parameters!$I$6*C21</f>
        <v>100.0</v>
      </c>
      <c r="F21" s="7">
        <f>IF(Parameters!$I$5=1,E21,0)</f>
        <v>100.0</v>
      </c>
      <c r="G21" s="7">
        <f>Parameters!$I$27*G20+F21</f>
        <v>1453.3911690967702</v>
      </c>
      <c r="H21" s="7">
        <f>IF(AND(Parameters!$I$5=1,Parameters!$I$26=1),SUMPRODUCT(--($A$5:A21&lt;A21),--(MOD(A21-$A$5:A21,Parameters!$I$28)=0),$F$5:F21,POWER(Parameters!$I$27,IF(A21-$A$5:A21=0,1,A21-$A$5:A21))),0)</f>
        <v>78.47167237347999</v>
      </c>
      <c r="I21" s="7">
        <f>Parameters!$I$23*I20+B21*Parameters!$I$22</f>
        <v>0.0</v>
      </c>
      <c r="J21" s="7">
        <f>E21*Parameters!$I$14*(1-Parameters!$I$15)</f>
        <v>3000.0</v>
      </c>
      <c r="K21" s="7">
        <f>H21*Parameters!$I$29</f>
        <v>1177.0750856021998</v>
      </c>
      <c r="L21" s="7">
        <f>I21*Parameters!$I$24</f>
        <v>0.0</v>
      </c>
      <c r="M21" s="7">
        <f>J21+K21+L21</f>
        <v>4177.0750856022</v>
      </c>
      <c r="N21" s="7">
        <f>C21*Parameters!$I$17+D21*Parameters!$I$18+E21*Parameters!$I$16+I21*Parameters!$I$25+G21*Parameters!$I$30</f>
        <v>445.33911690967705</v>
      </c>
      <c r="O21" s="7">
        <f>B21*Parameters!$I$19</f>
        <v>4000</v>
      </c>
      <c r="P21" s="7">
        <f>M21-N21-O21</f>
        <v>-268.2640313074776</v>
      </c>
      <c r="Q21" s="7">
        <f>Parameters!$I$21</f>
        <v>1000</v>
      </c>
      <c r="R21" s="7">
        <f>P21-Q21</f>
        <v>-1268.2640313074776</v>
      </c>
      <c r="S21" s="7">
        <f>IF(A21&lt;1+Parameters!$I$31,0,INDEX($M$5:$M$40,A21-Parameters!$I$31))</f>
        <v>4177.0750856022</v>
      </c>
      <c r="T21" s="7">
        <f>T20+M21-S21</f>
        <v>4177.0750856022</v>
      </c>
      <c r="U21" s="7">
        <f>S21-N21-O21-Q21</f>
        <v>-1268.2640313074776</v>
      </c>
      <c r="V21" s="7">
        <f>V20+U21</f>
        <v>-38770.08292901703</v>
      </c>
      <c r="W21" s="7">
        <f>(1-Parameters!$I$7)*(C21-E21)+(1-Parameters!$I$8)*(D21+E21)</f>
        <v>1000.0</v>
      </c>
      <c r="X21" s="7">
        <f>Parameters!$I$7*(C21-E21)+Parameters!$I$8*Parameters!$I$9*(D21+E21)</f>
        <v>0.0</v>
      </c>
      <c r="Y21" s="7">
        <f>Parameters!$I$8*(1-Parameters!$I$9)*(D21+E21)</f>
        <v>0.0</v>
      </c>
      <c r="Z21" s="7">
        <f>POWER(1/(1+Parameters!$I$32),A21-1)*(M21-N21)</f>
        <v>3182.503779041065</v>
      </c>
    </row>
    <row r="22" spans="1:26">
      <c r="A22" s="7">
        <v>18</v>
      </c>
      <c r="B22" s="7">
        <f>Parameters!$I$20</f>
        <v>1000</v>
      </c>
      <c r="C22" s="7">
        <f>X21+B22</f>
        <v>1000.0</v>
      </c>
      <c r="D22" s="7">
        <f>Y21</f>
        <v>0.0</v>
      </c>
      <c r="E22" s="7">
        <f>Parameters!$I$6*C22</f>
        <v>100.0</v>
      </c>
      <c r="F22" s="7">
        <f>IF(Parameters!$I$5=1,E22,0)</f>
        <v>100.0</v>
      </c>
      <c r="G22" s="7">
        <f>Parameters!$I$27*G21+F22</f>
        <v>1524.3233457148349</v>
      </c>
      <c r="H22" s="7">
        <f>IF(AND(Parameters!$I$5=1,Parameters!$I$26=1),SUMPRODUCT(--($A$5:A22&lt;A22),--(MOD(A22-$A$5:A22,Parameters!$I$28)=0),$F$5:F22,POWER(Parameters!$I$27,IF(A22-$A$5:A22=0,1,A22-$A$5:A22))),0)</f>
        <v>78.47167237347999</v>
      </c>
      <c r="I22" s="7">
        <f>Parameters!$I$23*I21+B22*Parameters!$I$22</f>
        <v>0.0</v>
      </c>
      <c r="J22" s="7">
        <f>E22*Parameters!$I$14*(1-Parameters!$I$15)</f>
        <v>3000.0</v>
      </c>
      <c r="K22" s="7">
        <f>H22*Parameters!$I$29</f>
        <v>1177.0750856021998</v>
      </c>
      <c r="L22" s="7">
        <f>I22*Parameters!$I$24</f>
        <v>0.0</v>
      </c>
      <c r="M22" s="7">
        <f>J22+K22+L22</f>
        <v>4177.0750856022</v>
      </c>
      <c r="N22" s="7">
        <f>C22*Parameters!$I$17+D22*Parameters!$I$18+E22*Parameters!$I$16+I22*Parameters!$I$25+G22*Parameters!$I$30</f>
        <v>452.43233457148347</v>
      </c>
      <c r="O22" s="7">
        <f>B22*Parameters!$I$19</f>
        <v>4000</v>
      </c>
      <c r="P22" s="7">
        <f>M22-N22-O22</f>
        <v>-275.3572489692838</v>
      </c>
      <c r="Q22" s="7">
        <f>Parameters!$I$21</f>
        <v>1000</v>
      </c>
      <c r="R22" s="7">
        <f>P22-Q22</f>
        <v>-1275.3572489692838</v>
      </c>
      <c r="S22" s="7">
        <f>IF(A22&lt;1+Parameters!$I$31,0,INDEX($M$5:$M$40,A22-Parameters!$I$31))</f>
        <v>4177.0750856022</v>
      </c>
      <c r="T22" s="7">
        <f>T21+M22-S22</f>
        <v>4177.0750856022</v>
      </c>
      <c r="U22" s="7">
        <f>S22-N22-O22-Q22</f>
        <v>-1275.3572489692838</v>
      </c>
      <c r="V22" s="7">
        <f>V21+U22</f>
        <v>-40045.44017798631</v>
      </c>
      <c r="W22" s="7">
        <f>(1-Parameters!$I$7)*(C22-E22)+(1-Parameters!$I$8)*(D22+E22)</f>
        <v>1000.0</v>
      </c>
      <c r="X22" s="7">
        <f>Parameters!$I$7*(C22-E22)+Parameters!$I$8*Parameters!$I$9*(D22+E22)</f>
        <v>0.0</v>
      </c>
      <c r="Y22" s="7">
        <f>Parameters!$I$8*(1-Parameters!$I$9)*(D22+E22)</f>
        <v>0.0</v>
      </c>
      <c r="Z22" s="7">
        <f>POWER(1/(1+Parameters!$I$32),A22-1)*(M22-N22)</f>
        <v>3145.004487328336</v>
      </c>
    </row>
    <row r="23" spans="1:26">
      <c r="A23" s="7">
        <v>19</v>
      </c>
      <c r="B23" s="7">
        <f>Parameters!$I$20</f>
        <v>1000</v>
      </c>
      <c r="C23" s="7">
        <f>X22+B23</f>
        <v>1000.0</v>
      </c>
      <c r="D23" s="7">
        <f>Y22</f>
        <v>0.0</v>
      </c>
      <c r="E23" s="7">
        <f>Parameters!$I$6*C23</f>
        <v>100.0</v>
      </c>
      <c r="F23" s="7">
        <f>IF(Parameters!$I$5=1,E23,0)</f>
        <v>100.0</v>
      </c>
      <c r="G23" s="7">
        <f>Parameters!$I$27*G22+F23</f>
        <v>1593.8368788005382</v>
      </c>
      <c r="H23" s="7">
        <f>IF(AND(Parameters!$I$5=1,Parameters!$I$26=1),SUMPRODUCT(--($A$5:A23&lt;A23),--(MOD(A23-$A$5:A23,Parameters!$I$28)=0),$F$5:F23,POWER(Parameters!$I$27,IF(A23-$A$5:A23=0,1,A23-$A$5:A23))),0)</f>
        <v>78.47167237347999</v>
      </c>
      <c r="I23" s="7">
        <f>Parameters!$I$23*I22+B23*Parameters!$I$22</f>
        <v>0.0</v>
      </c>
      <c r="J23" s="7">
        <f>E23*Parameters!$I$14*(1-Parameters!$I$15)</f>
        <v>3000.0</v>
      </c>
      <c r="K23" s="7">
        <f>H23*Parameters!$I$29</f>
        <v>1177.0750856021998</v>
      </c>
      <c r="L23" s="7">
        <f>I23*Parameters!$I$24</f>
        <v>0.0</v>
      </c>
      <c r="M23" s="7">
        <f>J23+K23+L23</f>
        <v>4177.0750856022</v>
      </c>
      <c r="N23" s="7">
        <f>C23*Parameters!$I$17+D23*Parameters!$I$18+E23*Parameters!$I$16+I23*Parameters!$I$25+G23*Parameters!$I$30</f>
        <v>459.3836878800538</v>
      </c>
      <c r="O23" s="7">
        <f>B23*Parameters!$I$19</f>
        <v>4000</v>
      </c>
      <c r="P23" s="7">
        <f>M23-N23-O23</f>
        <v>-282.30860227785433</v>
      </c>
      <c r="Q23" s="7">
        <f>Parameters!$I$21</f>
        <v>1000</v>
      </c>
      <c r="R23" s="7">
        <f>P23-Q23</f>
        <v>-1282.3086022778543</v>
      </c>
      <c r="S23" s="7">
        <f>IF(A23&lt;1+Parameters!$I$31,0,INDEX($M$5:$M$40,A23-Parameters!$I$31))</f>
        <v>4177.0750856022</v>
      </c>
      <c r="T23" s="7">
        <f>T22+M23-S23</f>
        <v>4177.0750856022</v>
      </c>
      <c r="U23" s="7">
        <f>S23-N23-O23-Q23</f>
        <v>-1282.3086022778543</v>
      </c>
      <c r="V23" s="7">
        <f>V22+U23</f>
        <v>-41327.74878026416</v>
      </c>
      <c r="W23" s="7">
        <f>(1-Parameters!$I$7)*(C23-E23)+(1-Parameters!$I$8)*(D23+E23)</f>
        <v>1000.0</v>
      </c>
      <c r="X23" s="7">
        <f>Parameters!$I$7*(C23-E23)+Parameters!$I$8*Parameters!$I$9*(D23+E23)</f>
        <v>0.0</v>
      </c>
      <c r="Y23" s="7">
        <f>Parameters!$I$8*(1-Parameters!$I$9)*(D23+E23)</f>
        <v>0.0</v>
      </c>
      <c r="Z23" s="7">
        <f>POWER(1/(1+Parameters!$I$32),A23-1)*(M23-N23)</f>
        <v>3108.054377314932</v>
      </c>
    </row>
    <row r="24" spans="1:26">
      <c r="A24" s="7">
        <v>20</v>
      </c>
      <c r="B24" s="7">
        <f>Parameters!$I$20</f>
        <v>1000</v>
      </c>
      <c r="C24" s="7">
        <f>X23+B24</f>
        <v>1000.0</v>
      </c>
      <c r="D24" s="7">
        <f>Y23</f>
        <v>0.0</v>
      </c>
      <c r="E24" s="7">
        <f>Parameters!$I$6*C24</f>
        <v>100.0</v>
      </c>
      <c r="F24" s="7">
        <f>IF(Parameters!$I$5=1,E24,0)</f>
        <v>100.0</v>
      </c>
      <c r="G24" s="7">
        <f>Parameters!$I$27*G23+F24</f>
        <v>1661.9601412245274</v>
      </c>
      <c r="H24" s="7">
        <f>IF(AND(Parameters!$I$5=1,Parameters!$I$26=1),SUMPRODUCT(--($A$5:A24&lt;A24),--(MOD(A24-$A$5:A24,Parameters!$I$28)=0),$F$5:F24,POWER(Parameters!$I$27,IF(A24-$A$5:A24=0,1,A24-$A$5:A24))),0)</f>
        <v>78.47167237347999</v>
      </c>
      <c r="I24" s="7">
        <f>Parameters!$I$23*I23+B24*Parameters!$I$22</f>
        <v>0.0</v>
      </c>
      <c r="J24" s="7">
        <f>E24*Parameters!$I$14*(1-Parameters!$I$15)</f>
        <v>3000.0</v>
      </c>
      <c r="K24" s="7">
        <f>H24*Parameters!$I$29</f>
        <v>1177.0750856021998</v>
      </c>
      <c r="L24" s="7">
        <f>I24*Parameters!$I$24</f>
        <v>0.0</v>
      </c>
      <c r="M24" s="7">
        <f>J24+K24+L24</f>
        <v>4177.0750856022</v>
      </c>
      <c r="N24" s="7">
        <f>C24*Parameters!$I$17+D24*Parameters!$I$18+E24*Parameters!$I$16+I24*Parameters!$I$25+G24*Parameters!$I$30</f>
        <v>466.19601412245277</v>
      </c>
      <c r="O24" s="7">
        <f>B24*Parameters!$I$19</f>
        <v>4000</v>
      </c>
      <c r="P24" s="7">
        <f>M24-N24-O24</f>
        <v>-289.1209285202531</v>
      </c>
      <c r="Q24" s="7">
        <f>Parameters!$I$21</f>
        <v>1000</v>
      </c>
      <c r="R24" s="7">
        <f>P24-Q24</f>
        <v>-1289.120928520253</v>
      </c>
      <c r="S24" s="7">
        <f>IF(A24&lt;1+Parameters!$I$31,0,INDEX($M$5:$M$40,A24-Parameters!$I$31))</f>
        <v>4177.0750856022</v>
      </c>
      <c r="T24" s="7">
        <f>T23+M24-S24</f>
        <v>4177.0750856022</v>
      </c>
      <c r="U24" s="7">
        <f>S24-N24-O24-Q24</f>
        <v>-1289.120928520253</v>
      </c>
      <c r="V24" s="7">
        <f>V23+U24</f>
        <v>-42616.86970878442</v>
      </c>
      <c r="W24" s="7">
        <f>(1-Parameters!$I$7)*(C24-E24)+(1-Parameters!$I$8)*(D24+E24)</f>
        <v>1000.0</v>
      </c>
      <c r="X24" s="7">
        <f>Parameters!$I$7*(C24-E24)+Parameters!$I$8*Parameters!$I$9*(D24+E24)</f>
        <v>0.0</v>
      </c>
      <c r="Y24" s="7">
        <f>Parameters!$I$8*(1-Parameters!$I$9)*(D24+E24)</f>
        <v>0.0</v>
      </c>
      <c r="Z24" s="7">
        <f>POWER(1/(1+Parameters!$I$32),A24-1)*(M24-N24)</f>
        <v>3071.6427273528398</v>
      </c>
    </row>
    <row r="25" spans="1:26">
      <c r="A25" s="7">
        <v>21</v>
      </c>
      <c r="B25" s="7">
        <f>Parameters!$I$20</f>
        <v>1000</v>
      </c>
      <c r="C25" s="7">
        <f>X24+B25</f>
        <v>1000.0</v>
      </c>
      <c r="D25" s="7">
        <f>Y24</f>
        <v>0.0</v>
      </c>
      <c r="E25" s="7">
        <f>Parameters!$I$6*C25</f>
        <v>100.0</v>
      </c>
      <c r="F25" s="7">
        <f>IF(Parameters!$I$5=1,E25,0)</f>
        <v>100.0</v>
      </c>
      <c r="G25" s="7">
        <f>Parameters!$I$27*G24+F25</f>
        <v>1728.7209384000369</v>
      </c>
      <c r="H25" s="7">
        <f>IF(AND(Parameters!$I$5=1,Parameters!$I$26=1),SUMPRODUCT(--($A$5:A25&lt;A25),--(MOD(A25-$A$5:A25,Parameters!$I$28)=0),$F$5:F25,POWER(Parameters!$I$27,IF(A25-$A$5:A25=0,1,A25-$A$5:A25))),0)</f>
        <v>78.47167237347999</v>
      </c>
      <c r="I25" s="7">
        <f>Parameters!$I$23*I24+B25*Parameters!$I$22</f>
        <v>0.0</v>
      </c>
      <c r="J25" s="7">
        <f>E25*Parameters!$I$14*(1-Parameters!$I$15)</f>
        <v>3000.0</v>
      </c>
      <c r="K25" s="7">
        <f>H25*Parameters!$I$29</f>
        <v>1177.0750856021998</v>
      </c>
      <c r="L25" s="7">
        <f>I25*Parameters!$I$24</f>
        <v>0.0</v>
      </c>
      <c r="M25" s="7">
        <f>J25+K25+L25</f>
        <v>4177.0750856022</v>
      </c>
      <c r="N25" s="7">
        <f>C25*Parameters!$I$17+D25*Parameters!$I$18+E25*Parameters!$I$16+I25*Parameters!$I$25+G25*Parameters!$I$30</f>
        <v>472.8720938400037</v>
      </c>
      <c r="O25" s="7">
        <f>B25*Parameters!$I$19</f>
        <v>4000</v>
      </c>
      <c r="P25" s="7">
        <f>M25-N25-O25</f>
        <v>-295.7970082378042</v>
      </c>
      <c r="Q25" s="7">
        <f>Parameters!$I$21</f>
        <v>1000</v>
      </c>
      <c r="R25" s="7">
        <f>P25-Q25</f>
        <v>-1295.7970082378042</v>
      </c>
      <c r="S25" s="7">
        <f>IF(A25&lt;1+Parameters!$I$31,0,INDEX($M$5:$M$40,A25-Parameters!$I$31))</f>
        <v>4177.0750856022</v>
      </c>
      <c r="T25" s="7">
        <f>T24+M25-S25</f>
        <v>4177.0750856022</v>
      </c>
      <c r="U25" s="7">
        <f>S25-N25-O25-Q25</f>
        <v>-1295.7970082378042</v>
      </c>
      <c r="V25" s="7">
        <f>V24+U25</f>
        <v>-43912.66671702222</v>
      </c>
      <c r="W25" s="7">
        <f>(1-Parameters!$I$7)*(C25-E25)+(1-Parameters!$I$8)*(D25+E25)</f>
        <v>1000.0</v>
      </c>
      <c r="X25" s="7">
        <f>Parameters!$I$7*(C25-E25)+Parameters!$I$8*Parameters!$I$9*(D25+E25)</f>
        <v>0.0</v>
      </c>
      <c r="Y25" s="7">
        <f>Parameters!$I$8*(1-Parameters!$I$9)*(D25+E25)</f>
        <v>0.0</v>
      </c>
      <c r="Z25" s="7">
        <f>POWER(1/(1+Parameters!$I$32),A25-1)*(M25-N25)</f>
        <v>3035.7590789055735</v>
      </c>
    </row>
    <row r="26" spans="1:26">
      <c r="A26" s="7">
        <v>22</v>
      </c>
      <c r="B26" s="7">
        <f>Parameters!$I$20</f>
        <v>1000</v>
      </c>
      <c r="C26" s="7">
        <f>X25+B26</f>
        <v>1000.0</v>
      </c>
      <c r="D26" s="7">
        <f>Y25</f>
        <v>0.0</v>
      </c>
      <c r="E26" s="7">
        <f>Parameters!$I$6*C26</f>
        <v>100.0</v>
      </c>
      <c r="F26" s="7">
        <f>IF(Parameters!$I$5=1,E26,0)</f>
        <v>100.0</v>
      </c>
      <c r="G26" s="7">
        <f>Parameters!$I$27*G25+F26</f>
        <v>1794.1465196320362</v>
      </c>
      <c r="H26" s="7">
        <f>IF(AND(Parameters!$I$5=1,Parameters!$I$26=1),SUMPRODUCT(--($A$5:A26&lt;A26),--(MOD(A26-$A$5:A26,Parameters!$I$28)=0),$F$5:F26,POWER(Parameters!$I$27,IF(A26-$A$5:A26=0,1,A26-$A$5:A26))),0)</f>
        <v>78.47167237347999</v>
      </c>
      <c r="I26" s="7">
        <f>Parameters!$I$23*I25+B26*Parameters!$I$22</f>
        <v>0.0</v>
      </c>
      <c r="J26" s="7">
        <f>E26*Parameters!$I$14*(1-Parameters!$I$15)</f>
        <v>3000.0</v>
      </c>
      <c r="K26" s="7">
        <f>H26*Parameters!$I$29</f>
        <v>1177.0750856021998</v>
      </c>
      <c r="L26" s="7">
        <f>I26*Parameters!$I$24</f>
        <v>0.0</v>
      </c>
      <c r="M26" s="7">
        <f>J26+K26+L26</f>
        <v>4177.0750856022</v>
      </c>
      <c r="N26" s="7">
        <f>C26*Parameters!$I$17+D26*Parameters!$I$18+E26*Parameters!$I$16+I26*Parameters!$I$25+G26*Parameters!$I$30</f>
        <v>479.4146519632036</v>
      </c>
      <c r="O26" s="7">
        <f>B26*Parameters!$I$19</f>
        <v>4000</v>
      </c>
      <c r="P26" s="7">
        <f>M26-N26-O26</f>
        <v>-302.339566361004</v>
      </c>
      <c r="Q26" s="7">
        <f>Parameters!$I$21</f>
        <v>1000</v>
      </c>
      <c r="R26" s="7">
        <f>P26-Q26</f>
        <v>-1302.339566361004</v>
      </c>
      <c r="S26" s="7">
        <f>IF(A26&lt;1+Parameters!$I$31,0,INDEX($M$5:$M$40,A26-Parameters!$I$31))</f>
        <v>4177.0750856022</v>
      </c>
      <c r="T26" s="7">
        <f>T25+M26-S26</f>
        <v>4177.0750856022</v>
      </c>
      <c r="U26" s="7">
        <f>S26-N26-O26-Q26</f>
        <v>-1302.339566361004</v>
      </c>
      <c r="V26" s="7">
        <f>V25+U26</f>
        <v>-45215.00628338323</v>
      </c>
      <c r="W26" s="7">
        <f>(1-Parameters!$I$7)*(C26-E26)+(1-Parameters!$I$8)*(D26+E26)</f>
        <v>1000.0</v>
      </c>
      <c r="X26" s="7">
        <f>Parameters!$I$7*(C26-E26)+Parameters!$I$8*Parameters!$I$9*(D26+E26)</f>
        <v>0.0</v>
      </c>
      <c r="Y26" s="7">
        <f>Parameters!$I$8*(1-Parameters!$I$9)*(D26+E26)</f>
        <v>0.0</v>
      </c>
      <c r="Z26" s="7">
        <f>POWER(1/(1+Parameters!$I$32),A26-1)*(M26-N26)</f>
        <v>3000.3932292810346</v>
      </c>
    </row>
    <row r="27" spans="1:26">
      <c r="A27" s="7">
        <v>23</v>
      </c>
      <c r="B27" s="7">
        <f>Parameters!$I$20</f>
        <v>1000</v>
      </c>
      <c r="C27" s="7">
        <f>X26+B27</f>
        <v>1000.0</v>
      </c>
      <c r="D27" s="7">
        <f>Y26</f>
        <v>0.0</v>
      </c>
      <c r="E27" s="7">
        <f>Parameters!$I$6*C27</f>
        <v>100.0</v>
      </c>
      <c r="F27" s="7">
        <f>IF(Parameters!$I$5=1,E27,0)</f>
        <v>100.0</v>
      </c>
      <c r="G27" s="7">
        <f>Parameters!$I$27*G26+F27</f>
        <v>1858.2635892393955</v>
      </c>
      <c r="H27" s="7">
        <f>IF(AND(Parameters!$I$5=1,Parameters!$I$26=1),SUMPRODUCT(--($A$5:A27&lt;A27),--(MOD(A27-$A$5:A27,Parameters!$I$28)=0),$F$5:F27,POWER(Parameters!$I$27,IF(A27-$A$5:A27=0,1,A27-$A$5:A27))),0)</f>
        <v>78.47167237347999</v>
      </c>
      <c r="I27" s="7">
        <f>Parameters!$I$23*I26+B27*Parameters!$I$22</f>
        <v>0.0</v>
      </c>
      <c r="J27" s="7">
        <f>E27*Parameters!$I$14*(1-Parameters!$I$15)</f>
        <v>3000.0</v>
      </c>
      <c r="K27" s="7">
        <f>H27*Parameters!$I$29</f>
        <v>1177.0750856021998</v>
      </c>
      <c r="L27" s="7">
        <f>I27*Parameters!$I$24</f>
        <v>0.0</v>
      </c>
      <c r="M27" s="7">
        <f>J27+K27+L27</f>
        <v>4177.0750856022</v>
      </c>
      <c r="N27" s="7">
        <f>C27*Parameters!$I$17+D27*Parameters!$I$18+E27*Parameters!$I$16+I27*Parameters!$I$25+G27*Parameters!$I$30</f>
        <v>485.82635892393955</v>
      </c>
      <c r="O27" s="7">
        <f>B27*Parameters!$I$19</f>
        <v>4000</v>
      </c>
      <c r="P27" s="7">
        <f>M27-N27-O27</f>
        <v>-308.75127332174</v>
      </c>
      <c r="Q27" s="7">
        <f>Parameters!$I$21</f>
        <v>1000</v>
      </c>
      <c r="R27" s="7">
        <f>P27-Q27</f>
        <v>-1308.75127332174</v>
      </c>
      <c r="S27" s="7">
        <f>IF(A27&lt;1+Parameters!$I$31,0,INDEX($M$5:$M$40,A27-Parameters!$I$31))</f>
        <v>4177.0750856022</v>
      </c>
      <c r="T27" s="7">
        <f>T26+M27-S27</f>
        <v>4177.0750856022</v>
      </c>
      <c r="U27" s="7">
        <f>S27-N27-O27-Q27</f>
        <v>-1308.75127332174</v>
      </c>
      <c r="V27" s="7">
        <f>V26+U27</f>
        <v>-46523.757556704964</v>
      </c>
      <c r="W27" s="7">
        <f>(1-Parameters!$I$7)*(C27-E27)+(1-Parameters!$I$8)*(D27+E27)</f>
        <v>1000.0</v>
      </c>
      <c r="X27" s="7">
        <f>Parameters!$I$7*(C27-E27)+Parameters!$I$8*Parameters!$I$9*(D27+E27)</f>
        <v>0.0</v>
      </c>
      <c r="Y27" s="7">
        <f>Parameters!$I$8*(1-Parameters!$I$9)*(D27+E27)</f>
        <v>0.0</v>
      </c>
      <c r="Z27" s="7">
        <f>POWER(1/(1+Parameters!$I$32),A27-1)*(M27-N27)</f>
        <v>2965.535224574797</v>
      </c>
    </row>
    <row r="28" spans="1:26">
      <c r="A28" s="7">
        <v>24</v>
      </c>
      <c r="B28" s="7">
        <f>Parameters!$I$20</f>
        <v>1000</v>
      </c>
      <c r="C28" s="7">
        <f>X27+B28</f>
        <v>1000.0</v>
      </c>
      <c r="D28" s="7">
        <f>Y27</f>
        <v>0.0</v>
      </c>
      <c r="E28" s="7">
        <f>Parameters!$I$6*C28</f>
        <v>100.0</v>
      </c>
      <c r="F28" s="7">
        <f>IF(Parameters!$I$5=1,E28,0)</f>
        <v>100.0</v>
      </c>
      <c r="G28" s="7">
        <f>Parameters!$I$27*G27+F28</f>
        <v>1921.0983174546075</v>
      </c>
      <c r="H28" s="7">
        <f>IF(AND(Parameters!$I$5=1,Parameters!$I$26=1),SUMPRODUCT(--($A$5:A28&lt;A28),--(MOD(A28-$A$5:A28,Parameters!$I$28)=0),$F$5:F28,POWER(Parameters!$I$27,IF(A28-$A$5:A28=0,1,A28-$A$5:A28))),0)</f>
        <v>78.47167237347999</v>
      </c>
      <c r="I28" s="7">
        <f>Parameters!$I$23*I27+B28*Parameters!$I$22</f>
        <v>0.0</v>
      </c>
      <c r="J28" s="7">
        <f>E28*Parameters!$I$14*(1-Parameters!$I$15)</f>
        <v>3000.0</v>
      </c>
      <c r="K28" s="7">
        <f>H28*Parameters!$I$29</f>
        <v>1177.0750856021998</v>
      </c>
      <c r="L28" s="7">
        <f>I28*Parameters!$I$24</f>
        <v>0.0</v>
      </c>
      <c r="M28" s="7">
        <f>J28+K28+L28</f>
        <v>4177.0750856022</v>
      </c>
      <c r="N28" s="7">
        <f>C28*Parameters!$I$17+D28*Parameters!$I$18+E28*Parameters!$I$16+I28*Parameters!$I$25+G28*Parameters!$I$30</f>
        <v>492.1098317454607</v>
      </c>
      <c r="O28" s="7">
        <f>B28*Parameters!$I$19</f>
        <v>4000</v>
      </c>
      <c r="P28" s="7">
        <f>M28-N28-O28</f>
        <v>-315.03474614326115</v>
      </c>
      <c r="Q28" s="7">
        <f>Parameters!$I$21</f>
        <v>1000</v>
      </c>
      <c r="R28" s="7">
        <f>P28-Q28</f>
        <v>-1315.0347461432611</v>
      </c>
      <c r="S28" s="7">
        <f>IF(A28&lt;1+Parameters!$I$31,0,INDEX($M$5:$M$40,A28-Parameters!$I$31))</f>
        <v>4177.0750856022</v>
      </c>
      <c r="T28" s="7">
        <f>T27+M28-S28</f>
        <v>4177.0750856022</v>
      </c>
      <c r="U28" s="7">
        <f>S28-N28-O28-Q28</f>
        <v>-1315.0347461432611</v>
      </c>
      <c r="V28" s="7">
        <f>V27+U28</f>
        <v>-47838.792302848226</v>
      </c>
      <c r="W28" s="7">
        <f>(1-Parameters!$I$7)*(C28-E28)+(1-Parameters!$I$8)*(D28+E28)</f>
        <v>1000.0</v>
      </c>
      <c r="X28" s="7">
        <f>Parameters!$I$7*(C28-E28)+Parameters!$I$8*Parameters!$I$9*(D28+E28)</f>
        <v>0.0</v>
      </c>
      <c r="Y28" s="7">
        <f>Parameters!$I$8*(1-Parameters!$I$9)*(D28+E28)</f>
        <v>0.0</v>
      </c>
      <c r="Z28" s="7">
        <f>POWER(1/(1+Parameters!$I$32),A28-1)*(M28-N28)</f>
        <v>2931.1753528176314</v>
      </c>
    </row>
    <row r="29" spans="1:26">
      <c r="A29" s="7">
        <v>25</v>
      </c>
      <c r="B29" s="7">
        <f>Parameters!$I$20</f>
        <v>1000</v>
      </c>
      <c r="C29" s="7">
        <f>X28+B29</f>
        <v>1000.0</v>
      </c>
      <c r="D29" s="7">
        <f>Y28</f>
        <v>0.0</v>
      </c>
      <c r="E29" s="7">
        <f>Parameters!$I$6*C29</f>
        <v>100.0</v>
      </c>
      <c r="F29" s="7">
        <f>IF(Parameters!$I$5=1,E29,0)</f>
        <v>100.0</v>
      </c>
      <c r="G29" s="7">
        <f>Parameters!$I$27*G28+F29</f>
        <v>1982.6763511055153</v>
      </c>
      <c r="H29" s="7">
        <f>IF(AND(Parameters!$I$5=1,Parameters!$I$26=1),SUMPRODUCT(--($A$5:A29&lt;A29),--(MOD(A29-$A$5:A29,Parameters!$I$28)=0),$F$5:F29,POWER(Parameters!$I$27,IF(A29-$A$5:A29=0,1,A29-$A$5:A29))),0)</f>
        <v>140.04970602438783</v>
      </c>
      <c r="I29" s="7">
        <f>Parameters!$I$23*I28+B29*Parameters!$I$22</f>
        <v>0.0</v>
      </c>
      <c r="J29" s="7">
        <f>E29*Parameters!$I$14*(1-Parameters!$I$15)</f>
        <v>3000.0</v>
      </c>
      <c r="K29" s="7">
        <f>H29*Parameters!$I$29</f>
        <v>2100.7455903658174</v>
      </c>
      <c r="L29" s="7">
        <f>I29*Parameters!$I$24</f>
        <v>0.0</v>
      </c>
      <c r="M29" s="7">
        <f>J29+K29+L29</f>
        <v>5100.745590365817</v>
      </c>
      <c r="N29" s="7">
        <f>C29*Parameters!$I$17+D29*Parameters!$I$18+E29*Parameters!$I$16+I29*Parameters!$I$25+G29*Parameters!$I$30</f>
        <v>498.2676351105515</v>
      </c>
      <c r="O29" s="7">
        <f>B29*Parameters!$I$19</f>
        <v>4000</v>
      </c>
      <c r="P29" s="7">
        <f>M29-N29-O29</f>
        <v>602.4779552552664</v>
      </c>
      <c r="Q29" s="7">
        <f>Parameters!$I$21</f>
        <v>1000</v>
      </c>
      <c r="R29" s="7">
        <f>P29-Q29</f>
        <v>-397.52204474473365</v>
      </c>
      <c r="S29" s="7">
        <f>IF(A29&lt;1+Parameters!$I$31,0,INDEX($M$5:$M$40,A29-Parameters!$I$31))</f>
        <v>4177.0750856022</v>
      </c>
      <c r="T29" s="7">
        <f>T28+M29-S29</f>
        <v>5100.745590365817</v>
      </c>
      <c r="U29" s="7">
        <f>S29-N29-O29-Q29</f>
        <v>-1321.192549508352</v>
      </c>
      <c r="V29" s="7">
        <f>V28+U29</f>
        <v>-49159.984852356574</v>
      </c>
      <c r="W29" s="7">
        <f>(1-Parameters!$I$7)*(C29-E29)+(1-Parameters!$I$8)*(D29+E29)</f>
        <v>1000.0</v>
      </c>
      <c r="X29" s="7">
        <f>Parameters!$I$7*(C29-E29)+Parameters!$I$8*Parameters!$I$9*(D29+E29)</f>
        <v>0.0</v>
      </c>
      <c r="Y29" s="7">
        <f>Parameters!$I$8*(1-Parameters!$I$9)*(D29+E29)</f>
        <v>0.0</v>
      </c>
      <c r="Z29" s="7">
        <f>POWER(1/(1+Parameters!$I$32),A29-1)*(M29-N29)</f>
        <v>3624.7557397734377</v>
      </c>
    </row>
    <row r="30" spans="1:26">
      <c r="A30" s="7">
        <v>26</v>
      </c>
      <c r="B30" s="7">
        <f>Parameters!$I$20</f>
        <v>1000</v>
      </c>
      <c r="C30" s="7">
        <f>X29+B30</f>
        <v>1000.0</v>
      </c>
      <c r="D30" s="7">
        <f>Y29</f>
        <v>0.0</v>
      </c>
      <c r="E30" s="7">
        <f>Parameters!$I$6*C30</f>
        <v>100.0</v>
      </c>
      <c r="F30" s="7">
        <f>IF(Parameters!$I$5=1,E30,0)</f>
        <v>100.0</v>
      </c>
      <c r="G30" s="7">
        <f>Parameters!$I$27*G29+F30</f>
        <v>2043.0228240834049</v>
      </c>
      <c r="H30" s="7">
        <f>IF(AND(Parameters!$I$5=1,Parameters!$I$26=1),SUMPRODUCT(--($A$5:A30&lt;A30),--(MOD(A30-$A$5:A30,Parameters!$I$28)=0),$F$5:F30,POWER(Parameters!$I$27,IF(A30-$A$5:A30=0,1,A30-$A$5:A30))),0)</f>
        <v>140.04970602438783</v>
      </c>
      <c r="I30" s="7">
        <f>Parameters!$I$23*I29+B30*Parameters!$I$22</f>
        <v>0.0</v>
      </c>
      <c r="J30" s="7">
        <f>E30*Parameters!$I$14*(1-Parameters!$I$15)</f>
        <v>3000.0</v>
      </c>
      <c r="K30" s="7">
        <f>H30*Parameters!$I$29</f>
        <v>2100.7455903658174</v>
      </c>
      <c r="L30" s="7">
        <f>I30*Parameters!$I$24</f>
        <v>0.0</v>
      </c>
      <c r="M30" s="7">
        <f>J30+K30+L30</f>
        <v>5100.745590365817</v>
      </c>
      <c r="N30" s="7">
        <f>C30*Parameters!$I$17+D30*Parameters!$I$18+E30*Parameters!$I$16+I30*Parameters!$I$25+G30*Parameters!$I$30</f>
        <v>504.3022824083405</v>
      </c>
      <c r="O30" s="7">
        <f>B30*Parameters!$I$19</f>
        <v>4000</v>
      </c>
      <c r="P30" s="7">
        <f>M30-N30-O30</f>
        <v>596.4433079574774</v>
      </c>
      <c r="Q30" s="7">
        <f>Parameters!$I$21</f>
        <v>1000</v>
      </c>
      <c r="R30" s="7">
        <f>P30-Q30</f>
        <v>-403.5566920425226</v>
      </c>
      <c r="S30" s="7">
        <f>IF(A30&lt;1+Parameters!$I$31,0,INDEX($M$5:$M$40,A30-Parameters!$I$31))</f>
        <v>5100.745590365817</v>
      </c>
      <c r="T30" s="7">
        <f>T29+M30-S30</f>
        <v>5100.745590365817</v>
      </c>
      <c r="U30" s="7">
        <f>S30-N30-O30-Q30</f>
        <v>-403.5566920425226</v>
      </c>
      <c r="V30" s="7">
        <f>V29+U30</f>
        <v>-49563.54154439909</v>
      </c>
      <c r="W30" s="7">
        <f>(1-Parameters!$I$7)*(C30-E30)+(1-Parameters!$I$8)*(D30+E30)</f>
        <v>1000.0</v>
      </c>
      <c r="X30" s="7">
        <f>Parameters!$I$7*(C30-E30)+Parameters!$I$8*Parameters!$I$9*(D30+E30)</f>
        <v>0.0</v>
      </c>
      <c r="Y30" s="7">
        <f>Parameters!$I$8*(1-Parameters!$I$9)*(D30+E30)</f>
        <v>0.0</v>
      </c>
      <c r="Z30" s="7">
        <f>POWER(1/(1+Parameters!$I$32),A30-1)*(M30-N30)</f>
        <v>3584.1614415551976</v>
      </c>
    </row>
    <row r="31" spans="1:26">
      <c r="A31" s="7">
        <v>27</v>
      </c>
      <c r="B31" s="7">
        <f>Parameters!$I$20</f>
        <v>1000</v>
      </c>
      <c r="C31" s="7">
        <f>X30+B31</f>
        <v>1000.0</v>
      </c>
      <c r="D31" s="7">
        <f>Y30</f>
        <v>0.0</v>
      </c>
      <c r="E31" s="7">
        <f>Parameters!$I$6*C31</f>
        <v>100.0</v>
      </c>
      <c r="F31" s="7">
        <f>IF(Parameters!$I$5=1,E31,0)</f>
        <v>100.0</v>
      </c>
      <c r="G31" s="7">
        <f>Parameters!$I$27*G30+F31</f>
        <v>2102.162367601737</v>
      </c>
      <c r="H31" s="7">
        <f>IF(AND(Parameters!$I$5=1,Parameters!$I$26=1),SUMPRODUCT(--($A$5:A31&lt;A31),--(MOD(A31-$A$5:A31,Parameters!$I$28)=0),$F$5:F31,POWER(Parameters!$I$27,IF(A31-$A$5:A31=0,1,A31-$A$5:A31))),0)</f>
        <v>140.04970602438783</v>
      </c>
      <c r="I31" s="7">
        <f>Parameters!$I$23*I30+B31*Parameters!$I$22</f>
        <v>0.0</v>
      </c>
      <c r="J31" s="7">
        <f>E31*Parameters!$I$14*(1-Parameters!$I$15)</f>
        <v>3000.0</v>
      </c>
      <c r="K31" s="7">
        <f>H31*Parameters!$I$29</f>
        <v>2100.7455903658174</v>
      </c>
      <c r="L31" s="7">
        <f>I31*Parameters!$I$24</f>
        <v>0.0</v>
      </c>
      <c r="M31" s="7">
        <f>J31+K31+L31</f>
        <v>5100.745590365817</v>
      </c>
      <c r="N31" s="7">
        <f>C31*Parameters!$I$17+D31*Parameters!$I$18+E31*Parameters!$I$16+I31*Parameters!$I$25+G31*Parameters!$I$30</f>
        <v>510.21623676017373</v>
      </c>
      <c r="O31" s="7">
        <f>B31*Parameters!$I$19</f>
        <v>4000</v>
      </c>
      <c r="P31" s="7">
        <f>M31-N31-O31</f>
        <v>590.5293536056433</v>
      </c>
      <c r="Q31" s="7">
        <f>Parameters!$I$21</f>
        <v>1000</v>
      </c>
      <c r="R31" s="7">
        <f>P31-Q31</f>
        <v>-409.47064639435666</v>
      </c>
      <c r="S31" s="7">
        <f>IF(A31&lt;1+Parameters!$I$31,0,INDEX($M$5:$M$40,A31-Parameters!$I$31))</f>
        <v>5100.745590365817</v>
      </c>
      <c r="T31" s="7">
        <f>T30+M31-S31</f>
        <v>5100.745590365817</v>
      </c>
      <c r="U31" s="7">
        <f>S31-N31-O31-Q31</f>
        <v>-409.47064639435666</v>
      </c>
      <c r="V31" s="7">
        <f>V30+U31</f>
        <v>-49973.01219079345</v>
      </c>
      <c r="W31" s="7">
        <f>(1-Parameters!$I$7)*(C31-E31)+(1-Parameters!$I$8)*(D31+E31)</f>
        <v>1000.0</v>
      </c>
      <c r="X31" s="7">
        <f>Parameters!$I$7*(C31-E31)+Parameters!$I$8*Parameters!$I$9*(D31+E31)</f>
        <v>0.0</v>
      </c>
      <c r="Y31" s="7">
        <f>Parameters!$I$8*(1-Parameters!$I$9)*(D31+E31)</f>
        <v>0.0</v>
      </c>
      <c r="Z31" s="7">
        <f>POWER(1/(1+Parameters!$I$32),A31-1)*(M31-N31)</f>
        <v>3544.108838196368</v>
      </c>
    </row>
    <row r="32" spans="1:26">
      <c r="A32" s="7">
        <v>28</v>
      </c>
      <c r="B32" s="7">
        <f>Parameters!$I$20</f>
        <v>1000</v>
      </c>
      <c r="C32" s="7">
        <f>X31+B32</f>
        <v>1000.0</v>
      </c>
      <c r="D32" s="7">
        <f>Y31</f>
        <v>0.0</v>
      </c>
      <c r="E32" s="7">
        <f>Parameters!$I$6*C32</f>
        <v>100.0</v>
      </c>
      <c r="F32" s="7">
        <f>IF(Parameters!$I$5=1,E32,0)</f>
        <v>100.0</v>
      </c>
      <c r="G32" s="7">
        <f>Parameters!$I$27*G31+F32</f>
        <v>2160.119120249702</v>
      </c>
      <c r="H32" s="7">
        <f>IF(AND(Parameters!$I$5=1,Parameters!$I$26=1),SUMPRODUCT(--($A$5:A32&lt;A32),--(MOD(A32-$A$5:A32,Parameters!$I$28)=0),$F$5:F32,POWER(Parameters!$I$27,IF(A32-$A$5:A32=0,1,A32-$A$5:A32))),0)</f>
        <v>140.04970602438783</v>
      </c>
      <c r="I32" s="7">
        <f>Parameters!$I$23*I31+B32*Parameters!$I$22</f>
        <v>0.0</v>
      </c>
      <c r="J32" s="7">
        <f>E32*Parameters!$I$14*(1-Parameters!$I$15)</f>
        <v>3000.0</v>
      </c>
      <c r="K32" s="7">
        <f>H32*Parameters!$I$29</f>
        <v>2100.7455903658174</v>
      </c>
      <c r="L32" s="7">
        <f>I32*Parameters!$I$24</f>
        <v>0.0</v>
      </c>
      <c r="M32" s="7">
        <f>J32+K32+L32</f>
        <v>5100.745590365817</v>
      </c>
      <c r="N32" s="7">
        <f>C32*Parameters!$I$17+D32*Parameters!$I$18+E32*Parameters!$I$16+I32*Parameters!$I$25+G32*Parameters!$I$30</f>
        <v>516.0119120249702</v>
      </c>
      <c r="O32" s="7">
        <f>B32*Parameters!$I$19</f>
        <v>4000</v>
      </c>
      <c r="P32" s="7">
        <f>M32-N32-O32</f>
        <v>584.7336783408473</v>
      </c>
      <c r="Q32" s="7">
        <f>Parameters!$I$21</f>
        <v>1000</v>
      </c>
      <c r="R32" s="7">
        <f>P32-Q32</f>
        <v>-415.2663216591527</v>
      </c>
      <c r="S32" s="7">
        <f>IF(A32&lt;1+Parameters!$I$31,0,INDEX($M$5:$M$40,A32-Parameters!$I$31))</f>
        <v>5100.745590365817</v>
      </c>
      <c r="T32" s="7">
        <f>T31+M32-S32</f>
        <v>5100.745590365817</v>
      </c>
      <c r="U32" s="7">
        <f>S32-N32-O32-Q32</f>
        <v>-415.2663216591527</v>
      </c>
      <c r="V32" s="7">
        <f>V31+U32</f>
        <v>-50388.278512452605</v>
      </c>
      <c r="W32" s="7">
        <f>(1-Parameters!$I$7)*(C32-E32)+(1-Parameters!$I$8)*(D32+E32)</f>
        <v>1000.0</v>
      </c>
      <c r="X32" s="7">
        <f>Parameters!$I$7*(C32-E32)+Parameters!$I$8*Parameters!$I$9*(D32+E32)</f>
        <v>0.0</v>
      </c>
      <c r="Y32" s="7">
        <f>Parameters!$I$8*(1-Parameters!$I$9)*(D32+E32)</f>
        <v>0.0</v>
      </c>
      <c r="Z32" s="7">
        <f>POWER(1/(1+Parameters!$I$32),A32-1)*(M32-N32)</f>
        <v>3504.5884147642428</v>
      </c>
    </row>
    <row r="33" spans="1:26">
      <c r="A33" s="7">
        <v>29</v>
      </c>
      <c r="B33" s="7">
        <f>Parameters!$I$20</f>
        <v>1000</v>
      </c>
      <c r="C33" s="7">
        <f>X32+B33</f>
        <v>1000.0</v>
      </c>
      <c r="D33" s="7">
        <f>Y32</f>
        <v>0.0</v>
      </c>
      <c r="E33" s="7">
        <f>Parameters!$I$6*C33</f>
        <v>100.0</v>
      </c>
      <c r="F33" s="7">
        <f>IF(Parameters!$I$5=1,E33,0)</f>
        <v>100.0</v>
      </c>
      <c r="G33" s="7">
        <f>Parameters!$I$27*G32+F33</f>
        <v>2216.9167378447078</v>
      </c>
      <c r="H33" s="7">
        <f>IF(AND(Parameters!$I$5=1,Parameters!$I$26=1),SUMPRODUCT(--($A$5:A33&lt;A33),--(MOD(A33-$A$5:A33,Parameters!$I$28)=0),$F$5:F33,POWER(Parameters!$I$27,IF(A33-$A$5:A33=0,1,A33-$A$5:A33))),0)</f>
        <v>140.04970602438783</v>
      </c>
      <c r="I33" s="7">
        <f>Parameters!$I$23*I32+B33*Parameters!$I$22</f>
        <v>0.0</v>
      </c>
      <c r="J33" s="7">
        <f>E33*Parameters!$I$14*(1-Parameters!$I$15)</f>
        <v>3000.0</v>
      </c>
      <c r="K33" s="7">
        <f>H33*Parameters!$I$29</f>
        <v>2100.7455903658174</v>
      </c>
      <c r="L33" s="7">
        <f>I33*Parameters!$I$24</f>
        <v>0.0</v>
      </c>
      <c r="M33" s="7">
        <f>J33+K33+L33</f>
        <v>5100.745590365817</v>
      </c>
      <c r="N33" s="7">
        <f>C33*Parameters!$I$17+D33*Parameters!$I$18+E33*Parameters!$I$16+I33*Parameters!$I$25+G33*Parameters!$I$30</f>
        <v>521.6916737844708</v>
      </c>
      <c r="O33" s="7">
        <f>B33*Parameters!$I$19</f>
        <v>4000</v>
      </c>
      <c r="P33" s="7">
        <f>M33-N33-O33</f>
        <v>579.0539165813461</v>
      </c>
      <c r="Q33" s="7">
        <f>Parameters!$I$21</f>
        <v>1000</v>
      </c>
      <c r="R33" s="7">
        <f>P33-Q33</f>
        <v>-420.94608341865387</v>
      </c>
      <c r="S33" s="7">
        <f>IF(A33&lt;1+Parameters!$I$31,0,INDEX($M$5:$M$40,A33-Parameters!$I$31))</f>
        <v>5100.745590365817</v>
      </c>
      <c r="T33" s="7">
        <f>T32+M33-S33</f>
        <v>5100.745590365817</v>
      </c>
      <c r="U33" s="7">
        <f>S33-N33-O33-Q33</f>
        <v>-420.94608341865387</v>
      </c>
      <c r="V33" s="7">
        <f>V32+U33</f>
        <v>-50809.22459587126</v>
      </c>
      <c r="W33" s="7">
        <f>(1-Parameters!$I$7)*(C33-E33)+(1-Parameters!$I$8)*(D33+E33)</f>
        <v>1000.0</v>
      </c>
      <c r="X33" s="7">
        <f>Parameters!$I$7*(C33-E33)+Parameters!$I$8*Parameters!$I$9*(D33+E33)</f>
        <v>0.0</v>
      </c>
      <c r="Y33" s="7">
        <f>Parameters!$I$8*(1-Parameters!$I$9)*(D33+E33)</f>
        <v>0.0</v>
      </c>
      <c r="Z33" s="7">
        <f>POWER(1/(1+Parameters!$I$32),A33-1)*(M33-N33)</f>
        <v>3465.590873848732</v>
      </c>
    </row>
    <row r="34" spans="1:26">
      <c r="A34" s="7">
        <v>30</v>
      </c>
      <c r="B34" s="7">
        <f>Parameters!$I$20</f>
        <v>1000</v>
      </c>
      <c r="C34" s="7">
        <f>X33+B34</f>
        <v>1000.0</v>
      </c>
      <c r="D34" s="7">
        <f>Y33</f>
        <v>0.0</v>
      </c>
      <c r="E34" s="7">
        <f>Parameters!$I$6*C34</f>
        <v>100.0</v>
      </c>
      <c r="F34" s="7">
        <f>IF(Parameters!$I$5=1,E34,0)</f>
        <v>100.0</v>
      </c>
      <c r="G34" s="7">
        <f>Parameters!$I$27*G33+F34</f>
        <v>2272.5784030878135</v>
      </c>
      <c r="H34" s="7">
        <f>IF(AND(Parameters!$I$5=1,Parameters!$I$26=1),SUMPRODUCT(--($A$5:A34&lt;A34),--(MOD(A34-$A$5:A34,Parameters!$I$28)=0),$F$5:F34,POWER(Parameters!$I$27,IF(A34-$A$5:A34=0,1,A34-$A$5:A34))),0)</f>
        <v>140.04970602438783</v>
      </c>
      <c r="I34" s="7">
        <f>Parameters!$I$23*I33+B34*Parameters!$I$22</f>
        <v>0.0</v>
      </c>
      <c r="J34" s="7">
        <f>E34*Parameters!$I$14*(1-Parameters!$I$15)</f>
        <v>3000.0</v>
      </c>
      <c r="K34" s="7">
        <f>H34*Parameters!$I$29</f>
        <v>2100.7455903658174</v>
      </c>
      <c r="L34" s="7">
        <f>I34*Parameters!$I$24</f>
        <v>0.0</v>
      </c>
      <c r="M34" s="7">
        <f>J34+K34+L34</f>
        <v>5100.745590365817</v>
      </c>
      <c r="N34" s="7">
        <f>C34*Parameters!$I$17+D34*Parameters!$I$18+E34*Parameters!$I$16+I34*Parameters!$I$25+G34*Parameters!$I$30</f>
        <v>527.2578403087814</v>
      </c>
      <c r="O34" s="7">
        <f>B34*Parameters!$I$19</f>
        <v>4000</v>
      </c>
      <c r="P34" s="7">
        <f>M34-N34-O34</f>
        <v>573.4877500570365</v>
      </c>
      <c r="Q34" s="7">
        <f>Parameters!$I$21</f>
        <v>1000</v>
      </c>
      <c r="R34" s="7">
        <f>P34-Q34</f>
        <v>-426.51224994296354</v>
      </c>
      <c r="S34" s="7">
        <f>IF(A34&lt;1+Parameters!$I$31,0,INDEX($M$5:$M$40,A34-Parameters!$I$31))</f>
        <v>5100.745590365817</v>
      </c>
      <c r="T34" s="7">
        <f>T33+M34-S34</f>
        <v>5100.745590365817</v>
      </c>
      <c r="U34" s="7">
        <f>S34-N34-O34-Q34</f>
        <v>-426.51224994296354</v>
      </c>
      <c r="V34" s="7">
        <f>V33+U34</f>
        <v>-51235.73684581422</v>
      </c>
      <c r="W34" s="7">
        <f>(1-Parameters!$I$7)*(C34-E34)+(1-Parameters!$I$8)*(D34+E34)</f>
        <v>1000.0</v>
      </c>
      <c r="X34" s="7">
        <f>Parameters!$I$7*(C34-E34)+Parameters!$I$8*Parameters!$I$9*(D34+E34)</f>
        <v>0.0</v>
      </c>
      <c r="Y34" s="7">
        <f>Parameters!$I$8*(1-Parameters!$I$9)*(D34+E34)</f>
        <v>0.0</v>
      </c>
      <c r="Z34" s="7">
        <f>POWER(1/(1+Parameters!$I$32),A34-1)*(M34-N34)</f>
        <v>3427.1071297458457</v>
      </c>
    </row>
    <row r="35" spans="1:26">
      <c r="A35" s="7">
        <v>31</v>
      </c>
      <c r="B35" s="7">
        <f>Parameters!$I$20</f>
        <v>1000</v>
      </c>
      <c r="C35" s="7">
        <f>X34+B35</f>
        <v>1000.0</v>
      </c>
      <c r="D35" s="7">
        <f>Y34</f>
        <v>0.0</v>
      </c>
      <c r="E35" s="7">
        <f>Parameters!$I$6*C35</f>
        <v>100.0</v>
      </c>
      <c r="F35" s="7">
        <f>IF(Parameters!$I$5=1,E35,0)</f>
        <v>100.0</v>
      </c>
      <c r="G35" s="7">
        <f>Parameters!$I$27*G34+F35</f>
        <v>2327.126835026057</v>
      </c>
      <c r="H35" s="7">
        <f>IF(AND(Parameters!$I$5=1,Parameters!$I$26=1),SUMPRODUCT(--($A$5:A35&lt;A35),--(MOD(A35-$A$5:A35,Parameters!$I$28)=0),$F$5:F35,POWER(Parameters!$I$27,IF(A35-$A$5:A35=0,1,A35-$A$5:A35))),0)</f>
        <v>140.04970602438783</v>
      </c>
      <c r="I35" s="7">
        <f>Parameters!$I$23*I34+B35*Parameters!$I$22</f>
        <v>0.0</v>
      </c>
      <c r="J35" s="7">
        <f>E35*Parameters!$I$14*(1-Parameters!$I$15)</f>
        <v>3000.0</v>
      </c>
      <c r="K35" s="7">
        <f>H35*Parameters!$I$29</f>
        <v>2100.7455903658174</v>
      </c>
      <c r="L35" s="7">
        <f>I35*Parameters!$I$24</f>
        <v>0.0</v>
      </c>
      <c r="M35" s="7">
        <f>J35+K35+L35</f>
        <v>5100.745590365817</v>
      </c>
      <c r="N35" s="7">
        <f>C35*Parameters!$I$17+D35*Parameters!$I$18+E35*Parameters!$I$16+I35*Parameters!$I$25+G35*Parameters!$I$30</f>
        <v>532.7126835026057</v>
      </c>
      <c r="O35" s="7">
        <f>B35*Parameters!$I$19</f>
        <v>4000</v>
      </c>
      <c r="P35" s="7">
        <f>M35-N35-O35</f>
        <v>568.0329068632118</v>
      </c>
      <c r="Q35" s="7">
        <f>Parameters!$I$21</f>
        <v>1000</v>
      </c>
      <c r="R35" s="7">
        <f>P35-Q35</f>
        <v>-431.9670931367882</v>
      </c>
      <c r="S35" s="7">
        <f>IF(A35&lt;1+Parameters!$I$31,0,INDEX($M$5:$M$40,A35-Parameters!$I$31))</f>
        <v>5100.745590365817</v>
      </c>
      <c r="T35" s="7">
        <f>T34+M35-S35</f>
        <v>5100.745590365817</v>
      </c>
      <c r="U35" s="7">
        <f>S35-N35-O35-Q35</f>
        <v>-431.9670931367882</v>
      </c>
      <c r="V35" s="7">
        <f>V34+U35</f>
        <v>-51667.70393895101</v>
      </c>
      <c r="W35" s="7">
        <f>(1-Parameters!$I$7)*(C35-E35)+(1-Parameters!$I$8)*(D35+E35)</f>
        <v>1000.0</v>
      </c>
      <c r="X35" s="7">
        <f>Parameters!$I$7*(C35-E35)+Parameters!$I$8*Parameters!$I$9*(D35+E35)</f>
        <v>0.0</v>
      </c>
      <c r="Y35" s="7">
        <f>Parameters!$I$8*(1-Parameters!$I$9)*(D35+E35)</f>
        <v>0.0</v>
      </c>
      <c r="Z35" s="7">
        <f>POWER(1/(1+Parameters!$I$32),A35-1)*(M35-N35)</f>
        <v>3389.128302807552</v>
      </c>
    </row>
    <row r="36" spans="1:26">
      <c r="A36" s="7">
        <v>32</v>
      </c>
      <c r="B36" s="7">
        <f>Parameters!$I$20</f>
        <v>1000</v>
      </c>
      <c r="C36" s="7">
        <f>X35+B36</f>
        <v>1000.0</v>
      </c>
      <c r="D36" s="7">
        <f>Y35</f>
        <v>0.0</v>
      </c>
      <c r="E36" s="7">
        <f>Parameters!$I$6*C36</f>
        <v>100.0</v>
      </c>
      <c r="F36" s="7">
        <f>IF(Parameters!$I$5=1,E36,0)</f>
        <v>100.0</v>
      </c>
      <c r="G36" s="7">
        <f>Parameters!$I$27*G35+F36</f>
        <v>2380.5842983255357</v>
      </c>
      <c r="H36" s="7">
        <f>IF(AND(Parameters!$I$5=1,Parameters!$I$26=1),SUMPRODUCT(--($A$5:A36&lt;A36),--(MOD(A36-$A$5:A36,Parameters!$I$28)=0),$F$5:F36,POWER(Parameters!$I$27,IF(A36-$A$5:A36=0,1,A36-$A$5:A36))),0)</f>
        <v>140.04970602438783</v>
      </c>
      <c r="I36" s="7">
        <f>Parameters!$I$23*I35+B36*Parameters!$I$22</f>
        <v>0.0</v>
      </c>
      <c r="J36" s="7">
        <f>E36*Parameters!$I$14*(1-Parameters!$I$15)</f>
        <v>3000.0</v>
      </c>
      <c r="K36" s="7">
        <f>H36*Parameters!$I$29</f>
        <v>2100.7455903658174</v>
      </c>
      <c r="L36" s="7">
        <f>I36*Parameters!$I$24</f>
        <v>0.0</v>
      </c>
      <c r="M36" s="7">
        <f>J36+K36+L36</f>
        <v>5100.745590365817</v>
      </c>
      <c r="N36" s="7">
        <f>C36*Parameters!$I$17+D36*Parameters!$I$18+E36*Parameters!$I$16+I36*Parameters!$I$25+G36*Parameters!$I$30</f>
        <v>538.0584298325535</v>
      </c>
      <c r="O36" s="7">
        <f>B36*Parameters!$I$19</f>
        <v>4000</v>
      </c>
      <c r="P36" s="7">
        <f>M36-N36-O36</f>
        <v>562.6871605332635</v>
      </c>
      <c r="Q36" s="7">
        <f>Parameters!$I$21</f>
        <v>1000</v>
      </c>
      <c r="R36" s="7">
        <f>P36-Q36</f>
        <v>-437.3128394667365</v>
      </c>
      <c r="S36" s="7">
        <f>IF(A36&lt;1+Parameters!$I$31,0,INDEX($M$5:$M$40,A36-Parameters!$I$31))</f>
        <v>5100.745590365817</v>
      </c>
      <c r="T36" s="7">
        <f>T35+M36-S36</f>
        <v>5100.745590365817</v>
      </c>
      <c r="U36" s="7">
        <f>S36-N36-O36-Q36</f>
        <v>-437.3128394667365</v>
      </c>
      <c r="V36" s="7">
        <f>V35+U36</f>
        <v>-52105.01677841775</v>
      </c>
      <c r="W36" s="7">
        <f>(1-Parameters!$I$7)*(C36-E36)+(1-Parameters!$I$8)*(D36+E36)</f>
        <v>1000.0</v>
      </c>
      <c r="X36" s="7">
        <f>Parameters!$I$7*(C36-E36)+Parameters!$I$8*Parameters!$I$9*(D36+E36)</f>
        <v>0.0</v>
      </c>
      <c r="Y36" s="7">
        <f>Parameters!$I$8*(1-Parameters!$I$9)*(D36+E36)</f>
        <v>0.0</v>
      </c>
      <c r="Z36" s="7">
        <f>POWER(1/(1+Parameters!$I$32),A36-1)*(M36-N36)</f>
        <v>3351.645713953156</v>
      </c>
    </row>
    <row r="37" spans="1:26">
      <c r="A37" s="7">
        <v>33</v>
      </c>
      <c r="B37" s="7">
        <f>Parameters!$I$20</f>
        <v>1000</v>
      </c>
      <c r="C37" s="7">
        <f>X36+B37</f>
        <v>1000.0</v>
      </c>
      <c r="D37" s="7">
        <f>Y36</f>
        <v>0.0</v>
      </c>
      <c r="E37" s="7">
        <f>Parameters!$I$6*C37</f>
        <v>100.0</v>
      </c>
      <c r="F37" s="7">
        <f>IF(Parameters!$I$5=1,E37,0)</f>
        <v>100.0</v>
      </c>
      <c r="G37" s="7">
        <f>Parameters!$I$27*G36+F37</f>
        <v>2432.972612359025</v>
      </c>
      <c r="H37" s="7">
        <f>IF(AND(Parameters!$I$5=1,Parameters!$I$26=1),SUMPRODUCT(--($A$5:A37&lt;A37),--(MOD(A37-$A$5:A37,Parameters!$I$28)=0),$F$5:F37,POWER(Parameters!$I$27,IF(A37-$A$5:A37=0,1,A37-$A$5:A37))),0)</f>
        <v>140.04970602438783</v>
      </c>
      <c r="I37" s="7">
        <f>Parameters!$I$23*I36+B37*Parameters!$I$22</f>
        <v>0.0</v>
      </c>
      <c r="J37" s="7">
        <f>E37*Parameters!$I$14*(1-Parameters!$I$15)</f>
        <v>3000.0</v>
      </c>
      <c r="K37" s="7">
        <f>H37*Parameters!$I$29</f>
        <v>2100.7455903658174</v>
      </c>
      <c r="L37" s="7">
        <f>I37*Parameters!$I$24</f>
        <v>0.0</v>
      </c>
      <c r="M37" s="7">
        <f>J37+K37+L37</f>
        <v>5100.745590365817</v>
      </c>
      <c r="N37" s="7">
        <f>C37*Parameters!$I$17+D37*Parameters!$I$18+E37*Parameters!$I$16+I37*Parameters!$I$25+G37*Parameters!$I$30</f>
        <v>543.2972612359025</v>
      </c>
      <c r="O37" s="7">
        <f>B37*Parameters!$I$19</f>
        <v>4000</v>
      </c>
      <c r="P37" s="7">
        <f>M37-N37-O37</f>
        <v>557.4483291299148</v>
      </c>
      <c r="Q37" s="7">
        <f>Parameters!$I$21</f>
        <v>1000</v>
      </c>
      <c r="R37" s="7">
        <f>P37-Q37</f>
        <v>-442.5516708700852</v>
      </c>
      <c r="S37" s="7">
        <f>IF(A37&lt;1+Parameters!$I$31,0,INDEX($M$5:$M$40,A37-Parameters!$I$31))</f>
        <v>5100.745590365817</v>
      </c>
      <c r="T37" s="7">
        <f>T36+M37-S37</f>
        <v>5100.745590365817</v>
      </c>
      <c r="U37" s="7">
        <f>S37-N37-O37-Q37</f>
        <v>-442.5516708700852</v>
      </c>
      <c r="V37" s="7">
        <f>V36+U37</f>
        <v>-52547.568449287835</v>
      </c>
      <c r="W37" s="7">
        <f>(1-Parameters!$I$7)*(C37-E37)+(1-Parameters!$I$8)*(D37+E37)</f>
        <v>1000.0</v>
      </c>
      <c r="X37" s="7">
        <f>Parameters!$I$7*(C37-E37)+Parameters!$I$8*Parameters!$I$9*(D37+E37)</f>
        <v>0.0</v>
      </c>
      <c r="Y37" s="7">
        <f>Parameters!$I$8*(1-Parameters!$I$9)*(D37+E37)</f>
        <v>0.0</v>
      </c>
      <c r="Z37" s="7">
        <f>POWER(1/(1+Parameters!$I$32),A37-1)*(M37-N37)</f>
        <v>3314.6508793374373</v>
      </c>
    </row>
    <row r="38" spans="1:26">
      <c r="A38" s="7">
        <v>34</v>
      </c>
      <c r="B38" s="7">
        <f>Parameters!$I$20</f>
        <v>1000</v>
      </c>
      <c r="C38" s="7">
        <f>X37+B38</f>
        <v>1000.0</v>
      </c>
      <c r="D38" s="7">
        <f>Y37</f>
        <v>0.0</v>
      </c>
      <c r="E38" s="7">
        <f>Parameters!$I$6*C38</f>
        <v>100.0</v>
      </c>
      <c r="F38" s="7">
        <f>IF(Parameters!$I$5=1,E38,0)</f>
        <v>100.0</v>
      </c>
      <c r="G38" s="7">
        <f>Parameters!$I$27*G37+F38</f>
        <v>2484.3131601118444</v>
      </c>
      <c r="H38" s="7">
        <f>IF(AND(Parameters!$I$5=1,Parameters!$I$26=1),SUMPRODUCT(--($A$5:A38&lt;A38),--(MOD(A38-$A$5:A38,Parameters!$I$28)=0),$F$5:F38,POWER(Parameters!$I$27,IF(A38-$A$5:A38=0,1,A38-$A$5:A38))),0)</f>
        <v>140.04970602438783</v>
      </c>
      <c r="I38" s="7">
        <f>Parameters!$I$23*I37+B38*Parameters!$I$22</f>
        <v>0.0</v>
      </c>
      <c r="J38" s="7">
        <f>E38*Parameters!$I$14*(1-Parameters!$I$15)</f>
        <v>3000.0</v>
      </c>
      <c r="K38" s="7">
        <f>H38*Parameters!$I$29</f>
        <v>2100.7455903658174</v>
      </c>
      <c r="L38" s="7">
        <f>I38*Parameters!$I$24</f>
        <v>0.0</v>
      </c>
      <c r="M38" s="7">
        <f>J38+K38+L38</f>
        <v>5100.745590365817</v>
      </c>
      <c r="N38" s="7">
        <f>C38*Parameters!$I$17+D38*Parameters!$I$18+E38*Parameters!$I$16+I38*Parameters!$I$25+G38*Parameters!$I$30</f>
        <v>548.4313160111844</v>
      </c>
      <c r="O38" s="7">
        <f>B38*Parameters!$I$19</f>
        <v>4000</v>
      </c>
      <c r="P38" s="7">
        <f>M38-N38-O38</f>
        <v>552.3142743546332</v>
      </c>
      <c r="Q38" s="7">
        <f>Parameters!$I$21</f>
        <v>1000</v>
      </c>
      <c r="R38" s="7">
        <f>P38-Q38</f>
        <v>-447.6857256453668</v>
      </c>
      <c r="S38" s="7">
        <f>IF(A38&lt;1+Parameters!$I$31,0,INDEX($M$5:$M$40,A38-Parameters!$I$31))</f>
        <v>5100.745590365817</v>
      </c>
      <c r="T38" s="7">
        <f>T37+M38-S38</f>
        <v>5100.745590365817</v>
      </c>
      <c r="U38" s="7">
        <f>S38-N38-O38-Q38</f>
        <v>-447.6857256453668</v>
      </c>
      <c r="V38" s="7">
        <f>V37+U38</f>
        <v>-52995.2541749332</v>
      </c>
      <c r="W38" s="7">
        <f>(1-Parameters!$I$7)*(C38-E38)+(1-Parameters!$I$8)*(D38+E38)</f>
        <v>1000.0</v>
      </c>
      <c r="X38" s="7">
        <f>Parameters!$I$7*(C38-E38)+Parameters!$I$8*Parameters!$I$9*(D38+E38)</f>
        <v>0.0</v>
      </c>
      <c r="Y38" s="7">
        <f>Parameters!$I$8*(1-Parameters!$I$9)*(D38+E38)</f>
        <v>0.0</v>
      </c>
      <c r="Z38" s="7">
        <f>POWER(1/(1+Parameters!$I$32),A38-1)*(M38-N38)</f>
        <v>3278.1355051709784</v>
      </c>
    </row>
    <row r="39" spans="1:26">
      <c r="A39" s="7">
        <v>35</v>
      </c>
      <c r="B39" s="7">
        <f>Parameters!$I$20</f>
        <v>1000</v>
      </c>
      <c r="C39" s="7">
        <f>X38+B39</f>
        <v>1000.0</v>
      </c>
      <c r="D39" s="7">
        <f>Y38</f>
        <v>0.0</v>
      </c>
      <c r="E39" s="7">
        <f>Parameters!$I$6*C39</f>
        <v>100.0</v>
      </c>
      <c r="F39" s="7">
        <f>IF(Parameters!$I$5=1,E39,0)</f>
        <v>100.0</v>
      </c>
      <c r="G39" s="7">
        <f>Parameters!$I$27*G38+F39</f>
        <v>2534.6268969096072</v>
      </c>
      <c r="H39" s="7">
        <f>IF(AND(Parameters!$I$5=1,Parameters!$I$26=1),SUMPRODUCT(--($A$5:A39&lt;A39),--(MOD(A39-$A$5:A39,Parameters!$I$28)=0),$F$5:F39,POWER(Parameters!$I$27,IF(A39-$A$5:A39=0,1,A39-$A$5:A39))),0)</f>
        <v>140.04970602438783</v>
      </c>
      <c r="I39" s="7">
        <f>Parameters!$I$23*I38+B39*Parameters!$I$22</f>
        <v>0.0</v>
      </c>
      <c r="J39" s="7">
        <f>E39*Parameters!$I$14*(1-Parameters!$I$15)</f>
        <v>3000.0</v>
      </c>
      <c r="K39" s="7">
        <f>H39*Parameters!$I$29</f>
        <v>2100.7455903658174</v>
      </c>
      <c r="L39" s="7">
        <f>I39*Parameters!$I$24</f>
        <v>0.0</v>
      </c>
      <c r="M39" s="7">
        <f>J39+K39+L39</f>
        <v>5100.745590365817</v>
      </c>
      <c r="N39" s="7">
        <f>C39*Parameters!$I$17+D39*Parameters!$I$18+E39*Parameters!$I$16+I39*Parameters!$I$25+G39*Parameters!$I$30</f>
        <v>553.4626896909607</v>
      </c>
      <c r="O39" s="7">
        <f>B39*Parameters!$I$19</f>
        <v>4000</v>
      </c>
      <c r="P39" s="7">
        <f>M39-N39-O39</f>
        <v>547.282900674857</v>
      </c>
      <c r="Q39" s="7">
        <f>Parameters!$I$21</f>
        <v>1000</v>
      </c>
      <c r="R39" s="7">
        <f>P39-Q39</f>
        <v>-452.71709932514295</v>
      </c>
      <c r="S39" s="7">
        <f>IF(A39&lt;1+Parameters!$I$31,0,INDEX($M$5:$M$40,A39-Parameters!$I$31))</f>
        <v>5100.745590365817</v>
      </c>
      <c r="T39" s="7">
        <f>T38+M39-S39</f>
        <v>5100.745590365817</v>
      </c>
      <c r="U39" s="7">
        <f>S39-N39-O39-Q39</f>
        <v>-452.71709932514295</v>
      </c>
      <c r="V39" s="7">
        <f>V38+U39</f>
        <v>-53447.97127425834</v>
      </c>
      <c r="W39" s="7">
        <f>(1-Parameters!$I$7)*(C39-E39)+(1-Parameters!$I$8)*(D39+E39)</f>
        <v>1000.0</v>
      </c>
      <c r="X39" s="7">
        <f>Parameters!$I$7*(C39-E39)+Parameters!$I$8*Parameters!$I$9*(D39+E39)</f>
        <v>0.0</v>
      </c>
      <c r="Y39" s="7">
        <f>Parameters!$I$8*(1-Parameters!$I$9)*(D39+E39)</f>
        <v>0.0</v>
      </c>
      <c r="Z39" s="7">
        <f>POWER(1/(1+Parameters!$I$32),A39-1)*(M39-N39)</f>
        <v>3242.0914826882004</v>
      </c>
    </row>
    <row r="40" spans="1:26">
      <c r="A40" s="7">
        <v>36</v>
      </c>
      <c r="B40" s="7">
        <f>Parameters!$I$20</f>
        <v>1000</v>
      </c>
      <c r="C40" s="7">
        <f>X39+B40</f>
        <v>1000.0</v>
      </c>
      <c r="D40" s="7">
        <f>Y39</f>
        <v>0.0</v>
      </c>
      <c r="E40" s="7">
        <f>Parameters!$I$6*C40</f>
        <v>100.0</v>
      </c>
      <c r="F40" s="7">
        <f>IF(Parameters!$I$5=1,E40,0)</f>
        <v>100.0</v>
      </c>
      <c r="G40" s="7">
        <f>Parameters!$I$27*G39+F40</f>
        <v>2583.934358971415</v>
      </c>
      <c r="H40" s="7">
        <f>IF(AND(Parameters!$I$5=1,Parameters!$I$26=1),SUMPRODUCT(--($A$5:A40&lt;A40),--(MOD(A40-$A$5:A40,Parameters!$I$28)=0),$F$5:F40,POWER(Parameters!$I$27,IF(A40-$A$5:A40=0,1,A40-$A$5:A40))),0)</f>
        <v>140.04970602438783</v>
      </c>
      <c r="I40" s="7">
        <f>Parameters!$I$23*I39+B40*Parameters!$I$22</f>
        <v>0.0</v>
      </c>
      <c r="J40" s="7">
        <f>E40*Parameters!$I$14*(1-Parameters!$I$15)</f>
        <v>3000.0</v>
      </c>
      <c r="K40" s="7">
        <f>H40*Parameters!$I$29</f>
        <v>2100.7455903658174</v>
      </c>
      <c r="L40" s="7">
        <f>I40*Parameters!$I$24</f>
        <v>0.0</v>
      </c>
      <c r="M40" s="7">
        <f>J40+K40+L40</f>
        <v>5100.745590365817</v>
      </c>
      <c r="N40" s="7">
        <f>C40*Parameters!$I$17+D40*Parameters!$I$18+E40*Parameters!$I$16+I40*Parameters!$I$25+G40*Parameters!$I$30</f>
        <v>558.3934358971414</v>
      </c>
      <c r="O40" s="7">
        <f>B40*Parameters!$I$19</f>
        <v>4000</v>
      </c>
      <c r="P40" s="7">
        <f>M40-N40-O40</f>
        <v>542.3521544686755</v>
      </c>
      <c r="Q40" s="7">
        <f>Parameters!$I$21</f>
        <v>1000</v>
      </c>
      <c r="R40" s="7">
        <f>P40-Q40</f>
        <v>-457.6478455313245</v>
      </c>
      <c r="S40" s="7">
        <f>IF(A40&lt;1+Parameters!$I$31,0,INDEX($M$5:$M$40,A40-Parameters!$I$31))</f>
        <v>5100.745590365817</v>
      </c>
      <c r="T40" s="7">
        <f>T39+M40-S40</f>
        <v>5100.745590365817</v>
      </c>
      <c r="U40" s="7">
        <f>S40-N40-O40-Q40</f>
        <v>-457.6478455313245</v>
      </c>
      <c r="V40" s="7">
        <f>V39+U40</f>
        <v>-53905.61911978967</v>
      </c>
      <c r="W40" s="7">
        <f>(1-Parameters!$I$7)*(C40-E40)+(1-Parameters!$I$8)*(D40+E40)</f>
        <v>1000.0</v>
      </c>
      <c r="X40" s="7">
        <f>Parameters!$I$7*(C40-E40)+Parameters!$I$8*Parameters!$I$9*(D40+E40)</f>
        <v>0.0</v>
      </c>
      <c r="Y40" s="7">
        <f>Parameters!$I$8*(1-Parameters!$I$9)*(D40+E40)</f>
        <v>0.0</v>
      </c>
      <c r="Z40" s="7">
        <f>POWER(1/(1+Parameters!$I$32),A40-1)*(M40-N40)</f>
        <v>3206.5108832588026</v>
      </c>
    </row>
    <row r="43" spans="1:26">
      <c r="A43" s="1" t="s">
        <v>185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160</v>
      </c>
      <c r="B44" s="4" t="s">
        <v>161</v>
      </c>
      <c r="C44" s="4" t="s">
        <v>162</v>
      </c>
      <c r="D44" s="4" t="s">
        <v>163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4" t="s">
        <v>169</v>
      </c>
      <c r="K44" s="4" t="s">
        <v>170</v>
      </c>
      <c r="L44" s="4" t="s">
        <v>171</v>
      </c>
      <c r="M44" s="4" t="s">
        <v>172</v>
      </c>
      <c r="N44" s="4" t="s">
        <v>173</v>
      </c>
      <c r="O44" s="4" t="s">
        <v>95</v>
      </c>
      <c r="P44" s="4" t="s">
        <v>174</v>
      </c>
      <c r="Q44" s="4" t="s">
        <v>175</v>
      </c>
      <c r="R44" s="4" t="s">
        <v>176</v>
      </c>
      <c r="S44" s="4" t="s">
        <v>177</v>
      </c>
      <c r="T44" s="4" t="s">
        <v>178</v>
      </c>
      <c r="U44" s="4" t="s">
        <v>179</v>
      </c>
      <c r="V44" s="4" t="s">
        <v>180</v>
      </c>
      <c r="W44" s="4" t="s">
        <v>181</v>
      </c>
      <c r="X44" s="4" t="s">
        <v>182</v>
      </c>
      <c r="Y44" s="4" t="s">
        <v>183</v>
      </c>
      <c r="Z44" s="4" t="s">
        <v>184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Parameters!$I$6*C45</f>
        <v>0.1</v>
      </c>
      <c r="F45" s="7">
        <f>IF(Parameters!$I$5=1,E45,0)</f>
        <v>0.1</v>
      </c>
      <c r="G45" s="7">
        <f>F45</f>
        <v>0.1</v>
      </c>
      <c r="H45" s="7">
        <f>IF(AND(Parameters!$I$5=1,Parameters!$I$26=1),SUMPRODUCT(--($A$45:A45&lt;A45),--(MOD(A45-$A$45:A45,Parameters!$I$28)=0),$F$45:F45,POWER(Parameters!$I$27,IF(A45-$A$45:A45=0,1,A45-$A$45:A45))),0)</f>
        <v>0</v>
      </c>
      <c r="I45" s="7">
        <f>B45*Parameters!$I$22</f>
        <v>0.0</v>
      </c>
      <c r="J45" s="7">
        <f>E45*Parameters!$I$14*(1-Parameters!$I$15)</f>
        <v>3.0</v>
      </c>
      <c r="K45" s="7">
        <f>H45*Parameters!$I$29</f>
        <v>0</v>
      </c>
      <c r="L45" s="7">
        <f>I45*Parameters!$I$24</f>
        <v>0.0</v>
      </c>
      <c r="M45" s="7">
        <f>J45+K45+L45</f>
        <v>3.0</v>
      </c>
      <c r="N45" s="7">
        <f>C45*Parameters!$I$17+D45*Parameters!$I$18+E45*Parameters!$I$16+I45*Parameters!$I$25+G45*Parameters!$I$30</f>
        <v>0.31000000000000005</v>
      </c>
      <c r="O45" s="7">
        <f>0</f>
        <v>0</v>
      </c>
      <c r="P45" s="7">
        <f>M45-N45-O45</f>
        <v>2.69</v>
      </c>
      <c r="Q45" s="7">
        <f>0</f>
        <v>0</v>
      </c>
      <c r="R45" s="7">
        <f>P45-Q45</f>
        <v>2.69</v>
      </c>
      <c r="S45" s="7">
        <f>IF(A45&lt;1+Parameters!$I$31,0,INDEX($M$45:$M$80,A45-Parameters!$I$31))</f>
        <v>0.0</v>
      </c>
      <c r="T45" s="7">
        <f>M45-S45</f>
        <v>3.0</v>
      </c>
      <c r="U45" s="7">
        <f>S45-N45-O45-Q45</f>
        <v>-0.31000000000000005</v>
      </c>
      <c r="V45" s="7">
        <f>U45</f>
        <v>-0.31000000000000005</v>
      </c>
      <c r="W45" s="7">
        <f>(1-Parameters!$I$7)*(C45-E45)+(1-Parameters!$I$8)*(D45+E45)</f>
        <v>1.0</v>
      </c>
      <c r="X45" s="7">
        <f>Parameters!$I$7*(C45-E45)+Parameters!$I$8*Parameters!$I$9*(D45+E45)</f>
        <v>0.0</v>
      </c>
      <c r="Y45" s="7">
        <f>Parameters!$I$8*(1-Parameters!$I$9)*(D45+E45)</f>
        <v>0.0</v>
      </c>
      <c r="Z45" s="7">
        <f>POWER(1/(1+Parameters!$I$32),A45-1)*(M45-N45)</f>
        <v>2.69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</v>
      </c>
      <c r="E46" s="7">
        <f>Parameters!$I$6*C46</f>
        <v>0.0</v>
      </c>
      <c r="F46" s="7">
        <f>IF(Parameters!$I$5=1,E46,0)</f>
        <v>0.0</v>
      </c>
      <c r="G46" s="7">
        <f>Parameters!$I$27*G45+F46</f>
        <v>0.098</v>
      </c>
      <c r="H46" s="7">
        <f>IF(AND(Parameters!$I$5=1,Parameters!$I$26=1),SUMPRODUCT(--($A$45:A46&lt;A46),--(MOD(A46-$A$45:A46,Parameters!$I$28)=0),$F$45:F46,POWER(Parameters!$I$27,IF(A46-$A$45:A46=0,1,A46-$A$45:A46))),0)</f>
        <v>0</v>
      </c>
      <c r="I46" s="7">
        <f>Parameters!$I$23*I45+B46*Parameters!$I$22</f>
        <v>0.0</v>
      </c>
      <c r="J46" s="7">
        <f>E46*Parameters!$I$14*(1-Parameters!$I$15)</f>
        <v>0.0</v>
      </c>
      <c r="K46" s="7">
        <f>H46*Parameters!$I$29</f>
        <v>0</v>
      </c>
      <c r="L46" s="7">
        <f>I46*Parameters!$I$24</f>
        <v>0.0</v>
      </c>
      <c r="M46" s="7">
        <f>J46+K46+L46</f>
        <v>0.0</v>
      </c>
      <c r="N46" s="7">
        <f>C46*Parameters!$I$17+D46*Parameters!$I$18+E46*Parameters!$I$16+I46*Parameters!$I$25+G46*Parameters!$I$30</f>
        <v>0.009800000000000001</v>
      </c>
      <c r="O46" s="7">
        <f>0</f>
        <v>0</v>
      </c>
      <c r="P46" s="7">
        <f>M46-N46-O46</f>
        <v>-0.009800000000000001</v>
      </c>
      <c r="Q46" s="7">
        <f>0</f>
        <v>0</v>
      </c>
      <c r="R46" s="7">
        <f>P46-Q46</f>
        <v>-0.009800000000000001</v>
      </c>
      <c r="S46" s="7">
        <f>IF(A46&lt;1+Parameters!$I$31,0,INDEX($M$45:$M$80,A46-Parameters!$I$31))</f>
        <v>3.0</v>
      </c>
      <c r="T46" s="7">
        <f>T45+M46-S46</f>
        <v>0.0</v>
      </c>
      <c r="U46" s="7">
        <f>S46-N46-O46-Q46</f>
        <v>2.9902</v>
      </c>
      <c r="V46" s="7">
        <f>V45+U46</f>
        <v>2.6802</v>
      </c>
      <c r="W46" s="7">
        <f>(1-Parameters!$I$7)*(C46-E46)+(1-Parameters!$I$8)*(D46+E46)</f>
        <v>0.0</v>
      </c>
      <c r="X46" s="7">
        <f>Parameters!$I$7*(C46-E46)+Parameters!$I$8*Parameters!$I$9*(D46+E46)</f>
        <v>0.0</v>
      </c>
      <c r="Y46" s="7">
        <f>Parameters!$I$8*(1-Parameters!$I$9)*(D46+E46)</f>
        <v>0.0</v>
      </c>
      <c r="Z46" s="7">
        <f>POWER(1/(1+Parameters!$I$32),A46-1)*(M46-N46)</f>
        <v>-0.009702970297029705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</v>
      </c>
      <c r="E47" s="7">
        <f>Parameters!$I$6*C47</f>
        <v>0.0</v>
      </c>
      <c r="F47" s="7">
        <f>IF(Parameters!$I$5=1,E47,0)</f>
        <v>0.0</v>
      </c>
      <c r="G47" s="7">
        <f>Parameters!$I$27*G46+F47</f>
        <v>0.09604</v>
      </c>
      <c r="H47" s="7">
        <f>IF(AND(Parameters!$I$5=1,Parameters!$I$26=1),SUMPRODUCT(--($A$45:A47&lt;A47),--(MOD(A47-$A$45:A47,Parameters!$I$28)=0),$F$45:F47,POWER(Parameters!$I$27,IF(A47-$A$45:A47=0,1,A47-$A$45:A47))),0)</f>
        <v>0</v>
      </c>
      <c r="I47" s="7">
        <f>Parameters!$I$23*I46+B47*Parameters!$I$22</f>
        <v>0.0</v>
      </c>
      <c r="J47" s="7">
        <f>E47*Parameters!$I$14*(1-Parameters!$I$15)</f>
        <v>0.0</v>
      </c>
      <c r="K47" s="7">
        <f>H47*Parameters!$I$29</f>
        <v>0</v>
      </c>
      <c r="L47" s="7">
        <f>I47*Parameters!$I$24</f>
        <v>0.0</v>
      </c>
      <c r="M47" s="7">
        <f>J47+K47+L47</f>
        <v>0.0</v>
      </c>
      <c r="N47" s="7">
        <f>C47*Parameters!$I$17+D47*Parameters!$I$18+E47*Parameters!$I$16+I47*Parameters!$I$25+G47*Parameters!$I$30</f>
        <v>0.009604000000000001</v>
      </c>
      <c r="O47" s="7">
        <f>0</f>
        <v>0</v>
      </c>
      <c r="P47" s="7">
        <f>M47-N47-O47</f>
        <v>-0.009604000000000001</v>
      </c>
      <c r="Q47" s="7">
        <f>0</f>
        <v>0</v>
      </c>
      <c r="R47" s="7">
        <f>P47-Q47</f>
        <v>-0.009604000000000001</v>
      </c>
      <c r="S47" s="7">
        <f>IF(A47&lt;1+Parameters!$I$31,0,INDEX($M$45:$M$80,A47-Parameters!$I$31))</f>
        <v>0.0</v>
      </c>
      <c r="T47" s="7">
        <f>T46+M47-S47</f>
        <v>0.0</v>
      </c>
      <c r="U47" s="7">
        <f>S47-N47-O47-Q47</f>
        <v>-0.009604000000000001</v>
      </c>
      <c r="V47" s="7">
        <f>V46+U47</f>
        <v>2.670596</v>
      </c>
      <c r="W47" s="7">
        <f>(1-Parameters!$I$7)*(C47-E47)+(1-Parameters!$I$8)*(D47+E47)</f>
        <v>0.0</v>
      </c>
      <c r="X47" s="7">
        <f>Parameters!$I$7*(C47-E47)+Parameters!$I$8*Parameters!$I$9*(D47+E47)</f>
        <v>0.0</v>
      </c>
      <c r="Y47" s="7">
        <f>Parameters!$I$8*(1-Parameters!$I$9)*(D47+E47)</f>
        <v>0.0</v>
      </c>
      <c r="Z47" s="7">
        <f>POWER(1/(1+Parameters!$I$32),A47-1)*(M47-N47)</f>
        <v>-0.009414763258504068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</v>
      </c>
      <c r="E48" s="7">
        <f>Parameters!$I$6*C48</f>
        <v>0.0</v>
      </c>
      <c r="F48" s="7">
        <f>IF(Parameters!$I$5=1,E48,0)</f>
        <v>0.0</v>
      </c>
      <c r="G48" s="7">
        <f>Parameters!$I$27*G47+F48</f>
        <v>0.0941192</v>
      </c>
      <c r="H48" s="7">
        <f>IF(AND(Parameters!$I$5=1,Parameters!$I$26=1),SUMPRODUCT(--($A$45:A48&lt;A48),--(MOD(A48-$A$45:A48,Parameters!$I$28)=0),$F$45:F48,POWER(Parameters!$I$27,IF(A48-$A$45:A48=0,1,A48-$A$45:A48))),0)</f>
        <v>0</v>
      </c>
      <c r="I48" s="7">
        <f>Parameters!$I$23*I47+B48*Parameters!$I$22</f>
        <v>0.0</v>
      </c>
      <c r="J48" s="7">
        <f>E48*Parameters!$I$14*(1-Parameters!$I$15)</f>
        <v>0.0</v>
      </c>
      <c r="K48" s="7">
        <f>H48*Parameters!$I$29</f>
        <v>0</v>
      </c>
      <c r="L48" s="7">
        <f>I48*Parameters!$I$24</f>
        <v>0.0</v>
      </c>
      <c r="M48" s="7">
        <f>J48+K48+L48</f>
        <v>0.0</v>
      </c>
      <c r="N48" s="7">
        <f>C48*Parameters!$I$17+D48*Parameters!$I$18+E48*Parameters!$I$16+I48*Parameters!$I$25+G48*Parameters!$I$30</f>
        <v>0.00941192</v>
      </c>
      <c r="O48" s="7">
        <f>0</f>
        <v>0</v>
      </c>
      <c r="P48" s="7">
        <f>M48-N48-O48</f>
        <v>-0.00941192</v>
      </c>
      <c r="Q48" s="7">
        <f>0</f>
        <v>0</v>
      </c>
      <c r="R48" s="7">
        <f>P48-Q48</f>
        <v>-0.00941192</v>
      </c>
      <c r="S48" s="7">
        <f>IF(A48&lt;1+Parameters!$I$31,0,INDEX($M$45:$M$80,A48-Parameters!$I$31))</f>
        <v>0.0</v>
      </c>
      <c r="T48" s="7">
        <f>T47+M48-S48</f>
        <v>0.0</v>
      </c>
      <c r="U48" s="7">
        <f>S48-N48-O48-Q48</f>
        <v>-0.00941192</v>
      </c>
      <c r="V48" s="7">
        <f>V47+U48</f>
        <v>2.6611840800000004</v>
      </c>
      <c r="W48" s="7">
        <f>(1-Parameters!$I$7)*(C48-E48)+(1-Parameters!$I$8)*(D48+E48)</f>
        <v>0.0</v>
      </c>
      <c r="X48" s="7">
        <f>Parameters!$I$7*(C48-E48)+Parameters!$I$8*Parameters!$I$9*(D48+E48)</f>
        <v>0.0</v>
      </c>
      <c r="Y48" s="7">
        <f>Parameters!$I$8*(1-Parameters!$I$9)*(D48+E48)</f>
        <v>0.0</v>
      </c>
      <c r="Z48" s="7">
        <f>POWER(1/(1+Parameters!$I$32),A48-1)*(M48-N48)</f>
        <v>-0.009135116825083155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</v>
      </c>
      <c r="E49" s="7">
        <f>Parameters!$I$6*C49</f>
        <v>0.0</v>
      </c>
      <c r="F49" s="7">
        <f>IF(Parameters!$I$5=1,E49,0)</f>
        <v>0.0</v>
      </c>
      <c r="G49" s="7">
        <f>Parameters!$I$27*G48+F49</f>
        <v>0.092236816</v>
      </c>
      <c r="H49" s="7">
        <f>IF(AND(Parameters!$I$5=1,Parameters!$I$26=1),SUMPRODUCT(--($A$45:A49&lt;A49),--(MOD(A49-$A$45:A49,Parameters!$I$28)=0),$F$45:F49,POWER(Parameters!$I$27,IF(A49-$A$45:A49=0,1,A49-$A$45:A49))),0)</f>
        <v>0</v>
      </c>
      <c r="I49" s="7">
        <f>Parameters!$I$23*I48+B49*Parameters!$I$22</f>
        <v>0.0</v>
      </c>
      <c r="J49" s="7">
        <f>E49*Parameters!$I$14*(1-Parameters!$I$15)</f>
        <v>0.0</v>
      </c>
      <c r="K49" s="7">
        <f>H49*Parameters!$I$29</f>
        <v>0</v>
      </c>
      <c r="L49" s="7">
        <f>I49*Parameters!$I$24</f>
        <v>0.0</v>
      </c>
      <c r="M49" s="7">
        <f>J49+K49+L49</f>
        <v>0.0</v>
      </c>
      <c r="N49" s="7">
        <f>C49*Parameters!$I$17+D49*Parameters!$I$18+E49*Parameters!$I$16+I49*Parameters!$I$25+G49*Parameters!$I$30</f>
        <v>0.0092236816</v>
      </c>
      <c r="O49" s="7">
        <f>0</f>
        <v>0</v>
      </c>
      <c r="P49" s="7">
        <f>M49-N49-O49</f>
        <v>-0.0092236816</v>
      </c>
      <c r="Q49" s="7">
        <f>0</f>
        <v>0</v>
      </c>
      <c r="R49" s="7">
        <f>P49-Q49</f>
        <v>-0.0092236816</v>
      </c>
      <c r="S49" s="7">
        <f>IF(A49&lt;1+Parameters!$I$31,0,INDEX($M$45:$M$80,A49-Parameters!$I$31))</f>
        <v>0.0</v>
      </c>
      <c r="T49" s="7">
        <f>T48+M49-S49</f>
        <v>0.0</v>
      </c>
      <c r="U49" s="7">
        <f>S49-N49-O49-Q49</f>
        <v>-0.0092236816</v>
      </c>
      <c r="V49" s="7">
        <f>V48+U49</f>
        <v>2.6519603984000004</v>
      </c>
      <c r="W49" s="7">
        <f>(1-Parameters!$I$7)*(C49-E49)+(1-Parameters!$I$8)*(D49+E49)</f>
        <v>0.0</v>
      </c>
      <c r="X49" s="7">
        <f>Parameters!$I$7*(C49-E49)+Parameters!$I$8*Parameters!$I$9*(D49+E49)</f>
        <v>0.0</v>
      </c>
      <c r="Y49" s="7">
        <f>Parameters!$I$8*(1-Parameters!$I$9)*(D49+E49)</f>
        <v>0.0</v>
      </c>
      <c r="Z49" s="7">
        <f>POWER(1/(1+Parameters!$I$32),A49-1)*(M49-N49)</f>
        <v>-0.008863776721367813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</v>
      </c>
      <c r="E50" s="7">
        <f>Parameters!$I$6*C50</f>
        <v>0.0</v>
      </c>
      <c r="F50" s="7">
        <f>IF(Parameters!$I$5=1,E50,0)</f>
        <v>0.0</v>
      </c>
      <c r="G50" s="7">
        <f>Parameters!$I$27*G49+F50</f>
        <v>0.09039207968</v>
      </c>
      <c r="H50" s="7">
        <f>IF(AND(Parameters!$I$5=1,Parameters!$I$26=1),SUMPRODUCT(--($A$45:A50&lt;A50),--(MOD(A50-$A$45:A50,Parameters!$I$28)=0),$F$45:F50,POWER(Parameters!$I$27,IF(A50-$A$45:A50=0,1,A50-$A$45:A50))),0)</f>
        <v>0</v>
      </c>
      <c r="I50" s="7">
        <f>Parameters!$I$23*I49+B50*Parameters!$I$22</f>
        <v>0.0</v>
      </c>
      <c r="J50" s="7">
        <f>E50*Parameters!$I$14*(1-Parameters!$I$15)</f>
        <v>0.0</v>
      </c>
      <c r="K50" s="7">
        <f>H50*Parameters!$I$29</f>
        <v>0</v>
      </c>
      <c r="L50" s="7">
        <f>I50*Parameters!$I$24</f>
        <v>0.0</v>
      </c>
      <c r="M50" s="7">
        <f>J50+K50+L50</f>
        <v>0.0</v>
      </c>
      <c r="N50" s="7">
        <f>C50*Parameters!$I$17+D50*Parameters!$I$18+E50*Parameters!$I$16+I50*Parameters!$I$25+G50*Parameters!$I$30</f>
        <v>0.009039207968</v>
      </c>
      <c r="O50" s="7">
        <f>0</f>
        <v>0</v>
      </c>
      <c r="P50" s="7">
        <f>M50-N50-O50</f>
        <v>-0.009039207968</v>
      </c>
      <c r="Q50" s="7">
        <f>0</f>
        <v>0</v>
      </c>
      <c r="R50" s="7">
        <f>P50-Q50</f>
        <v>-0.009039207968</v>
      </c>
      <c r="S50" s="7">
        <f>IF(A50&lt;1+Parameters!$I$31,0,INDEX($M$45:$M$80,A50-Parameters!$I$31))</f>
        <v>0.0</v>
      </c>
      <c r="T50" s="7">
        <f>T49+M50-S50</f>
        <v>0.0</v>
      </c>
      <c r="U50" s="7">
        <f>S50-N50-O50-Q50</f>
        <v>-0.009039207968</v>
      </c>
      <c r="V50" s="7">
        <f>V49+U50</f>
        <v>2.6429211904320002</v>
      </c>
      <c r="W50" s="7">
        <f>(1-Parameters!$I$7)*(C50-E50)+(1-Parameters!$I$8)*(D50+E50)</f>
        <v>0.0</v>
      </c>
      <c r="X50" s="7">
        <f>Parameters!$I$7*(C50-E50)+Parameters!$I$8*Parameters!$I$9*(D50+E50)</f>
        <v>0.0</v>
      </c>
      <c r="Y50" s="7">
        <f>Parameters!$I$8*(1-Parameters!$I$9)*(D50+E50)</f>
        <v>0.0</v>
      </c>
      <c r="Z50" s="7">
        <f>POWER(1/(1+Parameters!$I$32),A50-1)*(M50-N50)</f>
        <v>-0.008600496224693522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</v>
      </c>
      <c r="E51" s="7">
        <f>Parameters!$I$6*C51</f>
        <v>0.0</v>
      </c>
      <c r="F51" s="7">
        <f>IF(Parameters!$I$5=1,E51,0)</f>
        <v>0.0</v>
      </c>
      <c r="G51" s="7">
        <f>Parameters!$I$27*G50+F51</f>
        <v>0.0885842380864</v>
      </c>
      <c r="H51" s="7">
        <f>IF(AND(Parameters!$I$5=1,Parameters!$I$26=1),SUMPRODUCT(--($A$45:A51&lt;A51),--(MOD(A51-$A$45:A51,Parameters!$I$28)=0),$F$45:F51,POWER(Parameters!$I$27,IF(A51-$A$45:A51=0,1,A51-$A$45:A51))),0)</f>
        <v>0</v>
      </c>
      <c r="I51" s="7">
        <f>Parameters!$I$23*I50+B51*Parameters!$I$22</f>
        <v>0.0</v>
      </c>
      <c r="J51" s="7">
        <f>E51*Parameters!$I$14*(1-Parameters!$I$15)</f>
        <v>0.0</v>
      </c>
      <c r="K51" s="7">
        <f>H51*Parameters!$I$29</f>
        <v>0</v>
      </c>
      <c r="L51" s="7">
        <f>I51*Parameters!$I$24</f>
        <v>0.0</v>
      </c>
      <c r="M51" s="7">
        <f>J51+K51+L51</f>
        <v>0.0</v>
      </c>
      <c r="N51" s="7">
        <f>C51*Parameters!$I$17+D51*Parameters!$I$18+E51*Parameters!$I$16+I51*Parameters!$I$25+G51*Parameters!$I$30</f>
        <v>0.00885842380864</v>
      </c>
      <c r="O51" s="7">
        <f>0</f>
        <v>0</v>
      </c>
      <c r="P51" s="7">
        <f>M51-N51-O51</f>
        <v>-0.00885842380864</v>
      </c>
      <c r="Q51" s="7">
        <f>0</f>
        <v>0</v>
      </c>
      <c r="R51" s="7">
        <f>P51-Q51</f>
        <v>-0.00885842380864</v>
      </c>
      <c r="S51" s="7">
        <f>IF(A51&lt;1+Parameters!$I$31,0,INDEX($M$45:$M$80,A51-Parameters!$I$31))</f>
        <v>0.0</v>
      </c>
      <c r="T51" s="7">
        <f>T50+M51-S51</f>
        <v>0.0</v>
      </c>
      <c r="U51" s="7">
        <f>S51-N51-O51-Q51</f>
        <v>-0.00885842380864</v>
      </c>
      <c r="V51" s="7">
        <f>V50+U51</f>
        <v>2.63406276662336</v>
      </c>
      <c r="W51" s="7">
        <f>(1-Parameters!$I$7)*(C51-E51)+(1-Parameters!$I$8)*(D51+E51)</f>
        <v>0.0</v>
      </c>
      <c r="X51" s="7">
        <f>Parameters!$I$7*(C51-E51)+Parameters!$I$8*Parameters!$I$9*(D51+E51)</f>
        <v>0.0</v>
      </c>
      <c r="Y51" s="7">
        <f>Parameters!$I$8*(1-Parameters!$I$9)*(D51+E51)</f>
        <v>0.0</v>
      </c>
      <c r="Z51" s="7">
        <f>POWER(1/(1+Parameters!$I$32),A51-1)*(M51-N51)</f>
        <v>-0.008345035940791733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</v>
      </c>
      <c r="E52" s="7">
        <f>Parameters!$I$6*C52</f>
        <v>0.0</v>
      </c>
      <c r="F52" s="7">
        <f>IF(Parameters!$I$5=1,E52,0)</f>
        <v>0.0</v>
      </c>
      <c r="G52" s="7">
        <f>Parameters!$I$27*G51+F52</f>
        <v>0.086812553324672</v>
      </c>
      <c r="H52" s="7">
        <f>IF(AND(Parameters!$I$5=1,Parameters!$I$26=1),SUMPRODUCT(--($A$45:A52&lt;A52),--(MOD(A52-$A$45:A52,Parameters!$I$28)=0),$F$45:F52,POWER(Parameters!$I$27,IF(A52-$A$45:A52=0,1,A52-$A$45:A52))),0)</f>
        <v>0</v>
      </c>
      <c r="I52" s="7">
        <f>Parameters!$I$23*I51+B52*Parameters!$I$22</f>
        <v>0.0</v>
      </c>
      <c r="J52" s="7">
        <f>E52*Parameters!$I$14*(1-Parameters!$I$15)</f>
        <v>0.0</v>
      </c>
      <c r="K52" s="7">
        <f>H52*Parameters!$I$29</f>
        <v>0</v>
      </c>
      <c r="L52" s="7">
        <f>I52*Parameters!$I$24</f>
        <v>0.0</v>
      </c>
      <c r="M52" s="7">
        <f>J52+K52+L52</f>
        <v>0.0</v>
      </c>
      <c r="N52" s="7">
        <f>C52*Parameters!$I$17+D52*Parameters!$I$18+E52*Parameters!$I$16+I52*Parameters!$I$25+G52*Parameters!$I$30</f>
        <v>0.0086812553324672</v>
      </c>
      <c r="O52" s="7">
        <f>0</f>
        <v>0</v>
      </c>
      <c r="P52" s="7">
        <f>M52-N52-O52</f>
        <v>-0.0086812553324672</v>
      </c>
      <c r="Q52" s="7">
        <f>0</f>
        <v>0</v>
      </c>
      <c r="R52" s="7">
        <f>P52-Q52</f>
        <v>-0.0086812553324672</v>
      </c>
      <c r="S52" s="7">
        <f>IF(A52&lt;1+Parameters!$I$31,0,INDEX($M$45:$M$80,A52-Parameters!$I$31))</f>
        <v>0.0</v>
      </c>
      <c r="T52" s="7">
        <f>T51+M52-S52</f>
        <v>0.0</v>
      </c>
      <c r="U52" s="7">
        <f>S52-N52-O52-Q52</f>
        <v>-0.0086812553324672</v>
      </c>
      <c r="V52" s="7">
        <f>V51+U52</f>
        <v>2.6253815112908927</v>
      </c>
      <c r="W52" s="7">
        <f>(1-Parameters!$I$7)*(C52-E52)+(1-Parameters!$I$8)*(D52+E52)</f>
        <v>0.0</v>
      </c>
      <c r="X52" s="7">
        <f>Parameters!$I$7*(C52-E52)+Parameters!$I$8*Parameters!$I$9*(D52+E52)</f>
        <v>0.0</v>
      </c>
      <c r="Y52" s="7">
        <f>Parameters!$I$8*(1-Parameters!$I$9)*(D52+E52)</f>
        <v>0.0</v>
      </c>
      <c r="Z52" s="7">
        <f>POWER(1/(1+Parameters!$I$32),A52-1)*(M52-N52)</f>
        <v>-0.008097163586114751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</v>
      </c>
      <c r="E53" s="7">
        <f>Parameters!$I$6*C53</f>
        <v>0.0</v>
      </c>
      <c r="F53" s="7">
        <f>IF(Parameters!$I$5=1,E53,0)</f>
        <v>0.0</v>
      </c>
      <c r="G53" s="7">
        <f>Parameters!$I$27*G52+F53</f>
        <v>0.08507630225817855</v>
      </c>
      <c r="H53" s="7">
        <f>IF(AND(Parameters!$I$5=1,Parameters!$I$26=1),SUMPRODUCT(--($A$45:A53&lt;A53),--(MOD(A53-$A$45:A53,Parameters!$I$28)=0),$F$45:F53,POWER(Parameters!$I$27,IF(A53-$A$45:A53=0,1,A53-$A$45:A53))),0)</f>
        <v>0</v>
      </c>
      <c r="I53" s="7">
        <f>Parameters!$I$23*I52+B53*Parameters!$I$22</f>
        <v>0.0</v>
      </c>
      <c r="J53" s="7">
        <f>E53*Parameters!$I$14*(1-Parameters!$I$15)</f>
        <v>0.0</v>
      </c>
      <c r="K53" s="7">
        <f>H53*Parameters!$I$29</f>
        <v>0</v>
      </c>
      <c r="L53" s="7">
        <f>I53*Parameters!$I$24</f>
        <v>0.0</v>
      </c>
      <c r="M53" s="7">
        <f>J53+K53+L53</f>
        <v>0.0</v>
      </c>
      <c r="N53" s="7">
        <f>C53*Parameters!$I$17+D53*Parameters!$I$18+E53*Parameters!$I$16+I53*Parameters!$I$25+G53*Parameters!$I$30</f>
        <v>0.008507630225817856</v>
      </c>
      <c r="O53" s="7">
        <f>0</f>
        <v>0</v>
      </c>
      <c r="P53" s="7">
        <f>M53-N53-O53</f>
        <v>-0.008507630225817856</v>
      </c>
      <c r="Q53" s="7">
        <f>0</f>
        <v>0</v>
      </c>
      <c r="R53" s="7">
        <f>P53-Q53</f>
        <v>-0.008507630225817856</v>
      </c>
      <c r="S53" s="7">
        <f>IF(A53&lt;1+Parameters!$I$31,0,INDEX($M$45:$M$80,A53-Parameters!$I$31))</f>
        <v>0.0</v>
      </c>
      <c r="T53" s="7">
        <f>T52+M53-S53</f>
        <v>0.0</v>
      </c>
      <c r="U53" s="7">
        <f>S53-N53-O53-Q53</f>
        <v>-0.008507630225817856</v>
      </c>
      <c r="V53" s="7">
        <f>V52+U53</f>
        <v>2.6168738810650747</v>
      </c>
      <c r="W53" s="7">
        <f>(1-Parameters!$I$7)*(C53-E53)+(1-Parameters!$I$8)*(D53+E53)</f>
        <v>0.0</v>
      </c>
      <c r="X53" s="7">
        <f>Parameters!$I$7*(C53-E53)+Parameters!$I$8*Parameters!$I$9*(D53+E53)</f>
        <v>0.0</v>
      </c>
      <c r="Y53" s="7">
        <f>Parameters!$I$8*(1-Parameters!$I$9)*(D53+E53)</f>
        <v>0.0</v>
      </c>
      <c r="Z53" s="7">
        <f>POWER(1/(1+Parameters!$I$32),A53-1)*(M53-N53)</f>
        <v>-0.007856653776626196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</v>
      </c>
      <c r="E54" s="7">
        <f>Parameters!$I$6*C54</f>
        <v>0.0</v>
      </c>
      <c r="F54" s="7">
        <f>IF(Parameters!$I$5=1,E54,0)</f>
        <v>0.0</v>
      </c>
      <c r="G54" s="7">
        <f>Parameters!$I$27*G53+F54</f>
        <v>0.08337477621301498</v>
      </c>
      <c r="H54" s="7">
        <f>IF(AND(Parameters!$I$5=1,Parameters!$I$26=1),SUMPRODUCT(--($A$45:A54&lt;A54),--(MOD(A54-$A$45:A54,Parameters!$I$28)=0),$F$45:F54,POWER(Parameters!$I$27,IF(A54-$A$45:A54=0,1,A54-$A$45:A54))),0)</f>
        <v>0</v>
      </c>
      <c r="I54" s="7">
        <f>Parameters!$I$23*I53+B54*Parameters!$I$22</f>
        <v>0.0</v>
      </c>
      <c r="J54" s="7">
        <f>E54*Parameters!$I$14*(1-Parameters!$I$15)</f>
        <v>0.0</v>
      </c>
      <c r="K54" s="7">
        <f>H54*Parameters!$I$29</f>
        <v>0</v>
      </c>
      <c r="L54" s="7">
        <f>I54*Parameters!$I$24</f>
        <v>0.0</v>
      </c>
      <c r="M54" s="7">
        <f>J54+K54+L54</f>
        <v>0.0</v>
      </c>
      <c r="N54" s="7">
        <f>C54*Parameters!$I$17+D54*Parameters!$I$18+E54*Parameters!$I$16+I54*Parameters!$I$25+G54*Parameters!$I$30</f>
        <v>0.008337477621301497</v>
      </c>
      <c r="O54" s="7">
        <f>0</f>
        <v>0</v>
      </c>
      <c r="P54" s="7">
        <f>M54-N54-O54</f>
        <v>-0.008337477621301497</v>
      </c>
      <c r="Q54" s="7">
        <f>0</f>
        <v>0</v>
      </c>
      <c r="R54" s="7">
        <f>P54-Q54</f>
        <v>-0.008337477621301497</v>
      </c>
      <c r="S54" s="7">
        <f>IF(A54&lt;1+Parameters!$I$31,0,INDEX($M$45:$M$80,A54-Parameters!$I$31))</f>
        <v>0.0</v>
      </c>
      <c r="T54" s="7">
        <f>T53+M54-S54</f>
        <v>0.0</v>
      </c>
      <c r="U54" s="7">
        <f>S54-N54-O54-Q54</f>
        <v>-0.008337477621301497</v>
      </c>
      <c r="V54" s="7">
        <f>V53+U54</f>
        <v>2.608536403443773</v>
      </c>
      <c r="W54" s="7">
        <f>(1-Parameters!$I$7)*(C54-E54)+(1-Parameters!$I$8)*(D54+E54)</f>
        <v>0.0</v>
      </c>
      <c r="X54" s="7">
        <f>Parameters!$I$7*(C54-E54)+Parameters!$I$8*Parameters!$I$9*(D54+E54)</f>
        <v>0.0</v>
      </c>
      <c r="Y54" s="7">
        <f>Parameters!$I$8*(1-Parameters!$I$9)*(D54+E54)</f>
        <v>0.0</v>
      </c>
      <c r="Z54" s="7">
        <f>POWER(1/(1+Parameters!$I$32),A54-1)*(M54-N54)</f>
        <v>-0.0076232878228650195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</v>
      </c>
      <c r="E55" s="7">
        <f>Parameters!$I$6*C55</f>
        <v>0.0</v>
      </c>
      <c r="F55" s="7">
        <f>IF(Parameters!$I$5=1,E55,0)</f>
        <v>0.0</v>
      </c>
      <c r="G55" s="7">
        <f>Parameters!$I$27*G54+F55</f>
        <v>0.08170728068875467</v>
      </c>
      <c r="H55" s="7">
        <f>IF(AND(Parameters!$I$5=1,Parameters!$I$26=1),SUMPRODUCT(--($A$45:A55&lt;A55),--(MOD(A55-$A$45:A55,Parameters!$I$28)=0),$F$45:F55,POWER(Parameters!$I$27,IF(A55-$A$45:A55=0,1,A55-$A$45:A55))),0)</f>
        <v>0</v>
      </c>
      <c r="I55" s="7">
        <f>Parameters!$I$23*I54+B55*Parameters!$I$22</f>
        <v>0.0</v>
      </c>
      <c r="J55" s="7">
        <f>E55*Parameters!$I$14*(1-Parameters!$I$15)</f>
        <v>0.0</v>
      </c>
      <c r="K55" s="7">
        <f>H55*Parameters!$I$29</f>
        <v>0</v>
      </c>
      <c r="L55" s="7">
        <f>I55*Parameters!$I$24</f>
        <v>0.0</v>
      </c>
      <c r="M55" s="7">
        <f>J55+K55+L55</f>
        <v>0.0</v>
      </c>
      <c r="N55" s="7">
        <f>C55*Parameters!$I$17+D55*Parameters!$I$18+E55*Parameters!$I$16+I55*Parameters!$I$25+G55*Parameters!$I$30</f>
        <v>0.008170728068875468</v>
      </c>
      <c r="O55" s="7">
        <f>0</f>
        <v>0</v>
      </c>
      <c r="P55" s="7">
        <f>M55-N55-O55</f>
        <v>-0.008170728068875468</v>
      </c>
      <c r="Q55" s="7">
        <f>0</f>
        <v>0</v>
      </c>
      <c r="R55" s="7">
        <f>P55-Q55</f>
        <v>-0.008170728068875468</v>
      </c>
      <c r="S55" s="7">
        <f>IF(A55&lt;1+Parameters!$I$31,0,INDEX($M$45:$M$80,A55-Parameters!$I$31))</f>
        <v>0.0</v>
      </c>
      <c r="T55" s="7">
        <f>T54+M55-S55</f>
        <v>0.0</v>
      </c>
      <c r="U55" s="7">
        <f>S55-N55-O55-Q55</f>
        <v>-0.008170728068875468</v>
      </c>
      <c r="V55" s="7">
        <f>V54+U55</f>
        <v>2.6003656753748974</v>
      </c>
      <c r="W55" s="7">
        <f>(1-Parameters!$I$7)*(C55-E55)+(1-Parameters!$I$8)*(D55+E55)</f>
        <v>0.0</v>
      </c>
      <c r="X55" s="7">
        <f>Parameters!$I$7*(C55-E55)+Parameters!$I$8*Parameters!$I$9*(D55+E55)</f>
        <v>0.0</v>
      </c>
      <c r="Y55" s="7">
        <f>Parameters!$I$8*(1-Parameters!$I$9)*(D55+E55)</f>
        <v>0.0</v>
      </c>
      <c r="Z55" s="7">
        <f>POWER(1/(1+Parameters!$I$32),A55-1)*(M55-N55)</f>
        <v>-0.007396853531096753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</v>
      </c>
      <c r="E56" s="7">
        <f>Parameters!$I$6*C56</f>
        <v>0.0</v>
      </c>
      <c r="F56" s="7">
        <f>IF(Parameters!$I$5=1,E56,0)</f>
        <v>0.0</v>
      </c>
      <c r="G56" s="7">
        <f>Parameters!$I$27*G55+F56</f>
        <v>0.08007313507497958</v>
      </c>
      <c r="H56" s="7">
        <f>IF(AND(Parameters!$I$5=1,Parameters!$I$26=1),SUMPRODUCT(--($A$45:A56&lt;A56),--(MOD(A56-$A$45:A56,Parameters!$I$28)=0),$F$45:F56,POWER(Parameters!$I$27,IF(A56-$A$45:A56=0,1,A56-$A$45:A56))),0)</f>
        <v>0</v>
      </c>
      <c r="I56" s="7">
        <f>Parameters!$I$23*I55+B56*Parameters!$I$22</f>
        <v>0.0</v>
      </c>
      <c r="J56" s="7">
        <f>E56*Parameters!$I$14*(1-Parameters!$I$15)</f>
        <v>0.0</v>
      </c>
      <c r="K56" s="7">
        <f>H56*Parameters!$I$29</f>
        <v>0</v>
      </c>
      <c r="L56" s="7">
        <f>I56*Parameters!$I$24</f>
        <v>0.0</v>
      </c>
      <c r="M56" s="7">
        <f>J56+K56+L56</f>
        <v>0.0</v>
      </c>
      <c r="N56" s="7">
        <f>C56*Parameters!$I$17+D56*Parameters!$I$18+E56*Parameters!$I$16+I56*Parameters!$I$25+G56*Parameters!$I$30</f>
        <v>0.008007313507497959</v>
      </c>
      <c r="O56" s="7">
        <f>0</f>
        <v>0</v>
      </c>
      <c r="P56" s="7">
        <f>M56-N56-O56</f>
        <v>-0.008007313507497959</v>
      </c>
      <c r="Q56" s="7">
        <f>0</f>
        <v>0</v>
      </c>
      <c r="R56" s="7">
        <f>P56-Q56</f>
        <v>-0.008007313507497959</v>
      </c>
      <c r="S56" s="7">
        <f>IF(A56&lt;1+Parameters!$I$31,0,INDEX($M$45:$M$80,A56-Parameters!$I$31))</f>
        <v>0.0</v>
      </c>
      <c r="T56" s="7">
        <f>T55+M56-S56</f>
        <v>0.0</v>
      </c>
      <c r="U56" s="7">
        <f>S56-N56-O56-Q56</f>
        <v>-0.008007313507497959</v>
      </c>
      <c r="V56" s="7">
        <f>V55+U56</f>
        <v>2.5923583618673995</v>
      </c>
      <c r="W56" s="7">
        <f>(1-Parameters!$I$7)*(C56-E56)+(1-Parameters!$I$8)*(D56+E56)</f>
        <v>0.0</v>
      </c>
      <c r="X56" s="7">
        <f>Parameters!$I$7*(C56-E56)+Parameters!$I$8*Parameters!$I$9*(D56+E56)</f>
        <v>0.0</v>
      </c>
      <c r="Y56" s="7">
        <f>Parameters!$I$8*(1-Parameters!$I$9)*(D56+E56)</f>
        <v>0.0</v>
      </c>
      <c r="Z56" s="7">
        <f>POWER(1/(1+Parameters!$I$32),A56-1)*(M56-N56)</f>
        <v>-0.007177145010371106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</v>
      </c>
      <c r="E57" s="7">
        <f>Parameters!$I$6*C57</f>
        <v>0.0</v>
      </c>
      <c r="F57" s="7">
        <f>IF(Parameters!$I$5=1,E57,0)</f>
        <v>0.0</v>
      </c>
      <c r="G57" s="7">
        <f>Parameters!$I$27*G56+F57</f>
        <v>0.07847167237347999</v>
      </c>
      <c r="H57" s="7">
        <f>IF(AND(Parameters!$I$5=1,Parameters!$I$26=1),SUMPRODUCT(--($A$45:A57&lt;A57),--(MOD(A57-$A$45:A57,Parameters!$I$28)=0),$F$45:F57,POWER(Parameters!$I$27,IF(A57-$A$45:A57=0,1,A57-$A$45:A57))),0)</f>
        <v>0.07847167237347999</v>
      </c>
      <c r="I57" s="7">
        <f>Parameters!$I$23*I56+B57*Parameters!$I$22</f>
        <v>0.0</v>
      </c>
      <c r="J57" s="7">
        <f>E57*Parameters!$I$14*(1-Parameters!$I$15)</f>
        <v>0.0</v>
      </c>
      <c r="K57" s="7">
        <f>H57*Parameters!$I$29</f>
        <v>1.1770750856021999</v>
      </c>
      <c r="L57" s="7">
        <f>I57*Parameters!$I$24</f>
        <v>0.0</v>
      </c>
      <c r="M57" s="7">
        <f>J57+K57+L57</f>
        <v>1.1770750856021999</v>
      </c>
      <c r="N57" s="7">
        <f>C57*Parameters!$I$17+D57*Parameters!$I$18+E57*Parameters!$I$16+I57*Parameters!$I$25+G57*Parameters!$I$30</f>
        <v>0.007847167237348</v>
      </c>
      <c r="O57" s="7">
        <f>0</f>
        <v>0</v>
      </c>
      <c r="P57" s="7">
        <f>M57-N57-O57</f>
        <v>1.169227918364852</v>
      </c>
      <c r="Q57" s="7">
        <f>0</f>
        <v>0</v>
      </c>
      <c r="R57" s="7">
        <f>P57-Q57</f>
        <v>1.169227918364852</v>
      </c>
      <c r="S57" s="7">
        <f>IF(A57&lt;1+Parameters!$I$31,0,INDEX($M$45:$M$80,A57-Parameters!$I$31))</f>
        <v>0.0</v>
      </c>
      <c r="T57" s="7">
        <f>T56+M57-S57</f>
        <v>1.1770750856021999</v>
      </c>
      <c r="U57" s="7">
        <f>S57-N57-O57-Q57</f>
        <v>-0.007847167237348</v>
      </c>
      <c r="V57" s="7">
        <f>V56+U57</f>
        <v>2.5845111946300516</v>
      </c>
      <c r="W57" s="7">
        <f>(1-Parameters!$I$7)*(C57-E57)+(1-Parameters!$I$8)*(D57+E57)</f>
        <v>0.0</v>
      </c>
      <c r="X57" s="7">
        <f>Parameters!$I$7*(C57-E57)+Parameters!$I$8*Parameters!$I$9*(D57+E57)</f>
        <v>0.0</v>
      </c>
      <c r="Y57" s="7">
        <f>Parameters!$I$8*(1-Parameters!$I$9)*(D57+E57)</f>
        <v>0.0</v>
      </c>
      <c r="Z57" s="7">
        <f>POWER(1/(1+Parameters!$I$32),A57-1)*(M57-N57)</f>
        <v>1.0376304103112761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</v>
      </c>
      <c r="E58" s="7">
        <f>Parameters!$I$6*C58</f>
        <v>0.0</v>
      </c>
      <c r="F58" s="7">
        <f>IF(Parameters!$I$5=1,E58,0)</f>
        <v>0.0</v>
      </c>
      <c r="G58" s="7">
        <f>Parameters!$I$27*G57+F58</f>
        <v>0.07690223892601039</v>
      </c>
      <c r="H58" s="7">
        <f>IF(AND(Parameters!$I$5=1,Parameters!$I$26=1),SUMPRODUCT(--($A$45:A58&lt;A58),--(MOD(A58-$A$45:A58,Parameters!$I$28)=0),$F$45:F58,POWER(Parameters!$I$27,IF(A58-$A$45:A58=0,1,A58-$A$45:A58))),0)</f>
        <v>0.0</v>
      </c>
      <c r="I58" s="7">
        <f>Parameters!$I$23*I57+B58*Parameters!$I$22</f>
        <v>0.0</v>
      </c>
      <c r="J58" s="7">
        <f>E58*Parameters!$I$14*(1-Parameters!$I$15)</f>
        <v>0.0</v>
      </c>
      <c r="K58" s="7">
        <f>H58*Parameters!$I$29</f>
        <v>0.0</v>
      </c>
      <c r="L58" s="7">
        <f>I58*Parameters!$I$24</f>
        <v>0.0</v>
      </c>
      <c r="M58" s="7">
        <f>J58+K58+L58</f>
        <v>0.0</v>
      </c>
      <c r="N58" s="7">
        <f>C58*Parameters!$I$17+D58*Parameters!$I$18+E58*Parameters!$I$16+I58*Parameters!$I$25+G58*Parameters!$I$30</f>
        <v>0.0076902238926010395</v>
      </c>
      <c r="O58" s="7">
        <f>0</f>
        <v>0</v>
      </c>
      <c r="P58" s="7">
        <f>M58-N58-O58</f>
        <v>-0.0076902238926010395</v>
      </c>
      <c r="Q58" s="7">
        <f>0</f>
        <v>0</v>
      </c>
      <c r="R58" s="7">
        <f>P58-Q58</f>
        <v>-0.0076902238926010395</v>
      </c>
      <c r="S58" s="7">
        <f>IF(A58&lt;1+Parameters!$I$31,0,INDEX($M$45:$M$80,A58-Parameters!$I$31))</f>
        <v>1.1770750856021999</v>
      </c>
      <c r="T58" s="7">
        <f>T57+M58-S58</f>
        <v>0.0</v>
      </c>
      <c r="U58" s="7">
        <f>S58-N58-O58-Q58</f>
        <v>1.1693848617095988</v>
      </c>
      <c r="V58" s="7">
        <f>V57+U58</f>
        <v>3.7538960563396504</v>
      </c>
      <c r="W58" s="7">
        <f>(1-Parameters!$I$7)*(C58-E58)+(1-Parameters!$I$8)*(D58+E58)</f>
        <v>0.0</v>
      </c>
      <c r="X58" s="7">
        <f>Parameters!$I$7*(C58-E58)+Parameters!$I$8*Parameters!$I$9*(D58+E58)</f>
        <v>0.0</v>
      </c>
      <c r="Y58" s="7">
        <f>Parameters!$I$8*(1-Parameters!$I$9)*(D58+E58)</f>
        <v>0.0</v>
      </c>
      <c r="Z58" s="7">
        <f>POWER(1/(1+Parameters!$I$32),A58-1)*(M58-N58)</f>
        <v>-0.006757112114459768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</v>
      </c>
      <c r="E59" s="7">
        <f>Parameters!$I$6*C59</f>
        <v>0.0</v>
      </c>
      <c r="F59" s="7">
        <f>IF(Parameters!$I$5=1,E59,0)</f>
        <v>0.0</v>
      </c>
      <c r="G59" s="7">
        <f>Parameters!$I$27*G58+F59</f>
        <v>0.07536419414749018</v>
      </c>
      <c r="H59" s="7">
        <f>IF(AND(Parameters!$I$5=1,Parameters!$I$26=1),SUMPRODUCT(--($A$45:A59&lt;A59),--(MOD(A59-$A$45:A59,Parameters!$I$28)=0),$F$45:F59,POWER(Parameters!$I$27,IF(A59-$A$45:A59=0,1,A59-$A$45:A59))),0)</f>
        <v>0.0</v>
      </c>
      <c r="I59" s="7">
        <f>Parameters!$I$23*I58+B59*Parameters!$I$22</f>
        <v>0.0</v>
      </c>
      <c r="J59" s="7">
        <f>E59*Parameters!$I$14*(1-Parameters!$I$15)</f>
        <v>0.0</v>
      </c>
      <c r="K59" s="7">
        <f>H59*Parameters!$I$29</f>
        <v>0.0</v>
      </c>
      <c r="L59" s="7">
        <f>I59*Parameters!$I$24</f>
        <v>0.0</v>
      </c>
      <c r="M59" s="7">
        <f>J59+K59+L59</f>
        <v>0.0</v>
      </c>
      <c r="N59" s="7">
        <f>C59*Parameters!$I$17+D59*Parameters!$I$18+E59*Parameters!$I$16+I59*Parameters!$I$25+G59*Parameters!$I$30</f>
        <v>0.007536419414749019</v>
      </c>
      <c r="O59" s="7">
        <f>0</f>
        <v>0</v>
      </c>
      <c r="P59" s="7">
        <f>M59-N59-O59</f>
        <v>-0.007536419414749019</v>
      </c>
      <c r="Q59" s="7">
        <f>0</f>
        <v>0</v>
      </c>
      <c r="R59" s="7">
        <f>P59-Q59</f>
        <v>-0.007536419414749019</v>
      </c>
      <c r="S59" s="7">
        <f>IF(A59&lt;1+Parameters!$I$31,0,INDEX($M$45:$M$80,A59-Parameters!$I$31))</f>
        <v>0.0</v>
      </c>
      <c r="T59" s="7">
        <f>T58+M59-S59</f>
        <v>0.0</v>
      </c>
      <c r="U59" s="7">
        <f>S59-N59-O59-Q59</f>
        <v>-0.007536419414749019</v>
      </c>
      <c r="V59" s="7">
        <f>V58+U59</f>
        <v>3.7463596369249013</v>
      </c>
      <c r="W59" s="7">
        <f>(1-Parameters!$I$7)*(C59-E59)+(1-Parameters!$I$8)*(D59+E59)</f>
        <v>0.0</v>
      </c>
      <c r="X59" s="7">
        <f>Parameters!$I$7*(C59-E59)+Parameters!$I$8*Parameters!$I$9*(D59+E59)</f>
        <v>0.0</v>
      </c>
      <c r="Y59" s="7">
        <f>Parameters!$I$8*(1-Parameters!$I$9)*(D59+E59)</f>
        <v>0.0</v>
      </c>
      <c r="Z59" s="7">
        <f>POWER(1/(1+Parameters!$I$32),A59-1)*(M59-N59)</f>
        <v>-0.006556405814030271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</v>
      </c>
      <c r="E60" s="7">
        <f>Parameters!$I$6*C60</f>
        <v>0.0</v>
      </c>
      <c r="F60" s="7">
        <f>IF(Parameters!$I$5=1,E60,0)</f>
        <v>0.0</v>
      </c>
      <c r="G60" s="7">
        <f>Parameters!$I$27*G59+F60</f>
        <v>0.07385691026454037</v>
      </c>
      <c r="H60" s="7">
        <f>IF(AND(Parameters!$I$5=1,Parameters!$I$26=1),SUMPRODUCT(--($A$45:A60&lt;A60),--(MOD(A60-$A$45:A60,Parameters!$I$28)=0),$F$45:F60,POWER(Parameters!$I$27,IF(A60-$A$45:A60=0,1,A60-$A$45:A60))),0)</f>
        <v>0.0</v>
      </c>
      <c r="I60" s="7">
        <f>Parameters!$I$23*I59+B60*Parameters!$I$22</f>
        <v>0.0</v>
      </c>
      <c r="J60" s="7">
        <f>E60*Parameters!$I$14*(1-Parameters!$I$15)</f>
        <v>0.0</v>
      </c>
      <c r="K60" s="7">
        <f>H60*Parameters!$I$29</f>
        <v>0.0</v>
      </c>
      <c r="L60" s="7">
        <f>I60*Parameters!$I$24</f>
        <v>0.0</v>
      </c>
      <c r="M60" s="7">
        <f>J60+K60+L60</f>
        <v>0.0</v>
      </c>
      <c r="N60" s="7">
        <f>C60*Parameters!$I$17+D60*Parameters!$I$18+E60*Parameters!$I$16+I60*Parameters!$I$25+G60*Parameters!$I$30</f>
        <v>0.0073856910264540375</v>
      </c>
      <c r="O60" s="7">
        <f>0</f>
        <v>0</v>
      </c>
      <c r="P60" s="7">
        <f>M60-N60-O60</f>
        <v>-0.0073856910264540375</v>
      </c>
      <c r="Q60" s="7">
        <f>0</f>
        <v>0</v>
      </c>
      <c r="R60" s="7">
        <f>P60-Q60</f>
        <v>-0.0073856910264540375</v>
      </c>
      <c r="S60" s="7">
        <f>IF(A60&lt;1+Parameters!$I$31,0,INDEX($M$45:$M$80,A60-Parameters!$I$31))</f>
        <v>0.0</v>
      </c>
      <c r="T60" s="7">
        <f>T59+M60-S60</f>
        <v>0.0</v>
      </c>
      <c r="U60" s="7">
        <f>S60-N60-O60-Q60</f>
        <v>-0.0073856910264540375</v>
      </c>
      <c r="V60" s="7">
        <f>V59+U60</f>
        <v>3.7389739458984472</v>
      </c>
      <c r="W60" s="7">
        <f>(1-Parameters!$I$7)*(C60-E60)+(1-Parameters!$I$8)*(D60+E60)</f>
        <v>0.0</v>
      </c>
      <c r="X60" s="7">
        <f>Parameters!$I$7*(C60-E60)+Parameters!$I$8*Parameters!$I$9*(D60+E60)</f>
        <v>0.0</v>
      </c>
      <c r="Y60" s="7">
        <f>Parameters!$I$8*(1-Parameters!$I$9)*(D60+E60)</f>
        <v>0.0</v>
      </c>
      <c r="Z60" s="7">
        <f>POWER(1/(1+Parameters!$I$32),A60-1)*(M60-N60)</f>
        <v>-0.006361661086880856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</v>
      </c>
      <c r="E61" s="7">
        <f>Parameters!$I$6*C61</f>
        <v>0.0</v>
      </c>
      <c r="F61" s="7">
        <f>IF(Parameters!$I$5=1,E61,0)</f>
        <v>0.0</v>
      </c>
      <c r="G61" s="7">
        <f>Parameters!$I$27*G60+F61</f>
        <v>0.07237977205924956</v>
      </c>
      <c r="H61" s="7">
        <f>IF(AND(Parameters!$I$5=1,Parameters!$I$26=1),SUMPRODUCT(--($A$45:A61&lt;A61),--(MOD(A61-$A$45:A61,Parameters!$I$28)=0),$F$45:F61,POWER(Parameters!$I$27,IF(A61-$A$45:A61=0,1,A61-$A$45:A61))),0)</f>
        <v>0.0</v>
      </c>
      <c r="I61" s="7">
        <f>Parameters!$I$23*I60+B61*Parameters!$I$22</f>
        <v>0.0</v>
      </c>
      <c r="J61" s="7">
        <f>E61*Parameters!$I$14*(1-Parameters!$I$15)</f>
        <v>0.0</v>
      </c>
      <c r="K61" s="7">
        <f>H61*Parameters!$I$29</f>
        <v>0.0</v>
      </c>
      <c r="L61" s="7">
        <f>I61*Parameters!$I$24</f>
        <v>0.0</v>
      </c>
      <c r="M61" s="7">
        <f>J61+K61+L61</f>
        <v>0.0</v>
      </c>
      <c r="N61" s="7">
        <f>C61*Parameters!$I$17+D61*Parameters!$I$18+E61*Parameters!$I$16+I61*Parameters!$I$25+G61*Parameters!$I$30</f>
        <v>0.007237977205924956</v>
      </c>
      <c r="O61" s="7">
        <f>0</f>
        <v>0</v>
      </c>
      <c r="P61" s="7">
        <f>M61-N61-O61</f>
        <v>-0.007237977205924956</v>
      </c>
      <c r="Q61" s="7">
        <f>0</f>
        <v>0</v>
      </c>
      <c r="R61" s="7">
        <f>P61-Q61</f>
        <v>-0.007237977205924956</v>
      </c>
      <c r="S61" s="7">
        <f>IF(A61&lt;1+Parameters!$I$31,0,INDEX($M$45:$M$80,A61-Parameters!$I$31))</f>
        <v>0.0</v>
      </c>
      <c r="T61" s="7">
        <f>T60+M61-S61</f>
        <v>0.0</v>
      </c>
      <c r="U61" s="7">
        <f>S61-N61-O61-Q61</f>
        <v>-0.007237977205924956</v>
      </c>
      <c r="V61" s="7">
        <f>V60+U61</f>
        <v>3.731735968692522</v>
      </c>
      <c r="W61" s="7">
        <f>(1-Parameters!$I$7)*(C61-E61)+(1-Parameters!$I$8)*(D61+E61)</f>
        <v>0.0</v>
      </c>
      <c r="X61" s="7">
        <f>Parameters!$I$7*(C61-E61)+Parameters!$I$8*Parameters!$I$9*(D61+E61)</f>
        <v>0.0</v>
      </c>
      <c r="Y61" s="7">
        <f>Parameters!$I$8*(1-Parameters!$I$9)*(D61+E61)</f>
        <v>0.0</v>
      </c>
      <c r="Z61" s="7">
        <f>POWER(1/(1+Parameters!$I$32),A61-1)*(M61-N61)</f>
        <v>-0.006172700856577463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</v>
      </c>
      <c r="E62" s="7">
        <f>Parameters!$I$6*C62</f>
        <v>0.0</v>
      </c>
      <c r="F62" s="7">
        <f>IF(Parameters!$I$5=1,E62,0)</f>
        <v>0.0</v>
      </c>
      <c r="G62" s="7">
        <f>Parameters!$I$27*G61+F62</f>
        <v>0.07093217661806457</v>
      </c>
      <c r="H62" s="7">
        <f>IF(AND(Parameters!$I$5=1,Parameters!$I$26=1),SUMPRODUCT(--($A$45:A62&lt;A62),--(MOD(A62-$A$45:A62,Parameters!$I$28)=0),$F$45:F62,POWER(Parameters!$I$27,IF(A62-$A$45:A62=0,1,A62-$A$45:A62))),0)</f>
        <v>0.0</v>
      </c>
      <c r="I62" s="7">
        <f>Parameters!$I$23*I61+B62*Parameters!$I$22</f>
        <v>0.0</v>
      </c>
      <c r="J62" s="7">
        <f>E62*Parameters!$I$14*(1-Parameters!$I$15)</f>
        <v>0.0</v>
      </c>
      <c r="K62" s="7">
        <f>H62*Parameters!$I$29</f>
        <v>0.0</v>
      </c>
      <c r="L62" s="7">
        <f>I62*Parameters!$I$24</f>
        <v>0.0</v>
      </c>
      <c r="M62" s="7">
        <f>J62+K62+L62</f>
        <v>0.0</v>
      </c>
      <c r="N62" s="7">
        <f>C62*Parameters!$I$17+D62*Parameters!$I$18+E62*Parameters!$I$16+I62*Parameters!$I$25+G62*Parameters!$I$30</f>
        <v>0.0070932176618064575</v>
      </c>
      <c r="O62" s="7">
        <f>0</f>
        <v>0</v>
      </c>
      <c r="P62" s="7">
        <f>M62-N62-O62</f>
        <v>-0.0070932176618064575</v>
      </c>
      <c r="Q62" s="7">
        <f>0</f>
        <v>0</v>
      </c>
      <c r="R62" s="7">
        <f>P62-Q62</f>
        <v>-0.0070932176618064575</v>
      </c>
      <c r="S62" s="7">
        <f>IF(A62&lt;1+Parameters!$I$31,0,INDEX($M$45:$M$80,A62-Parameters!$I$31))</f>
        <v>0.0</v>
      </c>
      <c r="T62" s="7">
        <f>T61+M62-S62</f>
        <v>0.0</v>
      </c>
      <c r="U62" s="7">
        <f>S62-N62-O62-Q62</f>
        <v>-0.0070932176618064575</v>
      </c>
      <c r="V62" s="7">
        <f>V61+U62</f>
        <v>3.7246427510307156</v>
      </c>
      <c r="W62" s="7">
        <f>(1-Parameters!$I$7)*(C62-E62)+(1-Parameters!$I$8)*(D62+E62)</f>
        <v>0.0</v>
      </c>
      <c r="X62" s="7">
        <f>Parameters!$I$7*(C62-E62)+Parameters!$I$8*Parameters!$I$9*(D62+E62)</f>
        <v>0.0</v>
      </c>
      <c r="Y62" s="7">
        <f>Parameters!$I$8*(1-Parameters!$I$9)*(D62+E62)</f>
        <v>0.0</v>
      </c>
      <c r="Z62" s="7">
        <f>POWER(1/(1+Parameters!$I$32),A62-1)*(M62-N62)</f>
        <v>-0.0059893533063820935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</v>
      </c>
      <c r="E63" s="7">
        <f>Parameters!$I$6*C63</f>
        <v>0.0</v>
      </c>
      <c r="F63" s="7">
        <f>IF(Parameters!$I$5=1,E63,0)</f>
        <v>0.0</v>
      </c>
      <c r="G63" s="7">
        <f>Parameters!$I$27*G62+F63</f>
        <v>0.06951353308570328</v>
      </c>
      <c r="H63" s="7">
        <f>IF(AND(Parameters!$I$5=1,Parameters!$I$26=1),SUMPRODUCT(--($A$45:A63&lt;A63),--(MOD(A63-$A$45:A63,Parameters!$I$28)=0),$F$45:F63,POWER(Parameters!$I$27,IF(A63-$A$45:A63=0,1,A63-$A$45:A63))),0)</f>
        <v>0.0</v>
      </c>
      <c r="I63" s="7">
        <f>Parameters!$I$23*I62+B63*Parameters!$I$22</f>
        <v>0.0</v>
      </c>
      <c r="J63" s="7">
        <f>E63*Parameters!$I$14*(1-Parameters!$I$15)</f>
        <v>0.0</v>
      </c>
      <c r="K63" s="7">
        <f>H63*Parameters!$I$29</f>
        <v>0.0</v>
      </c>
      <c r="L63" s="7">
        <f>I63*Parameters!$I$24</f>
        <v>0.0</v>
      </c>
      <c r="M63" s="7">
        <f>J63+K63+L63</f>
        <v>0.0</v>
      </c>
      <c r="N63" s="7">
        <f>C63*Parameters!$I$17+D63*Parameters!$I$18+E63*Parameters!$I$16+I63*Parameters!$I$25+G63*Parameters!$I$30</f>
        <v>0.0069513533085703285</v>
      </c>
      <c r="O63" s="7">
        <f>0</f>
        <v>0</v>
      </c>
      <c r="P63" s="7">
        <f>M63-N63-O63</f>
        <v>-0.0069513533085703285</v>
      </c>
      <c r="Q63" s="7">
        <f>0</f>
        <v>0</v>
      </c>
      <c r="R63" s="7">
        <f>P63-Q63</f>
        <v>-0.0069513533085703285</v>
      </c>
      <c r="S63" s="7">
        <f>IF(A63&lt;1+Parameters!$I$31,0,INDEX($M$45:$M$80,A63-Parameters!$I$31))</f>
        <v>0.0</v>
      </c>
      <c r="T63" s="7">
        <f>T62+M63-S63</f>
        <v>0.0</v>
      </c>
      <c r="U63" s="7">
        <f>S63-N63-O63-Q63</f>
        <v>-0.0069513533085703285</v>
      </c>
      <c r="V63" s="7">
        <f>V62+U63</f>
        <v>3.7176913977221453</v>
      </c>
      <c r="W63" s="7">
        <f>(1-Parameters!$I$7)*(C63-E63)+(1-Parameters!$I$8)*(D63+E63)</f>
        <v>0.0</v>
      </c>
      <c r="X63" s="7">
        <f>Parameters!$I$7*(C63-E63)+Parameters!$I$8*Parameters!$I$9*(D63+E63)</f>
        <v>0.0</v>
      </c>
      <c r="Y63" s="7">
        <f>Parameters!$I$8*(1-Parameters!$I$9)*(D63+E63)</f>
        <v>0.0</v>
      </c>
      <c r="Z63" s="7">
        <f>POWER(1/(1+Parameters!$I$32),A63-1)*(M63-N63)</f>
        <v>-0.0058114517230242095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</v>
      </c>
      <c r="E64" s="7">
        <f>Parameters!$I$6*C64</f>
        <v>0.0</v>
      </c>
      <c r="F64" s="7">
        <f>IF(Parameters!$I$5=1,E64,0)</f>
        <v>0.0</v>
      </c>
      <c r="G64" s="7">
        <f>Parameters!$I$27*G63+F64</f>
        <v>0.06812326242398921</v>
      </c>
      <c r="H64" s="7">
        <f>IF(AND(Parameters!$I$5=1,Parameters!$I$26=1),SUMPRODUCT(--($A$45:A64&lt;A64),--(MOD(A64-$A$45:A64,Parameters!$I$28)=0),$F$45:F64,POWER(Parameters!$I$27,IF(A64-$A$45:A64=0,1,A64-$A$45:A64))),0)</f>
        <v>0.0</v>
      </c>
      <c r="I64" s="7">
        <f>Parameters!$I$23*I63+B64*Parameters!$I$22</f>
        <v>0.0</v>
      </c>
      <c r="J64" s="7">
        <f>E64*Parameters!$I$14*(1-Parameters!$I$15)</f>
        <v>0.0</v>
      </c>
      <c r="K64" s="7">
        <f>H64*Parameters!$I$29</f>
        <v>0.0</v>
      </c>
      <c r="L64" s="7">
        <f>I64*Parameters!$I$24</f>
        <v>0.0</v>
      </c>
      <c r="M64" s="7">
        <f>J64+K64+L64</f>
        <v>0.0</v>
      </c>
      <c r="N64" s="7">
        <f>C64*Parameters!$I$17+D64*Parameters!$I$18+E64*Parameters!$I$16+I64*Parameters!$I$25+G64*Parameters!$I$30</f>
        <v>0.006812326242398921</v>
      </c>
      <c r="O64" s="7">
        <f>0</f>
        <v>0</v>
      </c>
      <c r="P64" s="7">
        <f>M64-N64-O64</f>
        <v>-0.006812326242398921</v>
      </c>
      <c r="Q64" s="7">
        <f>0</f>
        <v>0</v>
      </c>
      <c r="R64" s="7">
        <f>P64-Q64</f>
        <v>-0.006812326242398921</v>
      </c>
      <c r="S64" s="7">
        <f>IF(A64&lt;1+Parameters!$I$31,0,INDEX($M$45:$M$80,A64-Parameters!$I$31))</f>
        <v>0.0</v>
      </c>
      <c r="T64" s="7">
        <f>T63+M64-S64</f>
        <v>0.0</v>
      </c>
      <c r="U64" s="7">
        <f>S64-N64-O64-Q64</f>
        <v>-0.006812326242398921</v>
      </c>
      <c r="V64" s="7">
        <f>V63+U64</f>
        <v>3.7108790714797464</v>
      </c>
      <c r="W64" s="7">
        <f>(1-Parameters!$I$7)*(C64-E64)+(1-Parameters!$I$8)*(D64+E64)</f>
        <v>0.0</v>
      </c>
      <c r="X64" s="7">
        <f>Parameters!$I$7*(C64-E64)+Parameters!$I$8*Parameters!$I$9*(D64+E64)</f>
        <v>0.0</v>
      </c>
      <c r="Y64" s="7">
        <f>Parameters!$I$8*(1-Parameters!$I$9)*(D64+E64)</f>
        <v>0.0</v>
      </c>
      <c r="Z64" s="7">
        <f>POWER(1/(1+Parameters!$I$32),A64-1)*(M64-N64)</f>
        <v>-0.005638834345112598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</v>
      </c>
      <c r="E65" s="7">
        <f>Parameters!$I$6*C65</f>
        <v>0.0</v>
      </c>
      <c r="F65" s="7">
        <f>IF(Parameters!$I$5=1,E65,0)</f>
        <v>0.0</v>
      </c>
      <c r="G65" s="7">
        <f>Parameters!$I$27*G64+F65</f>
        <v>0.06676079717550942</v>
      </c>
      <c r="H65" s="7">
        <f>IF(AND(Parameters!$I$5=1,Parameters!$I$26=1),SUMPRODUCT(--($A$45:A65&lt;A65),--(MOD(A65-$A$45:A65,Parameters!$I$28)=0),$F$45:F65,POWER(Parameters!$I$27,IF(A65-$A$45:A65=0,1,A65-$A$45:A65))),0)</f>
        <v>0.0</v>
      </c>
      <c r="I65" s="7">
        <f>Parameters!$I$23*I64+B65*Parameters!$I$22</f>
        <v>0.0</v>
      </c>
      <c r="J65" s="7">
        <f>E65*Parameters!$I$14*(1-Parameters!$I$15)</f>
        <v>0.0</v>
      </c>
      <c r="K65" s="7">
        <f>H65*Parameters!$I$29</f>
        <v>0.0</v>
      </c>
      <c r="L65" s="7">
        <f>I65*Parameters!$I$24</f>
        <v>0.0</v>
      </c>
      <c r="M65" s="7">
        <f>J65+K65+L65</f>
        <v>0.0</v>
      </c>
      <c r="N65" s="7">
        <f>C65*Parameters!$I$17+D65*Parameters!$I$18+E65*Parameters!$I$16+I65*Parameters!$I$25+G65*Parameters!$I$30</f>
        <v>0.006676079717550943</v>
      </c>
      <c r="O65" s="7">
        <f>0</f>
        <v>0</v>
      </c>
      <c r="P65" s="7">
        <f>M65-N65-O65</f>
        <v>-0.006676079717550943</v>
      </c>
      <c r="Q65" s="7">
        <f>0</f>
        <v>0</v>
      </c>
      <c r="R65" s="7">
        <f>P65-Q65</f>
        <v>-0.006676079717550943</v>
      </c>
      <c r="S65" s="7">
        <f>IF(A65&lt;1+Parameters!$I$31,0,INDEX($M$45:$M$80,A65-Parameters!$I$31))</f>
        <v>0.0</v>
      </c>
      <c r="T65" s="7">
        <f>T64+M65-S65</f>
        <v>0.0</v>
      </c>
      <c r="U65" s="7">
        <f>S65-N65-O65-Q65</f>
        <v>-0.006676079717550943</v>
      </c>
      <c r="V65" s="7">
        <f>V64+U65</f>
        <v>3.7042029917621955</v>
      </c>
      <c r="W65" s="7">
        <f>(1-Parameters!$I$7)*(C65-E65)+(1-Parameters!$I$8)*(D65+E65)</f>
        <v>0.0</v>
      </c>
      <c r="X65" s="7">
        <f>Parameters!$I$7*(C65-E65)+Parameters!$I$8*Parameters!$I$9*(D65+E65)</f>
        <v>0.0</v>
      </c>
      <c r="Y65" s="7">
        <f>Parameters!$I$8*(1-Parameters!$I$9)*(D65+E65)</f>
        <v>0.0</v>
      </c>
      <c r="Z65" s="7">
        <f>POWER(1/(1+Parameters!$I$32),A65-1)*(M65-N65)</f>
        <v>-0.005471344216049848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</v>
      </c>
      <c r="E66" s="7">
        <f>Parameters!$I$6*C66</f>
        <v>0.0</v>
      </c>
      <c r="F66" s="7">
        <f>IF(Parameters!$I$5=1,E66,0)</f>
        <v>0.0</v>
      </c>
      <c r="G66" s="7">
        <f>Parameters!$I$27*G65+F66</f>
        <v>0.06542558123199924</v>
      </c>
      <c r="H66" s="7">
        <f>IF(AND(Parameters!$I$5=1,Parameters!$I$26=1),SUMPRODUCT(--($A$45:A66&lt;A66),--(MOD(A66-$A$45:A66,Parameters!$I$28)=0),$F$45:F66,POWER(Parameters!$I$27,IF(A66-$A$45:A66=0,1,A66-$A$45:A66))),0)</f>
        <v>0.0</v>
      </c>
      <c r="I66" s="7">
        <f>Parameters!$I$23*I65+B66*Parameters!$I$22</f>
        <v>0.0</v>
      </c>
      <c r="J66" s="7">
        <f>E66*Parameters!$I$14*(1-Parameters!$I$15)</f>
        <v>0.0</v>
      </c>
      <c r="K66" s="7">
        <f>H66*Parameters!$I$29</f>
        <v>0.0</v>
      </c>
      <c r="L66" s="7">
        <f>I66*Parameters!$I$24</f>
        <v>0.0</v>
      </c>
      <c r="M66" s="7">
        <f>J66+K66+L66</f>
        <v>0.0</v>
      </c>
      <c r="N66" s="7">
        <f>C66*Parameters!$I$17+D66*Parameters!$I$18+E66*Parameters!$I$16+I66*Parameters!$I$25+G66*Parameters!$I$30</f>
        <v>0.006542558123199924</v>
      </c>
      <c r="O66" s="7">
        <f>0</f>
        <v>0</v>
      </c>
      <c r="P66" s="7">
        <f>M66-N66-O66</f>
        <v>-0.006542558123199924</v>
      </c>
      <c r="Q66" s="7">
        <f>0</f>
        <v>0</v>
      </c>
      <c r="R66" s="7">
        <f>P66-Q66</f>
        <v>-0.006542558123199924</v>
      </c>
      <c r="S66" s="7">
        <f>IF(A66&lt;1+Parameters!$I$31,0,INDEX($M$45:$M$80,A66-Parameters!$I$31))</f>
        <v>0.0</v>
      </c>
      <c r="T66" s="7">
        <f>T65+M66-S66</f>
        <v>0.0</v>
      </c>
      <c r="U66" s="7">
        <f>S66-N66-O66-Q66</f>
        <v>-0.006542558123199924</v>
      </c>
      <c r="V66" s="7">
        <f>V65+U66</f>
        <v>3.6976604336389958</v>
      </c>
      <c r="W66" s="7">
        <f>(1-Parameters!$I$7)*(C66-E66)+(1-Parameters!$I$8)*(D66+E66)</f>
        <v>0.0</v>
      </c>
      <c r="X66" s="7">
        <f>Parameters!$I$7*(C66-E66)+Parameters!$I$8*Parameters!$I$9*(D66+E66)</f>
        <v>0.0</v>
      </c>
      <c r="Y66" s="7">
        <f>Parameters!$I$8*(1-Parameters!$I$9)*(D66+E66)</f>
        <v>0.0</v>
      </c>
      <c r="Z66" s="7">
        <f>POWER(1/(1+Parameters!$I$32),A66-1)*(M66-N66)</f>
        <v>-0.005308829041315694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</v>
      </c>
      <c r="E67" s="7">
        <f>Parameters!$I$6*C67</f>
        <v>0.0</v>
      </c>
      <c r="F67" s="7">
        <f>IF(Parameters!$I$5=1,E67,0)</f>
        <v>0.0</v>
      </c>
      <c r="G67" s="7">
        <f>Parameters!$I$27*G66+F67</f>
        <v>0.06411706960735924</v>
      </c>
      <c r="H67" s="7">
        <f>IF(AND(Parameters!$I$5=1,Parameters!$I$26=1),SUMPRODUCT(--($A$45:A67&lt;A67),--(MOD(A67-$A$45:A67,Parameters!$I$28)=0),$F$45:F67,POWER(Parameters!$I$27,IF(A67-$A$45:A67=0,1,A67-$A$45:A67))),0)</f>
        <v>0.0</v>
      </c>
      <c r="I67" s="7">
        <f>Parameters!$I$23*I66+B67*Parameters!$I$22</f>
        <v>0.0</v>
      </c>
      <c r="J67" s="7">
        <f>E67*Parameters!$I$14*(1-Parameters!$I$15)</f>
        <v>0.0</v>
      </c>
      <c r="K67" s="7">
        <f>H67*Parameters!$I$29</f>
        <v>0.0</v>
      </c>
      <c r="L67" s="7">
        <f>I67*Parameters!$I$24</f>
        <v>0.0</v>
      </c>
      <c r="M67" s="7">
        <f>J67+K67+L67</f>
        <v>0.0</v>
      </c>
      <c r="N67" s="7">
        <f>C67*Parameters!$I$17+D67*Parameters!$I$18+E67*Parameters!$I$16+I67*Parameters!$I$25+G67*Parameters!$I$30</f>
        <v>0.0064117069607359245</v>
      </c>
      <c r="O67" s="7">
        <f>0</f>
        <v>0</v>
      </c>
      <c r="P67" s="7">
        <f>M67-N67-O67</f>
        <v>-0.0064117069607359245</v>
      </c>
      <c r="Q67" s="7">
        <f>0</f>
        <v>0</v>
      </c>
      <c r="R67" s="7">
        <f>P67-Q67</f>
        <v>-0.0064117069607359245</v>
      </c>
      <c r="S67" s="7">
        <f>IF(A67&lt;1+Parameters!$I$31,0,INDEX($M$45:$M$80,A67-Parameters!$I$31))</f>
        <v>0.0</v>
      </c>
      <c r="T67" s="7">
        <f>T66+M67-S67</f>
        <v>0.0</v>
      </c>
      <c r="U67" s="7">
        <f>S67-N67-O67-Q67</f>
        <v>-0.0064117069607359245</v>
      </c>
      <c r="V67" s="7">
        <f>V66+U67</f>
        <v>3.6912487266782597</v>
      </c>
      <c r="W67" s="7">
        <f>(1-Parameters!$I$7)*(C67-E67)+(1-Parameters!$I$8)*(D67+E67)</f>
        <v>0.0</v>
      </c>
      <c r="X67" s="7">
        <f>Parameters!$I$7*(C67-E67)+Parameters!$I$8*Parameters!$I$9*(D67+E67)</f>
        <v>0.0</v>
      </c>
      <c r="Y67" s="7">
        <f>Parameters!$I$8*(1-Parameters!$I$9)*(D67+E67)</f>
        <v>0.0</v>
      </c>
      <c r="Z67" s="7">
        <f>POWER(1/(1+Parameters!$I$32),A67-1)*(M67-N67)</f>
        <v>-0.0051511410499894845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</v>
      </c>
      <c r="E68" s="7">
        <f>Parameters!$I$6*C68</f>
        <v>0.0</v>
      </c>
      <c r="F68" s="7">
        <f>IF(Parameters!$I$5=1,E68,0)</f>
        <v>0.0</v>
      </c>
      <c r="G68" s="7">
        <f>Parameters!$I$27*G67+F68</f>
        <v>0.06283472821521206</v>
      </c>
      <c r="H68" s="7">
        <f>IF(AND(Parameters!$I$5=1,Parameters!$I$26=1),SUMPRODUCT(--($A$45:A68&lt;A68),--(MOD(A68-$A$45:A68,Parameters!$I$28)=0),$F$45:F68,POWER(Parameters!$I$27,IF(A68-$A$45:A68=0,1,A68-$A$45:A68))),0)</f>
        <v>0.0</v>
      </c>
      <c r="I68" s="7">
        <f>Parameters!$I$23*I67+B68*Parameters!$I$22</f>
        <v>0.0</v>
      </c>
      <c r="J68" s="7">
        <f>E68*Parameters!$I$14*(1-Parameters!$I$15)</f>
        <v>0.0</v>
      </c>
      <c r="K68" s="7">
        <f>H68*Parameters!$I$29</f>
        <v>0.0</v>
      </c>
      <c r="L68" s="7">
        <f>I68*Parameters!$I$24</f>
        <v>0.0</v>
      </c>
      <c r="M68" s="7">
        <f>J68+K68+L68</f>
        <v>0.0</v>
      </c>
      <c r="N68" s="7">
        <f>C68*Parameters!$I$17+D68*Parameters!$I$18+E68*Parameters!$I$16+I68*Parameters!$I$25+G68*Parameters!$I$30</f>
        <v>0.006283472821521207</v>
      </c>
      <c r="O68" s="7">
        <f>0</f>
        <v>0</v>
      </c>
      <c r="P68" s="7">
        <f>M68-N68-O68</f>
        <v>-0.006283472821521207</v>
      </c>
      <c r="Q68" s="7">
        <f>0</f>
        <v>0</v>
      </c>
      <c r="R68" s="7">
        <f>P68-Q68</f>
        <v>-0.006283472821521207</v>
      </c>
      <c r="S68" s="7">
        <f>IF(A68&lt;1+Parameters!$I$31,0,INDEX($M$45:$M$80,A68-Parameters!$I$31))</f>
        <v>0.0</v>
      </c>
      <c r="T68" s="7">
        <f>T67+M68-S68</f>
        <v>0.0</v>
      </c>
      <c r="U68" s="7">
        <f>S68-N68-O68-Q68</f>
        <v>-0.006283472821521207</v>
      </c>
      <c r="V68" s="7">
        <f>V67+U68</f>
        <v>3.6849652538567383</v>
      </c>
      <c r="W68" s="7">
        <f>(1-Parameters!$I$7)*(C68-E68)+(1-Parameters!$I$8)*(D68+E68)</f>
        <v>0.0</v>
      </c>
      <c r="X68" s="7">
        <f>Parameters!$I$7*(C68-E68)+Parameters!$I$8*Parameters!$I$9*(D68+E68)</f>
        <v>0.0</v>
      </c>
      <c r="Y68" s="7">
        <f>Parameters!$I$8*(1-Parameters!$I$9)*(D68+E68)</f>
        <v>0.0</v>
      </c>
      <c r="Z68" s="7">
        <f>POWER(1/(1+Parameters!$I$32),A68-1)*(M68-N68)</f>
        <v>-0.0049981368603858375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</v>
      </c>
      <c r="E69" s="7">
        <f>Parameters!$I$6*C69</f>
        <v>0.0</v>
      </c>
      <c r="F69" s="7">
        <f>IF(Parameters!$I$5=1,E69,0)</f>
        <v>0.0</v>
      </c>
      <c r="G69" s="7">
        <f>Parameters!$I$27*G68+F69</f>
        <v>0.06157803365090782</v>
      </c>
      <c r="H69" s="7">
        <f>IF(AND(Parameters!$I$5=1,Parameters!$I$26=1),SUMPRODUCT(--($A$45:A69&lt;A69),--(MOD(A69-$A$45:A69,Parameters!$I$28)=0),$F$45:F69,POWER(Parameters!$I$27,IF(A69-$A$45:A69=0,1,A69-$A$45:A69))),0)</f>
        <v>0.06157803365090783</v>
      </c>
      <c r="I69" s="7">
        <f>Parameters!$I$23*I68+B69*Parameters!$I$22</f>
        <v>0.0</v>
      </c>
      <c r="J69" s="7">
        <f>E69*Parameters!$I$14*(1-Parameters!$I$15)</f>
        <v>0.0</v>
      </c>
      <c r="K69" s="7">
        <f>H69*Parameters!$I$29</f>
        <v>0.9236705047636175</v>
      </c>
      <c r="L69" s="7">
        <f>I69*Parameters!$I$24</f>
        <v>0.0</v>
      </c>
      <c r="M69" s="7">
        <f>J69+K69+L69</f>
        <v>0.9236705047636175</v>
      </c>
      <c r="N69" s="7">
        <f>C69*Parameters!$I$17+D69*Parameters!$I$18+E69*Parameters!$I$16+I69*Parameters!$I$25+G69*Parameters!$I$30</f>
        <v>0.006157803365090782</v>
      </c>
      <c r="O69" s="7">
        <f>0</f>
        <v>0</v>
      </c>
      <c r="P69" s="7">
        <f>M69-N69-O69</f>
        <v>0.9175127013985267</v>
      </c>
      <c r="Q69" s="7">
        <f>0</f>
        <v>0</v>
      </c>
      <c r="R69" s="7">
        <f>P69-Q69</f>
        <v>0.9175127013985267</v>
      </c>
      <c r="S69" s="7">
        <f>IF(A69&lt;1+Parameters!$I$31,0,INDEX($M$45:$M$80,A69-Parameters!$I$31))</f>
        <v>0.0</v>
      </c>
      <c r="T69" s="7">
        <f>T68+M69-S69</f>
        <v>0.9236705047636175</v>
      </c>
      <c r="U69" s="7">
        <f>S69-N69-O69-Q69</f>
        <v>-0.006157803365090782</v>
      </c>
      <c r="V69" s="7">
        <f>V68+U69</f>
        <v>3.6788074504916475</v>
      </c>
      <c r="W69" s="7">
        <f>(1-Parameters!$I$7)*(C69-E69)+(1-Parameters!$I$8)*(D69+E69)</f>
        <v>0.0</v>
      </c>
      <c r="X69" s="7">
        <f>Parameters!$I$7*(C69-E69)+Parameters!$I$8*Parameters!$I$9*(D69+E69)</f>
        <v>0.0</v>
      </c>
      <c r="Y69" s="7">
        <f>Parameters!$I$8*(1-Parameters!$I$9)*(D69+E69)</f>
        <v>0.0</v>
      </c>
      <c r="Z69" s="7">
        <f>POWER(1/(1+Parameters!$I$32),A69-1)*(M69-N69)</f>
        <v>0.7226019251025149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</v>
      </c>
      <c r="E70" s="7">
        <f>Parameters!$I$6*C70</f>
        <v>0.0</v>
      </c>
      <c r="F70" s="7">
        <f>IF(Parameters!$I$5=1,E70,0)</f>
        <v>0.0</v>
      </c>
      <c r="G70" s="7">
        <f>Parameters!$I$27*G69+F70</f>
        <v>0.06034647297788966</v>
      </c>
      <c r="H70" s="7">
        <f>IF(AND(Parameters!$I$5=1,Parameters!$I$26=1),SUMPRODUCT(--($A$45:A70&lt;A70),--(MOD(A70-$A$45:A70,Parameters!$I$28)=0),$F$45:F70,POWER(Parameters!$I$27,IF(A70-$A$45:A70=0,1,A70-$A$45:A70))),0)</f>
        <v>0.0</v>
      </c>
      <c r="I70" s="7">
        <f>Parameters!$I$23*I69+B70*Parameters!$I$22</f>
        <v>0.0</v>
      </c>
      <c r="J70" s="7">
        <f>E70*Parameters!$I$14*(1-Parameters!$I$15)</f>
        <v>0.0</v>
      </c>
      <c r="K70" s="7">
        <f>H70*Parameters!$I$29</f>
        <v>0.0</v>
      </c>
      <c r="L70" s="7">
        <f>I70*Parameters!$I$24</f>
        <v>0.0</v>
      </c>
      <c r="M70" s="7">
        <f>J70+K70+L70</f>
        <v>0.0</v>
      </c>
      <c r="N70" s="7">
        <f>C70*Parameters!$I$17+D70*Parameters!$I$18+E70*Parameters!$I$16+I70*Parameters!$I$25+G70*Parameters!$I$30</f>
        <v>0.006034647297788967</v>
      </c>
      <c r="O70" s="7">
        <f>0</f>
        <v>0</v>
      </c>
      <c r="P70" s="7">
        <f>M70-N70-O70</f>
        <v>-0.006034647297788967</v>
      </c>
      <c r="Q70" s="7">
        <f>0</f>
        <v>0</v>
      </c>
      <c r="R70" s="7">
        <f>P70-Q70</f>
        <v>-0.006034647297788967</v>
      </c>
      <c r="S70" s="7">
        <f>IF(A70&lt;1+Parameters!$I$31,0,INDEX($M$45:$M$80,A70-Parameters!$I$31))</f>
        <v>0.9236705047636175</v>
      </c>
      <c r="T70" s="7">
        <f>T69+M70-S70</f>
        <v>0.0</v>
      </c>
      <c r="U70" s="7">
        <f>S70-N70-O70-Q70</f>
        <v>0.9176358574658284</v>
      </c>
      <c r="V70" s="7">
        <f>V69+U70</f>
        <v>4.596443307957476</v>
      </c>
      <c r="W70" s="7">
        <f>(1-Parameters!$I$7)*(C70-E70)+(1-Parameters!$I$8)*(D70+E70)</f>
        <v>0.0</v>
      </c>
      <c r="X70" s="7">
        <f>Parameters!$I$7*(C70-E70)+Parameters!$I$8*Parameters!$I$9*(D70+E70)</f>
        <v>0.0</v>
      </c>
      <c r="Y70" s="7">
        <f>Parameters!$I$8*(1-Parameters!$I$9)*(D70+E70)</f>
        <v>0.0</v>
      </c>
      <c r="Z70" s="7">
        <f>POWER(1/(1+Parameters!$I$32),A70-1)*(M70-N70)</f>
        <v>-0.0047056275274135455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</v>
      </c>
      <c r="E71" s="7">
        <f>Parameters!$I$6*C71</f>
        <v>0.0</v>
      </c>
      <c r="F71" s="7">
        <f>IF(Parameters!$I$5=1,E71,0)</f>
        <v>0.0</v>
      </c>
      <c r="G71" s="7">
        <f>Parameters!$I$27*G70+F71</f>
        <v>0.059139543518331866</v>
      </c>
      <c r="H71" s="7">
        <f>IF(AND(Parameters!$I$5=1,Parameters!$I$26=1),SUMPRODUCT(--($A$45:A71&lt;A71),--(MOD(A71-$A$45:A71,Parameters!$I$28)=0),$F$45:F71,POWER(Parameters!$I$27,IF(A71-$A$45:A71=0,1,A71-$A$45:A71))),0)</f>
        <v>0.0</v>
      </c>
      <c r="I71" s="7">
        <f>Parameters!$I$23*I70+B71*Parameters!$I$22</f>
        <v>0.0</v>
      </c>
      <c r="J71" s="7">
        <f>E71*Parameters!$I$14*(1-Parameters!$I$15)</f>
        <v>0.0</v>
      </c>
      <c r="K71" s="7">
        <f>H71*Parameters!$I$29</f>
        <v>0.0</v>
      </c>
      <c r="L71" s="7">
        <f>I71*Parameters!$I$24</f>
        <v>0.0</v>
      </c>
      <c r="M71" s="7">
        <f>J71+K71+L71</f>
        <v>0.0</v>
      </c>
      <c r="N71" s="7">
        <f>C71*Parameters!$I$17+D71*Parameters!$I$18+E71*Parameters!$I$16+I71*Parameters!$I$25+G71*Parameters!$I$30</f>
        <v>0.005913954351833187</v>
      </c>
      <c r="O71" s="7">
        <f>0</f>
        <v>0</v>
      </c>
      <c r="P71" s="7">
        <f>M71-N71-O71</f>
        <v>-0.005913954351833187</v>
      </c>
      <c r="Q71" s="7">
        <f>0</f>
        <v>0</v>
      </c>
      <c r="R71" s="7">
        <f>P71-Q71</f>
        <v>-0.005913954351833187</v>
      </c>
      <c r="S71" s="7">
        <f>IF(A71&lt;1+Parameters!$I$31,0,INDEX($M$45:$M$80,A71-Parameters!$I$31))</f>
        <v>0.0</v>
      </c>
      <c r="T71" s="7">
        <f>T70+M71-S71</f>
        <v>0.0</v>
      </c>
      <c r="U71" s="7">
        <f>S71-N71-O71-Q71</f>
        <v>-0.005913954351833187</v>
      </c>
      <c r="V71" s="7">
        <f>V70+U71</f>
        <v>4.590529353605643</v>
      </c>
      <c r="W71" s="7">
        <f>(1-Parameters!$I$7)*(C71-E71)+(1-Parameters!$I$8)*(D71+E71)</f>
        <v>0.0</v>
      </c>
      <c r="X71" s="7">
        <f>Parameters!$I$7*(C71-E71)+Parameters!$I$8*Parameters!$I$9*(D71+E71)</f>
        <v>0.0</v>
      </c>
      <c r="Y71" s="7">
        <f>Parameters!$I$8*(1-Parameters!$I$9)*(D71+E71)</f>
        <v>0.0</v>
      </c>
      <c r="Z71" s="7">
        <f>POWER(1/(1+Parameters!$I$32),A71-1)*(M71-N71)</f>
        <v>-0.004565856412737895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</v>
      </c>
      <c r="E72" s="7">
        <f>Parameters!$I$6*C72</f>
        <v>0.0</v>
      </c>
      <c r="F72" s="7">
        <f>IF(Parameters!$I$5=1,E72,0)</f>
        <v>0.0</v>
      </c>
      <c r="G72" s="7">
        <f>Parameters!$I$27*G71+F72</f>
        <v>0.05795675264796523</v>
      </c>
      <c r="H72" s="7">
        <f>IF(AND(Parameters!$I$5=1,Parameters!$I$26=1),SUMPRODUCT(--($A$45:A72&lt;A72),--(MOD(A72-$A$45:A72,Parameters!$I$28)=0),$F$45:F72,POWER(Parameters!$I$27,IF(A72-$A$45:A72=0,1,A72-$A$45:A72))),0)</f>
        <v>0.0</v>
      </c>
      <c r="I72" s="7">
        <f>Parameters!$I$23*I71+B72*Parameters!$I$22</f>
        <v>0.0</v>
      </c>
      <c r="J72" s="7">
        <f>E72*Parameters!$I$14*(1-Parameters!$I$15)</f>
        <v>0.0</v>
      </c>
      <c r="K72" s="7">
        <f>H72*Parameters!$I$29</f>
        <v>0.0</v>
      </c>
      <c r="L72" s="7">
        <f>I72*Parameters!$I$24</f>
        <v>0.0</v>
      </c>
      <c r="M72" s="7">
        <f>J72+K72+L72</f>
        <v>0.0</v>
      </c>
      <c r="N72" s="7">
        <f>C72*Parameters!$I$17+D72*Parameters!$I$18+E72*Parameters!$I$16+I72*Parameters!$I$25+G72*Parameters!$I$30</f>
        <v>0.005795675264796523</v>
      </c>
      <c r="O72" s="7">
        <f>0</f>
        <v>0</v>
      </c>
      <c r="P72" s="7">
        <f>M72-N72-O72</f>
        <v>-0.005795675264796523</v>
      </c>
      <c r="Q72" s="7">
        <f>0</f>
        <v>0</v>
      </c>
      <c r="R72" s="7">
        <f>P72-Q72</f>
        <v>-0.005795675264796523</v>
      </c>
      <c r="S72" s="7">
        <f>IF(A72&lt;1+Parameters!$I$31,0,INDEX($M$45:$M$80,A72-Parameters!$I$31))</f>
        <v>0.0</v>
      </c>
      <c r="T72" s="7">
        <f>T71+M72-S72</f>
        <v>0.0</v>
      </c>
      <c r="U72" s="7">
        <f>S72-N72-O72-Q72</f>
        <v>-0.005795675264796523</v>
      </c>
      <c r="V72" s="7">
        <f>V71+U72</f>
        <v>4.584733678340846</v>
      </c>
      <c r="W72" s="7">
        <f>(1-Parameters!$I$7)*(C72-E72)+(1-Parameters!$I$8)*(D72+E72)</f>
        <v>0.0</v>
      </c>
      <c r="X72" s="7">
        <f>Parameters!$I$7*(C72-E72)+Parameters!$I$8*Parameters!$I$9*(D72+E72)</f>
        <v>0.0</v>
      </c>
      <c r="Y72" s="7">
        <f>Parameters!$I$8*(1-Parameters!$I$9)*(D72+E72)</f>
        <v>0.0</v>
      </c>
      <c r="Z72" s="7">
        <f>POWER(1/(1+Parameters!$I$32),A72-1)*(M72-N72)</f>
        <v>-0.0044302369153298386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</v>
      </c>
      <c r="E73" s="7">
        <f>Parameters!$I$6*C73</f>
        <v>0.0</v>
      </c>
      <c r="F73" s="7">
        <f>IF(Parameters!$I$5=1,E73,0)</f>
        <v>0.0</v>
      </c>
      <c r="G73" s="7">
        <f>Parameters!$I$27*G72+F73</f>
        <v>0.05679761759500593</v>
      </c>
      <c r="H73" s="7">
        <f>IF(AND(Parameters!$I$5=1,Parameters!$I$26=1),SUMPRODUCT(--($A$45:A73&lt;A73),--(MOD(A73-$A$45:A73,Parameters!$I$28)=0),$F$45:F73,POWER(Parameters!$I$27,IF(A73-$A$45:A73=0,1,A73-$A$45:A73))),0)</f>
        <v>0.0</v>
      </c>
      <c r="I73" s="7">
        <f>Parameters!$I$23*I72+B73*Parameters!$I$22</f>
        <v>0.0</v>
      </c>
      <c r="J73" s="7">
        <f>E73*Parameters!$I$14*(1-Parameters!$I$15)</f>
        <v>0.0</v>
      </c>
      <c r="K73" s="7">
        <f>H73*Parameters!$I$29</f>
        <v>0.0</v>
      </c>
      <c r="L73" s="7">
        <f>I73*Parameters!$I$24</f>
        <v>0.0</v>
      </c>
      <c r="M73" s="7">
        <f>J73+K73+L73</f>
        <v>0.0</v>
      </c>
      <c r="N73" s="7">
        <f>C73*Parameters!$I$17+D73*Parameters!$I$18+E73*Parameters!$I$16+I73*Parameters!$I$25+G73*Parameters!$I$30</f>
        <v>0.005679761759500593</v>
      </c>
      <c r="O73" s="7">
        <f>0</f>
        <v>0</v>
      </c>
      <c r="P73" s="7">
        <f>M73-N73-O73</f>
        <v>-0.005679761759500593</v>
      </c>
      <c r="Q73" s="7">
        <f>0</f>
        <v>0</v>
      </c>
      <c r="R73" s="7">
        <f>P73-Q73</f>
        <v>-0.005679761759500593</v>
      </c>
      <c r="S73" s="7">
        <f>IF(A73&lt;1+Parameters!$I$31,0,INDEX($M$45:$M$80,A73-Parameters!$I$31))</f>
        <v>0.0</v>
      </c>
      <c r="T73" s="7">
        <f>T72+M73-S73</f>
        <v>0.0</v>
      </c>
      <c r="U73" s="7">
        <f>S73-N73-O73-Q73</f>
        <v>-0.005679761759500593</v>
      </c>
      <c r="V73" s="7">
        <f>V72+U73</f>
        <v>4.579053916581345</v>
      </c>
      <c r="W73" s="7">
        <f>(1-Parameters!$I$7)*(C73-E73)+(1-Parameters!$I$8)*(D73+E73)</f>
        <v>0.0</v>
      </c>
      <c r="X73" s="7">
        <f>Parameters!$I$7*(C73-E73)+Parameters!$I$8*Parameters!$I$9*(D73+E73)</f>
        <v>0.0</v>
      </c>
      <c r="Y73" s="7">
        <f>Parameters!$I$8*(1-Parameters!$I$9)*(D73+E73)</f>
        <v>0.0</v>
      </c>
      <c r="Z73" s="7">
        <f>POWER(1/(1+Parameters!$I$32),A73-1)*(M73-N73)</f>
        <v>-0.004298645719824992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</v>
      </c>
      <c r="E74" s="7">
        <f>Parameters!$I$6*C74</f>
        <v>0.0</v>
      </c>
      <c r="F74" s="7">
        <f>IF(Parameters!$I$5=1,E74,0)</f>
        <v>0.0</v>
      </c>
      <c r="G74" s="7">
        <f>Parameters!$I$27*G73+F74</f>
        <v>0.055661665243105805</v>
      </c>
      <c r="H74" s="7">
        <f>IF(AND(Parameters!$I$5=1,Parameters!$I$26=1),SUMPRODUCT(--($A$45:A74&lt;A74),--(MOD(A74-$A$45:A74,Parameters!$I$28)=0),$F$45:F74,POWER(Parameters!$I$27,IF(A74-$A$45:A74=0,1,A74-$A$45:A74))),0)</f>
        <v>0.0</v>
      </c>
      <c r="I74" s="7">
        <f>Parameters!$I$23*I73+B74*Parameters!$I$22</f>
        <v>0.0</v>
      </c>
      <c r="J74" s="7">
        <f>E74*Parameters!$I$14*(1-Parameters!$I$15)</f>
        <v>0.0</v>
      </c>
      <c r="K74" s="7">
        <f>H74*Parameters!$I$29</f>
        <v>0.0</v>
      </c>
      <c r="L74" s="7">
        <f>I74*Parameters!$I$24</f>
        <v>0.0</v>
      </c>
      <c r="M74" s="7">
        <f>J74+K74+L74</f>
        <v>0.0</v>
      </c>
      <c r="N74" s="7">
        <f>C74*Parameters!$I$17+D74*Parameters!$I$18+E74*Parameters!$I$16+I74*Parameters!$I$25+G74*Parameters!$I$30</f>
        <v>0.005566166524310581</v>
      </c>
      <c r="O74" s="7">
        <f>0</f>
        <v>0</v>
      </c>
      <c r="P74" s="7">
        <f>M74-N74-O74</f>
        <v>-0.005566166524310581</v>
      </c>
      <c r="Q74" s="7">
        <f>0</f>
        <v>0</v>
      </c>
      <c r="R74" s="7">
        <f>P74-Q74</f>
        <v>-0.005566166524310581</v>
      </c>
      <c r="S74" s="7">
        <f>IF(A74&lt;1+Parameters!$I$31,0,INDEX($M$45:$M$80,A74-Parameters!$I$31))</f>
        <v>0.0</v>
      </c>
      <c r="T74" s="7">
        <f>T73+M74-S74</f>
        <v>0.0</v>
      </c>
      <c r="U74" s="7">
        <f>S74-N74-O74-Q74</f>
        <v>-0.005566166524310581</v>
      </c>
      <c r="V74" s="7">
        <f>V73+U74</f>
        <v>4.573487750057034</v>
      </c>
      <c r="W74" s="7">
        <f>(1-Parameters!$I$7)*(C74-E74)+(1-Parameters!$I$8)*(D74+E74)</f>
        <v>0.0</v>
      </c>
      <c r="X74" s="7">
        <f>Parameters!$I$7*(C74-E74)+Parameters!$I$8*Parameters!$I$9*(D74+E74)</f>
        <v>0.0</v>
      </c>
      <c r="Y74" s="7">
        <f>Parameters!$I$8*(1-Parameters!$I$9)*(D74+E74)</f>
        <v>0.0</v>
      </c>
      <c r="Z74" s="7">
        <f>POWER(1/(1+Parameters!$I$32),A74-1)*(M74-N74)</f>
        <v>-0.0041709631736915765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</v>
      </c>
      <c r="E75" s="7">
        <f>Parameters!$I$6*C75</f>
        <v>0.0</v>
      </c>
      <c r="F75" s="7">
        <f>IF(Parameters!$I$5=1,E75,0)</f>
        <v>0.0</v>
      </c>
      <c r="G75" s="7">
        <f>Parameters!$I$27*G74+F75</f>
        <v>0.054548431938243686</v>
      </c>
      <c r="H75" s="7">
        <f>IF(AND(Parameters!$I$5=1,Parameters!$I$26=1),SUMPRODUCT(--($A$45:A75&lt;A75),--(MOD(A75-$A$45:A75,Parameters!$I$28)=0),$F$45:F75,POWER(Parameters!$I$27,IF(A75-$A$45:A75=0,1,A75-$A$45:A75))),0)</f>
        <v>0.0</v>
      </c>
      <c r="I75" s="7">
        <f>Parameters!$I$23*I74+B75*Parameters!$I$22</f>
        <v>0.0</v>
      </c>
      <c r="J75" s="7">
        <f>E75*Parameters!$I$14*(1-Parameters!$I$15)</f>
        <v>0.0</v>
      </c>
      <c r="K75" s="7">
        <f>H75*Parameters!$I$29</f>
        <v>0.0</v>
      </c>
      <c r="L75" s="7">
        <f>I75*Parameters!$I$24</f>
        <v>0.0</v>
      </c>
      <c r="M75" s="7">
        <f>J75+K75+L75</f>
        <v>0.0</v>
      </c>
      <c r="N75" s="7">
        <f>C75*Parameters!$I$17+D75*Parameters!$I$18+E75*Parameters!$I$16+I75*Parameters!$I$25+G75*Parameters!$I$30</f>
        <v>0.005454843193824369</v>
      </c>
      <c r="O75" s="7">
        <f>0</f>
        <v>0</v>
      </c>
      <c r="P75" s="7">
        <f>M75-N75-O75</f>
        <v>-0.005454843193824369</v>
      </c>
      <c r="Q75" s="7">
        <f>0</f>
        <v>0</v>
      </c>
      <c r="R75" s="7">
        <f>P75-Q75</f>
        <v>-0.005454843193824369</v>
      </c>
      <c r="S75" s="7">
        <f>IF(A75&lt;1+Parameters!$I$31,0,INDEX($M$45:$M$80,A75-Parameters!$I$31))</f>
        <v>0.0</v>
      </c>
      <c r="T75" s="7">
        <f>T74+M75-S75</f>
        <v>0.0</v>
      </c>
      <c r="U75" s="7">
        <f>S75-N75-O75-Q75</f>
        <v>-0.005454843193824369</v>
      </c>
      <c r="V75" s="7">
        <f>V74+U75</f>
        <v>4.56803290686321</v>
      </c>
      <c r="W75" s="7">
        <f>(1-Parameters!$I$7)*(C75-E75)+(1-Parameters!$I$8)*(D75+E75)</f>
        <v>0.0</v>
      </c>
      <c r="X75" s="7">
        <f>Parameters!$I$7*(C75-E75)+Parameters!$I$8*Parameters!$I$9*(D75+E75)</f>
        <v>0.0</v>
      </c>
      <c r="Y75" s="7">
        <f>Parameters!$I$8*(1-Parameters!$I$9)*(D75+E75)</f>
        <v>0.0</v>
      </c>
      <c r="Z75" s="7">
        <f>POWER(1/(1+Parameters!$I$32),A75-1)*(M75-N75)</f>
        <v>-0.00404707317843341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0.0</v>
      </c>
      <c r="E76" s="7">
        <f>Parameters!$I$6*C76</f>
        <v>0.0</v>
      </c>
      <c r="F76" s="7">
        <f>IF(Parameters!$I$5=1,E76,0)</f>
        <v>0.0</v>
      </c>
      <c r="G76" s="7">
        <f>Parameters!$I$27*G75+F76</f>
        <v>0.053457463299478813</v>
      </c>
      <c r="H76" s="7">
        <f>IF(AND(Parameters!$I$5=1,Parameters!$I$26=1),SUMPRODUCT(--($A$45:A76&lt;A76),--(MOD(A76-$A$45:A76,Parameters!$I$28)=0),$F$45:F76,POWER(Parameters!$I$27,IF(A76-$A$45:A76=0,1,A76-$A$45:A76))),0)</f>
        <v>0.0</v>
      </c>
      <c r="I76" s="7">
        <f>Parameters!$I$23*I75+B76*Parameters!$I$22</f>
        <v>0.0</v>
      </c>
      <c r="J76" s="7">
        <f>E76*Parameters!$I$14*(1-Parameters!$I$15)</f>
        <v>0.0</v>
      </c>
      <c r="K76" s="7">
        <f>H76*Parameters!$I$29</f>
        <v>0.0</v>
      </c>
      <c r="L76" s="7">
        <f>I76*Parameters!$I$24</f>
        <v>0.0</v>
      </c>
      <c r="M76" s="7">
        <f>J76+K76+L76</f>
        <v>0.0</v>
      </c>
      <c r="N76" s="7">
        <f>C76*Parameters!$I$17+D76*Parameters!$I$18+E76*Parameters!$I$16+I76*Parameters!$I$25+G76*Parameters!$I$30</f>
        <v>0.005345746329947882</v>
      </c>
      <c r="O76" s="7">
        <f>0</f>
        <v>0</v>
      </c>
      <c r="P76" s="7">
        <f>M76-N76-O76</f>
        <v>-0.005345746329947882</v>
      </c>
      <c r="Q76" s="7">
        <f>0</f>
        <v>0</v>
      </c>
      <c r="R76" s="7">
        <f>P76-Q76</f>
        <v>-0.005345746329947882</v>
      </c>
      <c r="S76" s="7">
        <f>IF(A76&lt;1+Parameters!$I$31,0,INDEX($M$45:$M$80,A76-Parameters!$I$31))</f>
        <v>0.0</v>
      </c>
      <c r="T76" s="7">
        <f>T75+M76-S76</f>
        <v>0.0</v>
      </c>
      <c r="U76" s="7">
        <f>S76-N76-O76-Q76</f>
        <v>-0.005345746329947882</v>
      </c>
      <c r="V76" s="7">
        <f>V75+U76</f>
        <v>4.562687160533262</v>
      </c>
      <c r="W76" s="7">
        <f>(1-Parameters!$I$7)*(C76-E76)+(1-Parameters!$I$8)*(D76+E76)</f>
        <v>0.0</v>
      </c>
      <c r="X76" s="7">
        <f>Parameters!$I$7*(C76-E76)+Parameters!$I$8*Parameters!$I$9*(D76+E76)</f>
        <v>0.0</v>
      </c>
      <c r="Y76" s="7">
        <f>Parameters!$I$8*(1-Parameters!$I$9)*(D76+E76)</f>
        <v>0.0</v>
      </c>
      <c r="Z76" s="7">
        <f>POWER(1/(1+Parameters!$I$32),A76-1)*(M76-N76)</f>
        <v>-0.0039268630840244975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0.0</v>
      </c>
      <c r="E77" s="7">
        <f>Parameters!$I$6*C77</f>
        <v>0.0</v>
      </c>
      <c r="F77" s="7">
        <f>IF(Parameters!$I$5=1,E77,0)</f>
        <v>0.0</v>
      </c>
      <c r="G77" s="7">
        <f>Parameters!$I$27*G76+F77</f>
        <v>0.05238831403348924</v>
      </c>
      <c r="H77" s="7">
        <f>IF(AND(Parameters!$I$5=1,Parameters!$I$26=1),SUMPRODUCT(--($A$45:A77&lt;A77),--(MOD(A77-$A$45:A77,Parameters!$I$28)=0),$F$45:F77,POWER(Parameters!$I$27,IF(A77-$A$45:A77=0,1,A77-$A$45:A77))),0)</f>
        <v>0.0</v>
      </c>
      <c r="I77" s="7">
        <f>Parameters!$I$23*I76+B77*Parameters!$I$22</f>
        <v>0.0</v>
      </c>
      <c r="J77" s="7">
        <f>E77*Parameters!$I$14*(1-Parameters!$I$15)</f>
        <v>0.0</v>
      </c>
      <c r="K77" s="7">
        <f>H77*Parameters!$I$29</f>
        <v>0.0</v>
      </c>
      <c r="L77" s="7">
        <f>I77*Parameters!$I$24</f>
        <v>0.0</v>
      </c>
      <c r="M77" s="7">
        <f>J77+K77+L77</f>
        <v>0.0</v>
      </c>
      <c r="N77" s="7">
        <f>C77*Parameters!$I$17+D77*Parameters!$I$18+E77*Parameters!$I$16+I77*Parameters!$I$25+G77*Parameters!$I$30</f>
        <v>0.005238831403348924</v>
      </c>
      <c r="O77" s="7">
        <f>0</f>
        <v>0</v>
      </c>
      <c r="P77" s="7">
        <f>M77-N77-O77</f>
        <v>-0.005238831403348924</v>
      </c>
      <c r="Q77" s="7">
        <f>0</f>
        <v>0</v>
      </c>
      <c r="R77" s="7">
        <f>P77-Q77</f>
        <v>-0.005238831403348924</v>
      </c>
      <c r="S77" s="7">
        <f>IF(A77&lt;1+Parameters!$I$31,0,INDEX($M$45:$M$80,A77-Parameters!$I$31))</f>
        <v>0.0</v>
      </c>
      <c r="T77" s="7">
        <f>T76+M77-S77</f>
        <v>0.0</v>
      </c>
      <c r="U77" s="7">
        <f>S77-N77-O77-Q77</f>
        <v>-0.005238831403348924</v>
      </c>
      <c r="V77" s="7">
        <f>V76+U77</f>
        <v>4.557448329129913</v>
      </c>
      <c r="W77" s="7">
        <f>(1-Parameters!$I$7)*(C77-E77)+(1-Parameters!$I$8)*(D77+E77)</f>
        <v>0.0</v>
      </c>
      <c r="X77" s="7">
        <f>Parameters!$I$7*(C77-E77)+Parameters!$I$8*Parameters!$I$9*(D77+E77)</f>
        <v>0.0</v>
      </c>
      <c r="Y77" s="7">
        <f>Parameters!$I$8*(1-Parameters!$I$9)*(D77+E77)</f>
        <v>0.0</v>
      </c>
      <c r="Z77" s="7">
        <f>POWER(1/(1+Parameters!$I$32),A77-1)*(M77-N77)</f>
        <v>-0.003810223586479215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0.0</v>
      </c>
      <c r="E78" s="7">
        <f>Parameters!$I$6*C78</f>
        <v>0.0</v>
      </c>
      <c r="F78" s="7">
        <f>IF(Parameters!$I$5=1,E78,0)</f>
        <v>0.0</v>
      </c>
      <c r="G78" s="7">
        <f>Parameters!$I$27*G77+F78</f>
        <v>0.05134054775281945</v>
      </c>
      <c r="H78" s="7">
        <f>IF(AND(Parameters!$I$5=1,Parameters!$I$26=1),SUMPRODUCT(--($A$45:A78&lt;A78),--(MOD(A78-$A$45:A78,Parameters!$I$28)=0),$F$45:F78,POWER(Parameters!$I$27,IF(A78-$A$45:A78=0,1,A78-$A$45:A78))),0)</f>
        <v>0.0</v>
      </c>
      <c r="I78" s="7">
        <f>Parameters!$I$23*I77+B78*Parameters!$I$22</f>
        <v>0.0</v>
      </c>
      <c r="J78" s="7">
        <f>E78*Parameters!$I$14*(1-Parameters!$I$15)</f>
        <v>0.0</v>
      </c>
      <c r="K78" s="7">
        <f>H78*Parameters!$I$29</f>
        <v>0.0</v>
      </c>
      <c r="L78" s="7">
        <f>I78*Parameters!$I$24</f>
        <v>0.0</v>
      </c>
      <c r="M78" s="7">
        <f>J78+K78+L78</f>
        <v>0.0</v>
      </c>
      <c r="N78" s="7">
        <f>C78*Parameters!$I$17+D78*Parameters!$I$18+E78*Parameters!$I$16+I78*Parameters!$I$25+G78*Parameters!$I$30</f>
        <v>0.005134054775281945</v>
      </c>
      <c r="O78" s="7">
        <f>0</f>
        <v>0</v>
      </c>
      <c r="P78" s="7">
        <f>M78-N78-O78</f>
        <v>-0.005134054775281945</v>
      </c>
      <c r="Q78" s="7">
        <f>0</f>
        <v>0</v>
      </c>
      <c r="R78" s="7">
        <f>P78-Q78</f>
        <v>-0.005134054775281945</v>
      </c>
      <c r="S78" s="7">
        <f>IF(A78&lt;1+Parameters!$I$31,0,INDEX($M$45:$M$80,A78-Parameters!$I$31))</f>
        <v>0.0</v>
      </c>
      <c r="T78" s="7">
        <f>T77+M78-S78</f>
        <v>0.0</v>
      </c>
      <c r="U78" s="7">
        <f>S78-N78-O78-Q78</f>
        <v>-0.005134054775281945</v>
      </c>
      <c r="V78" s="7">
        <f>V77+U78</f>
        <v>4.5523142743546305</v>
      </c>
      <c r="W78" s="7">
        <f>(1-Parameters!$I$7)*(C78-E78)+(1-Parameters!$I$8)*(D78+E78)</f>
        <v>0.0</v>
      </c>
      <c r="X78" s="7">
        <f>Parameters!$I$7*(C78-E78)+Parameters!$I$8*Parameters!$I$9*(D78+E78)</f>
        <v>0.0</v>
      </c>
      <c r="Y78" s="7">
        <f>Parameters!$I$8*(1-Parameters!$I$9)*(D78+E78)</f>
        <v>0.0</v>
      </c>
      <c r="Z78" s="7">
        <f>POWER(1/(1+Parameters!$I$32),A78-1)*(M78-N78)</f>
        <v>-0.003697048628464981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0.0</v>
      </c>
      <c r="E79" s="7">
        <f>Parameters!$I$6*C79</f>
        <v>0.0</v>
      </c>
      <c r="F79" s="7">
        <f>IF(Parameters!$I$5=1,E79,0)</f>
        <v>0.0</v>
      </c>
      <c r="G79" s="7">
        <f>Parameters!$I$27*G78+F79</f>
        <v>0.05031373679776306</v>
      </c>
      <c r="H79" s="7">
        <f>IF(AND(Parameters!$I$5=1,Parameters!$I$26=1),SUMPRODUCT(--($A$45:A79&lt;A79),--(MOD(A79-$A$45:A79,Parameters!$I$28)=0),$F$45:F79,POWER(Parameters!$I$27,IF(A79-$A$45:A79=0,1,A79-$A$45:A79))),0)</f>
        <v>0.0</v>
      </c>
      <c r="I79" s="7">
        <f>Parameters!$I$23*I78+B79*Parameters!$I$22</f>
        <v>0.0</v>
      </c>
      <c r="J79" s="7">
        <f>E79*Parameters!$I$14*(1-Parameters!$I$15)</f>
        <v>0.0</v>
      </c>
      <c r="K79" s="7">
        <f>H79*Parameters!$I$29</f>
        <v>0.0</v>
      </c>
      <c r="L79" s="7">
        <f>I79*Parameters!$I$24</f>
        <v>0.0</v>
      </c>
      <c r="M79" s="7">
        <f>J79+K79+L79</f>
        <v>0.0</v>
      </c>
      <c r="N79" s="7">
        <f>C79*Parameters!$I$17+D79*Parameters!$I$18+E79*Parameters!$I$16+I79*Parameters!$I$25+G79*Parameters!$I$30</f>
        <v>0.005031373679776307</v>
      </c>
      <c r="O79" s="7">
        <f>0</f>
        <v>0</v>
      </c>
      <c r="P79" s="7">
        <f>M79-N79-O79</f>
        <v>-0.005031373679776307</v>
      </c>
      <c r="Q79" s="7">
        <f>0</f>
        <v>0</v>
      </c>
      <c r="R79" s="7">
        <f>P79-Q79</f>
        <v>-0.005031373679776307</v>
      </c>
      <c r="S79" s="7">
        <f>IF(A79&lt;1+Parameters!$I$31,0,INDEX($M$45:$M$80,A79-Parameters!$I$31))</f>
        <v>0.0</v>
      </c>
      <c r="T79" s="7">
        <f>T78+M79-S79</f>
        <v>0.0</v>
      </c>
      <c r="U79" s="7">
        <f>S79-N79-O79-Q79</f>
        <v>-0.005031373679776307</v>
      </c>
      <c r="V79" s="7">
        <f>V78+U79</f>
        <v>4.547282900674854</v>
      </c>
      <c r="W79" s="7">
        <f>(1-Parameters!$I$7)*(C79-E79)+(1-Parameters!$I$8)*(D79+E79)</f>
        <v>0.0</v>
      </c>
      <c r="X79" s="7">
        <f>Parameters!$I$7*(C79-E79)+Parameters!$I$8*Parameters!$I$9*(D79+E79)</f>
        <v>0.0</v>
      </c>
      <c r="Y79" s="7">
        <f>Parameters!$I$8*(1-Parameters!$I$9)*(D79+E79)</f>
        <v>0.0</v>
      </c>
      <c r="Z79" s="7">
        <f>POWER(1/(1+Parameters!$I$32),A79-1)*(M79-N79)</f>
        <v>-0.0035872353028670112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0.0</v>
      </c>
      <c r="E80" s="7">
        <f>Parameters!$I$6*C80</f>
        <v>0.0</v>
      </c>
      <c r="F80" s="7">
        <f>IF(Parameters!$I$5=1,E80,0)</f>
        <v>0.0</v>
      </c>
      <c r="G80" s="7">
        <f>Parameters!$I$27*G79+F80</f>
        <v>0.0493074620618078</v>
      </c>
      <c r="H80" s="7">
        <f>IF(AND(Parameters!$I$5=1,Parameters!$I$26=1),SUMPRODUCT(--($A$45:A80&lt;A80),--(MOD(A80-$A$45:A80,Parameters!$I$28)=0),$F$45:F80,POWER(Parameters!$I$27,IF(A80-$A$45:A80=0,1,A80-$A$45:A80))),0)</f>
        <v>0.0</v>
      </c>
      <c r="I80" s="7">
        <f>Parameters!$I$23*I79+B80*Parameters!$I$22</f>
        <v>0.0</v>
      </c>
      <c r="J80" s="7">
        <f>E80*Parameters!$I$14*(1-Parameters!$I$15)</f>
        <v>0.0</v>
      </c>
      <c r="K80" s="7">
        <f>H80*Parameters!$I$29</f>
        <v>0.0</v>
      </c>
      <c r="L80" s="7">
        <f>I80*Parameters!$I$24</f>
        <v>0.0</v>
      </c>
      <c r="M80" s="7">
        <f>J80+K80+L80</f>
        <v>0.0</v>
      </c>
      <c r="N80" s="7">
        <f>C80*Parameters!$I$17+D80*Parameters!$I$18+E80*Parameters!$I$16+I80*Parameters!$I$25+G80*Parameters!$I$30</f>
        <v>0.0049307462061807805</v>
      </c>
      <c r="O80" s="7">
        <f>0</f>
        <v>0</v>
      </c>
      <c r="P80" s="7">
        <f>M80-N80-O80</f>
        <v>-0.0049307462061807805</v>
      </c>
      <c r="Q80" s="7">
        <f>0</f>
        <v>0</v>
      </c>
      <c r="R80" s="7">
        <f>P80-Q80</f>
        <v>-0.0049307462061807805</v>
      </c>
      <c r="S80" s="7">
        <f>IF(A80&lt;1+Parameters!$I$31,0,INDEX($M$45:$M$80,A80-Parameters!$I$31))</f>
        <v>0.0</v>
      </c>
      <c r="T80" s="7">
        <f>T79+M80-S80</f>
        <v>0.0</v>
      </c>
      <c r="U80" s="7">
        <f>S80-N80-O80-Q80</f>
        <v>-0.0049307462061807805</v>
      </c>
      <c r="V80" s="7">
        <f>V79+U80</f>
        <v>4.542352154468673</v>
      </c>
      <c r="W80" s="7">
        <f>(1-Parameters!$I$7)*(C80-E80)+(1-Parameters!$I$8)*(D80+E80)</f>
        <v>0.0</v>
      </c>
      <c r="X80" s="7">
        <f>Parameters!$I$7*(C80-E80)+Parameters!$I$8*Parameters!$I$9*(D80+E80)</f>
        <v>0.0</v>
      </c>
      <c r="Y80" s="7">
        <f>Parameters!$I$8*(1-Parameters!$I$9)*(D80+E80)</f>
        <v>0.0</v>
      </c>
      <c r="Z80" s="7">
        <f>POWER(1/(1+Parameters!$I$32),A80-1)*(M80-N80)</f>
        <v>-0.003480683759217496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5"/>
  <sheetViews>
    <sheetView showGridLines="0" workbookViewId="0"/>
  </sheetViews>
  <sheetFormatPr defaultRowHeight="15"/>
  <cols>
    <col min="1" max="1" width="28.7109375" customWidth="1"/>
    <col min="2" max="12" width="14.7109375" customWidth="1"/>
  </cols>
  <sheetData>
    <row r="1" spans="1:12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>
      <c r="A4" s="4" t="s">
        <v>199</v>
      </c>
      <c r="B4" s="7">
        <v>0</v>
      </c>
      <c r="C4" s="7">
        <v>0.1</v>
      </c>
      <c r="D4" s="7">
        <v>0.2</v>
      </c>
      <c r="E4" s="7">
        <v>0.3</v>
      </c>
      <c r="F4" s="7">
        <v>0.4</v>
      </c>
      <c r="G4" s="7">
        <v>0.5</v>
      </c>
      <c r="H4" s="7">
        <v>0.6</v>
      </c>
      <c r="I4" s="7">
        <v>0.7</v>
      </c>
      <c r="J4" s="7">
        <v>0.8</v>
      </c>
      <c r="K4" s="7">
        <v>0.9</v>
      </c>
      <c r="L4" s="7">
        <v>1</v>
      </c>
    </row>
    <row r="5" spans="1:12">
      <c r="A5" s="7">
        <v>0</v>
      </c>
      <c r="B5" s="7">
        <f>IFERROR(((Parameters!$D$14*(1-Parameters!$D$15)-Parameters!$D$16)*Parameters!$D$6-Parameters!$D$17-Parameters!$D$18*(1/(1+Parameters!$D$32))*$A5*Parameters!$D$6/(1-(1/(1+Parameters!$D$32))*$A5))/(1-(1/(1+Parameters!$D$32))*B$4*(1-Parameters!$D$6))-Parameters!$D$19,"NONCONVERGENT - USE FINITE HORIZON")</f>
        <v>-2.4</v>
      </c>
      <c r="C5" s="7">
        <f>IFERROR(((Parameters!$D$14*(1-Parameters!$D$15)-Parameters!$D$16)*Parameters!$D$6-Parameters!$D$17-Parameters!$D$18*(1/(1+Parameters!$D$32))*$A5*Parameters!$D$6/(1-(1/(1+Parameters!$D$32))*$A5))/(1-(1/(1+Parameters!$D$32))*C$4*(1-Parameters!$D$6))-Parameters!$D$19,"NONCONVERGENT - USE FINITE HORIZON")</f>
        <v>-2.243478260869565</v>
      </c>
      <c r="D5" s="7">
        <f>IFERROR(((Parameters!$D$14*(1-Parameters!$D$15)-Parameters!$D$16)*Parameters!$D$6-Parameters!$D$17-Parameters!$D$18*(1/(1+Parameters!$D$32))*$A5*Parameters!$D$6/(1-(1/(1+Parameters!$D$32))*$A5))/(1-(1/(1+Parameters!$D$32))*D$4*(1-Parameters!$D$6))-Parameters!$D$19,"NONCONVERGENT - USE FINITE HORIZON")</f>
        <v>-2.0530120481927705</v>
      </c>
      <c r="E5" s="7">
        <f>IFERROR(((Parameters!$D$14*(1-Parameters!$D$15)-Parameters!$D$16)*Parameters!$D$6-Parameters!$D$17-Parameters!$D$18*(1/(1+Parameters!$D$32))*$A5*Parameters!$D$6/(1-(1/(1+Parameters!$D$32))*$A5))/(1-(1/(1+Parameters!$D$32))*E$4*(1-Parameters!$D$6))-Parameters!$D$19,"NONCONVERGENT - USE FINITE HORIZON")</f>
        <v>-1.8162162162162163</v>
      </c>
      <c r="F5" s="7">
        <f>IFERROR(((Parameters!$D$14*(1-Parameters!$D$15)-Parameters!$D$16)*Parameters!$D$6-Parameters!$D$17-Parameters!$D$18*(1/(1+Parameters!$D$32))*$A5*Parameters!$D$6/(1-(1/(1+Parameters!$D$32))*$A5))/(1-(1/(1+Parameters!$D$32))*F$4*(1-Parameters!$D$6))-Parameters!$D$19,"NONCONVERGENT - USE FINITE HORIZON")</f>
        <v>-1.5138461538461536</v>
      </c>
      <c r="G5" s="7">
        <f>IFERROR(((Parameters!$D$14*(1-Parameters!$D$15)-Parameters!$D$16)*Parameters!$D$6-Parameters!$D$17-Parameters!$D$18*(1/(1+Parameters!$D$32))*$A5*Parameters!$D$6/(1-(1/(1+Parameters!$D$32))*$A5))/(1-(1/(1+Parameters!$D$32))*G$4*(1-Parameters!$D$6))-Parameters!$D$19,"NONCONVERGENT - USE FINITE HORIZON")</f>
        <v>-1.1142857142857148</v>
      </c>
      <c r="H5" s="7">
        <f>IFERROR(((Parameters!$D$14*(1-Parameters!$D$15)-Parameters!$D$16)*Parameters!$D$6-Parameters!$D$17-Parameters!$D$18*(1/(1+Parameters!$D$32))*$A5*Parameters!$D$6/(1-(1/(1+Parameters!$D$32))*$A5))/(1-(1/(1+Parameters!$D$32))*H$4*(1-Parameters!$D$6))-Parameters!$D$19,"NONCONVERGENT - USE FINITE HORIZON")</f>
        <v>-0.561702127659574</v>
      </c>
      <c r="I5" s="7">
        <f>IFERROR(((Parameters!$D$14*(1-Parameters!$D$15)-Parameters!$D$16)*Parameters!$D$6-Parameters!$D$17-Parameters!$D$18*(1/(1+Parameters!$D$32))*$A5*Parameters!$D$6/(1-(1/(1+Parameters!$D$32))*$A5))/(1-(1/(1+Parameters!$D$32))*I$4*(1-Parameters!$D$6))-Parameters!$D$19,"NONCONVERGENT - USE FINITE HORIZON")</f>
        <v>0.2526315789473692</v>
      </c>
      <c r="J5" s="7">
        <f>IFERROR(((Parameters!$D$14*(1-Parameters!$D$15)-Parameters!$D$16)*Parameters!$D$6-Parameters!$D$17-Parameters!$D$18*(1/(1+Parameters!$D$32))*$A5*Parameters!$D$6/(1-(1/(1+Parameters!$D$32))*$A5))/(1-(1/(1+Parameters!$D$32))*J$4*(1-Parameters!$D$6))-Parameters!$D$19,"NONCONVERGENT - USE FINITE HORIZON")</f>
        <v>1.5724137931034496</v>
      </c>
      <c r="K5" s="7">
        <f>IFERROR(((Parameters!$D$14*(1-Parameters!$D$15)-Parameters!$D$16)*Parameters!$D$6-Parameters!$D$17-Parameters!$D$18*(1/(1+Parameters!$D$32))*$A5*Parameters!$D$6/(1-(1/(1+Parameters!$D$32))*$A5))/(1-(1/(1+Parameters!$D$32))*K$4*(1-Parameters!$D$6))-Parameters!$D$19,"NONCONVERGENT - USE FINITE HORIZON")</f>
        <v>4.080000000000004</v>
      </c>
      <c r="L5" s="7">
        <f>IFERROR(((Parameters!$D$14*(1-Parameters!$D$15)-Parameters!$D$16)*Parameters!$D$6-Parameters!$D$17-Parameters!$D$18*(1/(1+Parameters!$D$32))*$A5*Parameters!$D$6/(1-(1/(1+Parameters!$D$32))*$A5))/(1-(1/(1+Parameters!$D$32))*L$4*(1-Parameters!$D$6))-Parameters!$D$19,"NONCONVERGENT - USE FINITE HORIZON")</f>
        <v>10.690909090909095</v>
      </c>
    </row>
    <row r="6" spans="1:12">
      <c r="A6" s="7">
        <v>0.1</v>
      </c>
      <c r="B6" s="7">
        <f>IFERROR(((Parameters!$D$14*(1-Parameters!$D$15)-Parameters!$D$16)*Parameters!$D$6-Parameters!$D$17-Parameters!$D$18*(1/(1+Parameters!$D$32))*$A6*Parameters!$D$6/(1-(1/(1+Parameters!$D$32))*$A6))/(1-(1/(1+Parameters!$D$32))*B$4*(1-Parameters!$D$6))-Parameters!$D$19,"NONCONVERGENT - USE FINITE HORIZON")</f>
        <v>-2.403296703296703</v>
      </c>
      <c r="C6" s="7">
        <f>IFERROR(((Parameters!$D$14*(1-Parameters!$D$15)-Parameters!$D$16)*Parameters!$D$6-Parameters!$D$17-Parameters!$D$18*(1/(1+Parameters!$D$32))*$A6*Parameters!$D$6/(1-(1/(1+Parameters!$D$32))*$A6))/(1-(1/(1+Parameters!$D$32))*C$4*(1-Parameters!$D$6))-Parameters!$D$19,"NONCONVERGENT - USE FINITE HORIZON")</f>
        <v>-2.247097467749642</v>
      </c>
      <c r="D6" s="7">
        <f>IFERROR(((Parameters!$D$14*(1-Parameters!$D$15)-Parameters!$D$16)*Parameters!$D$6-Parameters!$D$17-Parameters!$D$18*(1/(1+Parameters!$D$32))*$A6*Parameters!$D$6/(1-(1/(1+Parameters!$D$32))*$A6))/(1-(1/(1+Parameters!$D$32))*D$4*(1-Parameters!$D$6))-Parameters!$D$19,"NONCONVERGENT - USE FINITE HORIZON")</f>
        <v>-2.0570236991923734</v>
      </c>
      <c r="E6" s="7">
        <f>IFERROR(((Parameters!$D$14*(1-Parameters!$D$15)-Parameters!$D$16)*Parameters!$D$6-Parameters!$D$17-Parameters!$D$18*(1/(1+Parameters!$D$32))*$A6*Parameters!$D$6/(1-(1/(1+Parameters!$D$32))*$A6))/(1-(1/(1+Parameters!$D$32))*E$4*(1-Parameters!$D$6))-Parameters!$D$19,"NONCONVERGENT - USE FINITE HORIZON")</f>
        <v>-1.8207157707157706</v>
      </c>
      <c r="F6" s="7">
        <f>IFERROR(((Parameters!$D$14*(1-Parameters!$D$15)-Parameters!$D$16)*Parameters!$D$6-Parameters!$D$17-Parameters!$D$18*(1/(1+Parameters!$D$32))*$A6*Parameters!$D$6/(1-(1/(1+Parameters!$D$32))*$A6))/(1-(1/(1+Parameters!$D$32))*F$4*(1-Parameters!$D$6))-Parameters!$D$19,"NONCONVERGENT - USE FINITE HORIZON")</f>
        <v>-1.5189687235841078</v>
      </c>
      <c r="G6" s="7">
        <f>IFERROR(((Parameters!$D$14*(1-Parameters!$D$15)-Parameters!$D$16)*Parameters!$D$6-Parameters!$D$17-Parameters!$D$18*(1/(1+Parameters!$D$32))*$A6*Parameters!$D$6/(1-(1/(1+Parameters!$D$32))*$A6))/(1-(1/(1+Parameters!$D$32))*G$4*(1-Parameters!$D$6))-Parameters!$D$19,"NONCONVERGENT - USE FINITE HORIZON")</f>
        <v>-1.1202315541601262</v>
      </c>
      <c r="H6" s="7">
        <f>IFERROR(((Parameters!$D$14*(1-Parameters!$D$15)-Parameters!$D$16)*Parameters!$D$6-Parameters!$D$17-Parameters!$D$18*(1/(1+Parameters!$D$32))*$A6*Parameters!$D$6/(1-(1/(1+Parameters!$D$32))*$A6))/(1-(1/(1+Parameters!$D$32))*H$4*(1-Parameters!$D$6))-Parameters!$D$19,"NONCONVERGENT - USE FINITE HORIZON")</f>
        <v>-0.5687865326163193</v>
      </c>
      <c r="I6" s="7">
        <f>IFERROR(((Parameters!$D$14*(1-Parameters!$D$15)-Parameters!$D$16)*Parameters!$D$6-Parameters!$D$17-Parameters!$D$18*(1/(1+Parameters!$D$32))*$A6*Parameters!$D$6/(1-(1/(1+Parameters!$D$32))*$A6))/(1-(1/(1+Parameters!$D$32))*I$4*(1-Parameters!$D$6))-Parameters!$D$19,"NONCONVERGENT - USE FINITE HORIZON")</f>
        <v>0.2438692886061311</v>
      </c>
      <c r="J6" s="7">
        <f>IFERROR(((Parameters!$D$14*(1-Parameters!$D$15)-Parameters!$D$16)*Parameters!$D$6-Parameters!$D$17-Parameters!$D$18*(1/(1+Parameters!$D$32))*$A6*Parameters!$D$6/(1-(1/(1+Parameters!$D$32))*$A6))/(1-(1/(1+Parameters!$D$32))*J$4*(1-Parameters!$D$6))-Parameters!$D$19,"NONCONVERGENT - USE FINITE HORIZON")</f>
        <v>1.560932171277</v>
      </c>
      <c r="K6" s="7">
        <f>IFERROR(((Parameters!$D$14*(1-Parameters!$D$15)-Parameters!$D$16)*Parameters!$D$6-Parameters!$D$17-Parameters!$D$18*(1/(1+Parameters!$D$32))*$A6*Parameters!$D$6/(1-(1/(1+Parameters!$D$32))*$A6))/(1-(1/(1+Parameters!$D$32))*K$4*(1-Parameters!$D$6))-Parameters!$D$19,"NONCONVERGENT - USE FINITE HORIZON")</f>
        <v>4.0633516483516505</v>
      </c>
      <c r="L6" s="7">
        <f>IFERROR(((Parameters!$D$14*(1-Parameters!$D$15)-Parameters!$D$16)*Parameters!$D$6-Parameters!$D$17-Parameters!$D$18*(1/(1+Parameters!$D$32))*$A6*Parameters!$D$6/(1-(1/(1+Parameters!$D$32))*$A6))/(1-(1/(1+Parameters!$D$32))*L$4*(1-Parameters!$D$6))-Parameters!$D$19,"NONCONVERGENT - USE FINITE HORIZON")</f>
        <v>10.660639360639365</v>
      </c>
    </row>
    <row r="7" spans="1:12">
      <c r="A7" s="7">
        <v>0.2</v>
      </c>
      <c r="B7" s="7">
        <f>IFERROR(((Parameters!$D$14*(1-Parameters!$D$15)-Parameters!$D$16)*Parameters!$D$6-Parameters!$D$17-Parameters!$D$18*(1/(1+Parameters!$D$32))*$A7*Parameters!$D$6/(1-(1/(1+Parameters!$D$32))*$A7))/(1-(1/(1+Parameters!$D$32))*B$4*(1-Parameters!$D$6))-Parameters!$D$19,"NONCONVERGENT - USE FINITE HORIZON")</f>
        <v>-2.4074074074074074</v>
      </c>
      <c r="C7" s="7">
        <f>IFERROR(((Parameters!$D$14*(1-Parameters!$D$15)-Parameters!$D$16)*Parameters!$D$6-Parameters!$D$17-Parameters!$D$18*(1/(1+Parameters!$D$32))*$A7*Parameters!$D$6/(1-(1/(1+Parameters!$D$32))*$A7))/(1-(1/(1+Parameters!$D$32))*C$4*(1-Parameters!$D$6))-Parameters!$D$19,"NONCONVERGENT - USE FINITE HORIZON")</f>
        <v>-2.251610305958132</v>
      </c>
      <c r="D7" s="7">
        <f>IFERROR(((Parameters!$D$14*(1-Parameters!$D$15)-Parameters!$D$16)*Parameters!$D$6-Parameters!$D$17-Parameters!$D$18*(1/(1+Parameters!$D$32))*$A7*Parameters!$D$6/(1-(1/(1+Parameters!$D$32))*$A7))/(1-(1/(1+Parameters!$D$32))*D$4*(1-Parameters!$D$6))-Parameters!$D$19,"NONCONVERGENT - USE FINITE HORIZON")</f>
        <v>-2.0620258813029895</v>
      </c>
      <c r="E7" s="7">
        <f>IFERROR(((Parameters!$D$14*(1-Parameters!$D$15)-Parameters!$D$16)*Parameters!$D$6-Parameters!$D$17-Parameters!$D$18*(1/(1+Parameters!$D$32))*$A7*Parameters!$D$6/(1-(1/(1+Parameters!$D$32))*$A7))/(1-(1/(1+Parameters!$D$32))*E$4*(1-Parameters!$D$6))-Parameters!$D$19,"NONCONVERGENT - USE FINITE HORIZON")</f>
        <v>-1.8263263263263263</v>
      </c>
      <c r="F7" s="7">
        <f>IFERROR(((Parameters!$D$14*(1-Parameters!$D$15)-Parameters!$D$16)*Parameters!$D$6-Parameters!$D$17-Parameters!$D$18*(1/(1+Parameters!$D$32))*$A7*Parameters!$D$6/(1-(1/(1+Parameters!$D$32))*$A7))/(1-(1/(1+Parameters!$D$32))*F$4*(1-Parameters!$D$6))-Parameters!$D$19,"NONCONVERGENT - USE FINITE HORIZON")</f>
        <v>-1.525356125356125</v>
      </c>
      <c r="G7" s="7">
        <f>IFERROR(((Parameters!$D$14*(1-Parameters!$D$15)-Parameters!$D$16)*Parameters!$D$6-Parameters!$D$17-Parameters!$D$18*(1/(1+Parameters!$D$32))*$A7*Parameters!$D$6/(1-(1/(1+Parameters!$D$32))*$A7))/(1-(1/(1+Parameters!$D$32))*G$4*(1-Parameters!$D$6))-Parameters!$D$19,"NONCONVERGENT - USE FINITE HORIZON")</f>
        <v>-1.1276455026455032</v>
      </c>
      <c r="H7" s="7">
        <f>IFERROR(((Parameters!$D$14*(1-Parameters!$D$15)-Parameters!$D$16)*Parameters!$D$6-Parameters!$D$17-Parameters!$D$18*(1/(1+Parameters!$D$32))*$A7*Parameters!$D$6/(1-(1/(1+Parameters!$D$32))*$A7))/(1-(1/(1+Parameters!$D$32))*H$4*(1-Parameters!$D$6))-Parameters!$D$19,"NONCONVERGENT - USE FINITE HORIZON")</f>
        <v>-0.5776201733648536</v>
      </c>
      <c r="I7" s="7">
        <f>IFERROR(((Parameters!$D$14*(1-Parameters!$D$15)-Parameters!$D$16)*Parameters!$D$6-Parameters!$D$17-Parameters!$D$18*(1/(1+Parameters!$D$32))*$A7*Parameters!$D$6/(1-(1/(1+Parameters!$D$32))*$A7))/(1-(1/(1+Parameters!$D$32))*I$4*(1-Parameters!$D$6))-Parameters!$D$19,"NONCONVERGENT - USE FINITE HORIZON")</f>
        <v>0.23294346978557545</v>
      </c>
      <c r="J7" s="7">
        <f>IFERROR(((Parameters!$D$14*(1-Parameters!$D$15)-Parameters!$D$16)*Parameters!$D$6-Parameters!$D$17-Parameters!$D$18*(1/(1+Parameters!$D$32))*$A7*Parameters!$D$6/(1-(1/(1+Parameters!$D$32))*$A7))/(1-(1/(1+Parameters!$D$32))*J$4*(1-Parameters!$D$6))-Parameters!$D$19,"NONCONVERGENT - USE FINITE HORIZON")</f>
        <v>1.546615581098341</v>
      </c>
      <c r="K7" s="7">
        <f>IFERROR(((Parameters!$D$14*(1-Parameters!$D$15)-Parameters!$D$16)*Parameters!$D$6-Parameters!$D$17-Parameters!$D$18*(1/(1+Parameters!$D$32))*$A7*Parameters!$D$6/(1-(1/(1+Parameters!$D$32))*$A7))/(1-(1/(1+Parameters!$D$32))*K$4*(1-Parameters!$D$6))-Parameters!$D$19,"NONCONVERGENT - USE FINITE HORIZON")</f>
        <v>4.0425925925925945</v>
      </c>
      <c r="L7" s="7">
        <f>IFERROR(((Parameters!$D$14*(1-Parameters!$D$15)-Parameters!$D$16)*Parameters!$D$6-Parameters!$D$17-Parameters!$D$18*(1/(1+Parameters!$D$32))*$A7*Parameters!$D$6/(1-(1/(1+Parameters!$D$32))*$A7))/(1-(1/(1+Parameters!$D$32))*L$4*(1-Parameters!$D$6))-Parameters!$D$19,"NONCONVERGENT - USE FINITE HORIZON")</f>
        <v>10.622895622895623</v>
      </c>
    </row>
    <row r="8" spans="1:12">
      <c r="A8" s="7">
        <v>0.3</v>
      </c>
      <c r="B8" s="7">
        <f>IFERROR(((Parameters!$D$14*(1-Parameters!$D$15)-Parameters!$D$16)*Parameters!$D$6-Parameters!$D$17-Parameters!$D$18*(1/(1+Parameters!$D$32))*$A8*Parameters!$D$6/(1-(1/(1+Parameters!$D$32))*$A8))/(1-(1/(1+Parameters!$D$32))*B$4*(1-Parameters!$D$6))-Parameters!$D$19,"NONCONVERGENT - USE FINITE HORIZON")</f>
        <v>-2.412676056338028</v>
      </c>
      <c r="C8" s="7">
        <f>IFERROR(((Parameters!$D$14*(1-Parameters!$D$15)-Parameters!$D$16)*Parameters!$D$6-Parameters!$D$17-Parameters!$D$18*(1/(1+Parameters!$D$32))*$A8*Parameters!$D$6/(1-(1/(1+Parameters!$D$32))*$A8))/(1-(1/(1+Parameters!$D$32))*C$4*(1-Parameters!$D$6))-Parameters!$D$19,"NONCONVERGENT - USE FINITE HORIZON")</f>
        <v>-2.257394366197183</v>
      </c>
      <c r="D8" s="7">
        <f>IFERROR(((Parameters!$D$14*(1-Parameters!$D$15)-Parameters!$D$16)*Parameters!$D$6-Parameters!$D$17-Parameters!$D$18*(1/(1+Parameters!$D$32))*$A8*Parameters!$D$6/(1-(1/(1+Parameters!$D$32))*$A8))/(1-(1/(1+Parameters!$D$32))*D$4*(1-Parameters!$D$6))-Parameters!$D$19,"NONCONVERGENT - USE FINITE HORIZON")</f>
        <v>-2.0684371287968775</v>
      </c>
      <c r="E8" s="7">
        <f>IFERROR(((Parameters!$D$14*(1-Parameters!$D$15)-Parameters!$D$16)*Parameters!$D$6-Parameters!$D$17-Parameters!$D$18*(1/(1+Parameters!$D$32))*$A8*Parameters!$D$6/(1-(1/(1+Parameters!$D$32))*$A8))/(1-(1/(1+Parameters!$D$32))*E$4*(1-Parameters!$D$6))-Parameters!$D$19,"NONCONVERGENT - USE FINITE HORIZON")</f>
        <v>-1.8335173201370387</v>
      </c>
      <c r="F8" s="7">
        <f>IFERROR(((Parameters!$D$14*(1-Parameters!$D$15)-Parameters!$D$16)*Parameters!$D$6-Parameters!$D$17-Parameters!$D$18*(1/(1+Parameters!$D$32))*$A8*Parameters!$D$6/(1-(1/(1+Parameters!$D$32))*$A8))/(1-(1/(1+Parameters!$D$32))*F$4*(1-Parameters!$D$6))-Parameters!$D$19,"NONCONVERGENT - USE FINITE HORIZON")</f>
        <v>-1.5335427952329357</v>
      </c>
      <c r="G8" s="7">
        <f>IFERROR(((Parameters!$D$14*(1-Parameters!$D$15)-Parameters!$D$16)*Parameters!$D$6-Parameters!$D$17-Parameters!$D$18*(1/(1+Parameters!$D$32))*$A8*Parameters!$D$6/(1-(1/(1+Parameters!$D$32))*$A8))/(1-(1/(1+Parameters!$D$32))*G$4*(1-Parameters!$D$6))-Parameters!$D$19,"NONCONVERGENT - USE FINITE HORIZON")</f>
        <v>-1.1371478873239438</v>
      </c>
      <c r="H8" s="7">
        <f>IFERROR(((Parameters!$D$14*(1-Parameters!$D$15)-Parameters!$D$16)*Parameters!$D$6-Parameters!$D$17-Parameters!$D$18*(1/(1+Parameters!$D$32))*$A8*Parameters!$D$6/(1-(1/(1+Parameters!$D$32))*$A8))/(1-(1/(1+Parameters!$D$32))*H$4*(1-Parameters!$D$6))-Parameters!$D$19,"NONCONVERGENT - USE FINITE HORIZON")</f>
        <v>-0.5889421636200174</v>
      </c>
      <c r="I8" s="7">
        <f>IFERROR(((Parameters!$D$14*(1-Parameters!$D$15)-Parameters!$D$16)*Parameters!$D$6-Parameters!$D$17-Parameters!$D$18*(1/(1+Parameters!$D$32))*$A8*Parameters!$D$6/(1-(1/(1+Parameters!$D$32))*$A8))/(1-(1/(1+Parameters!$D$32))*I$4*(1-Parameters!$D$6))-Parameters!$D$19,"NONCONVERGENT - USE FINITE HORIZON")</f>
        <v>0.21893995552261014</v>
      </c>
      <c r="J8" s="7">
        <f>IFERROR(((Parameters!$D$14*(1-Parameters!$D$15)-Parameters!$D$16)*Parameters!$D$6-Parameters!$D$17-Parameters!$D$18*(1/(1+Parameters!$D$32))*$A8*Parameters!$D$6/(1-(1/(1+Parameters!$D$32))*$A8))/(1-(1/(1+Parameters!$D$32))*J$4*(1-Parameters!$D$6))-Parameters!$D$19,"NONCONVERGENT - USE FINITE HORIZON")</f>
        <v>1.5282661486158347</v>
      </c>
      <c r="K8" s="7">
        <f>IFERROR(((Parameters!$D$14*(1-Parameters!$D$15)-Parameters!$D$16)*Parameters!$D$6-Parameters!$D$17-Parameters!$D$18*(1/(1+Parameters!$D$32))*$A8*Parameters!$D$6/(1-(1/(1+Parameters!$D$32))*$A8))/(1-(1/(1+Parameters!$D$32))*K$4*(1-Parameters!$D$6))-Parameters!$D$19,"NONCONVERGENT - USE FINITE HORIZON")</f>
        <v>4.01598591549296</v>
      </c>
      <c r="L8" s="7">
        <f>IFERROR(((Parameters!$D$14*(1-Parameters!$D$15)-Parameters!$D$16)*Parameters!$D$6-Parameters!$D$17-Parameters!$D$18*(1/(1+Parameters!$D$32))*$A8*Parameters!$D$6/(1-(1/(1+Parameters!$D$32))*$A8))/(1-(1/(1+Parameters!$D$32))*L$4*(1-Parameters!$D$6))-Parameters!$D$19,"NONCONVERGENT - USE FINITE HORIZON")</f>
        <v>10.574519846350837</v>
      </c>
    </row>
    <row r="9" spans="1:12">
      <c r="A9" s="7">
        <v>0.4</v>
      </c>
      <c r="B9" s="7">
        <f>IFERROR(((Parameters!$D$14*(1-Parameters!$D$15)-Parameters!$D$16)*Parameters!$D$6-Parameters!$D$17-Parameters!$D$18*(1/(1+Parameters!$D$32))*$A9*Parameters!$D$6/(1-(1/(1+Parameters!$D$32))*$A9))/(1-(1/(1+Parameters!$D$32))*B$4*(1-Parameters!$D$6))-Parameters!$D$19,"NONCONVERGENT - USE FINITE HORIZON")</f>
        <v>-2.419672131147541</v>
      </c>
      <c r="C9" s="7">
        <f>IFERROR(((Parameters!$D$14*(1-Parameters!$D$15)-Parameters!$D$16)*Parameters!$D$6-Parameters!$D$17-Parameters!$D$18*(1/(1+Parameters!$D$32))*$A9*Parameters!$D$6/(1-(1/(1+Parameters!$D$32))*$A9))/(1-(1/(1+Parameters!$D$32))*C$4*(1-Parameters!$D$6))-Parameters!$D$19,"NONCONVERGENT - USE FINITE HORIZON")</f>
        <v>-2.2650748396293654</v>
      </c>
      <c r="D9" s="7">
        <f>IFERROR(((Parameters!$D$14*(1-Parameters!$D$15)-Parameters!$D$16)*Parameters!$D$6-Parameters!$D$17-Parameters!$D$18*(1/(1+Parameters!$D$32))*$A9*Parameters!$D$6/(1-(1/(1+Parameters!$D$32))*$A9))/(1-(1/(1+Parameters!$D$32))*D$4*(1-Parameters!$D$6))-Parameters!$D$19,"NONCONVERGENT - USE FINITE HORIZON")</f>
        <v>-2.076950424649417</v>
      </c>
      <c r="E9" s="7">
        <f>IFERROR(((Parameters!$D$14*(1-Parameters!$D$15)-Parameters!$D$16)*Parameters!$D$6-Parameters!$D$17-Parameters!$D$18*(1/(1+Parameters!$D$32))*$A9*Parameters!$D$6/(1-(1/(1+Parameters!$D$32))*$A9))/(1-(1/(1+Parameters!$D$32))*E$4*(1-Parameters!$D$6))-Parameters!$D$19,"NONCONVERGENT - USE FINITE HORIZON")</f>
        <v>-1.843066016836509</v>
      </c>
      <c r="F9" s="7">
        <f>IFERROR(((Parameters!$D$14*(1-Parameters!$D$15)-Parameters!$D$16)*Parameters!$D$6-Parameters!$D$17-Parameters!$D$18*(1/(1+Parameters!$D$32))*$A9*Parameters!$D$6/(1-(1/(1+Parameters!$D$32))*$A9))/(1-(1/(1+Parameters!$D$32))*F$4*(1-Parameters!$D$6))-Parameters!$D$19,"NONCONVERGENT - USE FINITE HORIZON")</f>
        <v>-1.5444136191677171</v>
      </c>
      <c r="G9" s="7">
        <f>IFERROR(((Parameters!$D$14*(1-Parameters!$D$15)-Parameters!$D$16)*Parameters!$D$6-Parameters!$D$17-Parameters!$D$18*(1/(1+Parameters!$D$32))*$A9*Parameters!$D$6/(1-(1/(1+Parameters!$D$32))*$A9))/(1-(1/(1+Parameters!$D$32))*G$4*(1-Parameters!$D$6))-Parameters!$D$19,"NONCONVERGENT - USE FINITE HORIZON")</f>
        <v>-1.1497658079625297</v>
      </c>
      <c r="H9" s="7">
        <f>IFERROR(((Parameters!$D$14*(1-Parameters!$D$15)-Parameters!$D$16)*Parameters!$D$6-Parameters!$D$17-Parameters!$D$18*(1/(1+Parameters!$D$32))*$A9*Parameters!$D$6/(1-(1/(1+Parameters!$D$32))*$A9))/(1-(1/(1+Parameters!$D$32))*H$4*(1-Parameters!$D$6))-Parameters!$D$19,"NONCONVERGENT - USE FINITE HORIZON")</f>
        <v>-0.6039762818276939</v>
      </c>
      <c r="I9" s="7">
        <f>IFERROR(((Parameters!$D$14*(1-Parameters!$D$15)-Parameters!$D$16)*Parameters!$D$6-Parameters!$D$17-Parameters!$D$18*(1/(1+Parameters!$D$32))*$A9*Parameters!$D$6/(1-(1/(1+Parameters!$D$32))*$A9))/(1-(1/(1+Parameters!$D$32))*I$4*(1-Parameters!$D$6))-Parameters!$D$19,"NONCONVERGENT - USE FINITE HORIZON")</f>
        <v>0.20034512510785252</v>
      </c>
      <c r="J9" s="7">
        <f>IFERROR(((Parameters!$D$14*(1-Parameters!$D$15)-Parameters!$D$16)*Parameters!$D$6-Parameters!$D$17-Parameters!$D$18*(1/(1+Parameters!$D$32))*$A9*Parameters!$D$6/(1-(1/(1+Parameters!$D$32))*$A9))/(1-(1/(1+Parameters!$D$32))*J$4*(1-Parameters!$D$6))-Parameters!$D$19,"NONCONVERGENT - USE FINITE HORIZON")</f>
        <v>1.5039005087620136</v>
      </c>
      <c r="K9" s="7">
        <f>IFERROR(((Parameters!$D$14*(1-Parameters!$D$15)-Parameters!$D$16)*Parameters!$D$6-Parameters!$D$17-Parameters!$D$18*(1/(1+Parameters!$D$32))*$A9*Parameters!$D$6/(1-(1/(1+Parameters!$D$32))*$A9))/(1-(1/(1+Parameters!$D$32))*K$4*(1-Parameters!$D$6))-Parameters!$D$19,"NONCONVERGENT - USE FINITE HORIZON")</f>
        <v>3.98065573770492</v>
      </c>
      <c r="L9" s="7">
        <f>IFERROR(((Parameters!$D$14*(1-Parameters!$D$15)-Parameters!$D$16)*Parameters!$D$6-Parameters!$D$17-Parameters!$D$18*(1/(1+Parameters!$D$32))*$A9*Parameters!$D$6/(1-(1/(1+Parameters!$D$32))*$A9))/(1-(1/(1+Parameters!$D$32))*L$4*(1-Parameters!$D$6))-Parameters!$D$19,"NONCONVERGENT - USE FINITE HORIZON")</f>
        <v>10.51028315946349</v>
      </c>
    </row>
    <row r="10" spans="1:12">
      <c r="A10" s="7">
        <v>0.5</v>
      </c>
      <c r="B10" s="7">
        <f>IFERROR(((Parameters!$D$14*(1-Parameters!$D$15)-Parameters!$D$16)*Parameters!$D$6-Parameters!$D$17-Parameters!$D$18*(1/(1+Parameters!$D$32))*$A10*Parameters!$D$6/(1-(1/(1+Parameters!$D$32))*$A10))/(1-(1/(1+Parameters!$D$32))*B$4*(1-Parameters!$D$6))-Parameters!$D$19,"NONCONVERGENT - USE FINITE HORIZON")</f>
        <v>-2.429411764705882</v>
      </c>
      <c r="C10" s="7">
        <f>IFERROR(((Parameters!$D$14*(1-Parameters!$D$15)-Parameters!$D$16)*Parameters!$D$6-Parameters!$D$17-Parameters!$D$18*(1/(1+Parameters!$D$32))*$A10*Parameters!$D$6/(1-(1/(1+Parameters!$D$32))*$A10))/(1-(1/(1+Parameters!$D$32))*C$4*(1-Parameters!$D$6))-Parameters!$D$19,"NONCONVERGENT - USE FINITE HORIZON")</f>
        <v>-2.27576726342711</v>
      </c>
      <c r="D10" s="7">
        <f>IFERROR(((Parameters!$D$14*(1-Parameters!$D$15)-Parameters!$D$16)*Parameters!$D$6-Parameters!$D$17-Parameters!$D$18*(1/(1+Parameters!$D$32))*$A10*Parameters!$D$6/(1-(1/(1+Parameters!$D$32))*$A10))/(1-(1/(1+Parameters!$D$32))*D$4*(1-Parameters!$D$6))-Parameters!$D$19,"NONCONVERGENT - USE FINITE HORIZON")</f>
        <v>-2.0888022678951095</v>
      </c>
      <c r="E10" s="7">
        <f>IFERROR(((Parameters!$D$14*(1-Parameters!$D$15)-Parameters!$D$16)*Parameters!$D$6-Parameters!$D$17-Parameters!$D$18*(1/(1+Parameters!$D$32))*$A10*Parameters!$D$6/(1-(1/(1+Parameters!$D$32))*$A10))/(1-(1/(1+Parameters!$D$32))*E$4*(1-Parameters!$D$6))-Parameters!$D$19,"NONCONVERGENT - USE FINITE HORIZON")</f>
        <v>-1.8563593004769476</v>
      </c>
      <c r="F10" s="7">
        <f>IFERROR(((Parameters!$D$14*(1-Parameters!$D$15)-Parameters!$D$16)*Parameters!$D$6-Parameters!$D$17-Parameters!$D$18*(1/(1+Parameters!$D$32))*$A10*Parameters!$D$6/(1-(1/(1+Parameters!$D$32))*$A10))/(1-(1/(1+Parameters!$D$32))*F$4*(1-Parameters!$D$6))-Parameters!$D$19,"NONCONVERGENT - USE FINITE HORIZON")</f>
        <v>-1.5595475113122168</v>
      </c>
      <c r="G10" s="7">
        <f>IFERROR(((Parameters!$D$14*(1-Parameters!$D$15)-Parameters!$D$16)*Parameters!$D$6-Parameters!$D$17-Parameters!$D$18*(1/(1+Parameters!$D$32))*$A10*Parameters!$D$6/(1-(1/(1+Parameters!$D$32))*$A10))/(1-(1/(1+Parameters!$D$32))*G$4*(1-Parameters!$D$6))-Parameters!$D$19,"NONCONVERGENT - USE FINITE HORIZON")</f>
        <v>-1.1673319327731098</v>
      </c>
      <c r="H10" s="7">
        <f>IFERROR(((Parameters!$D$14*(1-Parameters!$D$15)-Parameters!$D$16)*Parameters!$D$6-Parameters!$D$17-Parameters!$D$18*(1/(1+Parameters!$D$32))*$A10*Parameters!$D$6/(1-(1/(1+Parameters!$D$32))*$A10))/(1-(1/(1+Parameters!$D$32))*H$4*(1-Parameters!$D$6))-Parameters!$D$19,"NONCONVERGENT - USE FINITE HORIZON")</f>
        <v>-0.6249061326658318</v>
      </c>
      <c r="I10" s="7">
        <f>IFERROR(((Parameters!$D$14*(1-Parameters!$D$15)-Parameters!$D$16)*Parameters!$D$6-Parameters!$D$17-Parameters!$D$18*(1/(1+Parameters!$D$32))*$A10*Parameters!$D$6/(1-(1/(1+Parameters!$D$32))*$A10))/(1-(1/(1+Parameters!$D$32))*I$4*(1-Parameters!$D$6))-Parameters!$D$19,"NONCONVERGENT - USE FINITE HORIZON")</f>
        <v>0.17445820433436587</v>
      </c>
      <c r="J10" s="7">
        <f>IFERROR(((Parameters!$D$14*(1-Parameters!$D$15)-Parameters!$D$16)*Parameters!$D$6-Parameters!$D$17-Parameters!$D$18*(1/(1+Parameters!$D$32))*$A10*Parameters!$D$6/(1-(1/(1+Parameters!$D$32))*$A10))/(1-(1/(1+Parameters!$D$32))*J$4*(1-Parameters!$D$6))-Parameters!$D$19,"NONCONVERGENT - USE FINITE HORIZON")</f>
        <v>1.4699797160243415</v>
      </c>
      <c r="K10" s="7">
        <f>IFERROR(((Parameters!$D$14*(1-Parameters!$D$15)-Parameters!$D$16)*Parameters!$D$6-Parameters!$D$17-Parameters!$D$18*(1/(1+Parameters!$D$32))*$A10*Parameters!$D$6/(1-(1/(1+Parameters!$D$32))*$A10))/(1-(1/(1+Parameters!$D$32))*K$4*(1-Parameters!$D$6))-Parameters!$D$19,"NONCONVERGENT - USE FINITE HORIZON")</f>
        <v>3.931470588235298</v>
      </c>
      <c r="L10" s="7">
        <f>IFERROR(((Parameters!$D$14*(1-Parameters!$D$15)-Parameters!$D$16)*Parameters!$D$6-Parameters!$D$17-Parameters!$D$18*(1/(1+Parameters!$D$32))*$A10*Parameters!$D$6/(1-(1/(1+Parameters!$D$32))*$A10))/(1-(1/(1+Parameters!$D$32))*L$4*(1-Parameters!$D$6))-Parameters!$D$19,"NONCONVERGENT - USE FINITE HORIZON")</f>
        <v>10.420855614973267</v>
      </c>
    </row>
    <row r="11" spans="1:12">
      <c r="A11" s="7">
        <v>0.6</v>
      </c>
      <c r="B11" s="7">
        <f>IFERROR(((Parameters!$D$14*(1-Parameters!$D$15)-Parameters!$D$16)*Parameters!$D$6-Parameters!$D$17-Parameters!$D$18*(1/(1+Parameters!$D$32))*$A11*Parameters!$D$6/(1-(1/(1+Parameters!$D$32))*$A11))/(1-(1/(1+Parameters!$D$32))*B$4*(1-Parameters!$D$6))-Parameters!$D$19,"NONCONVERGENT - USE FINITE HORIZON")</f>
        <v>-2.44390243902439</v>
      </c>
      <c r="C11" s="7">
        <f>IFERROR(((Parameters!$D$14*(1-Parameters!$D$15)-Parameters!$D$16)*Parameters!$D$6-Parameters!$D$17-Parameters!$D$18*(1/(1+Parameters!$D$32))*$A11*Parameters!$D$6/(1-(1/(1+Parameters!$D$32))*$A11))/(1-(1/(1+Parameters!$D$32))*C$4*(1-Parameters!$D$6))-Parameters!$D$19,"NONCONVERGENT - USE FINITE HORIZON")</f>
        <v>-2.291675503711559</v>
      </c>
      <c r="D11" s="7">
        <f>IFERROR(((Parameters!$D$14*(1-Parameters!$D$15)-Parameters!$D$16)*Parameters!$D$6-Parameters!$D$17-Parameters!$D$18*(1/(1+Parameters!$D$32))*$A11*Parameters!$D$6/(1-(1/(1+Parameters!$D$32))*$A11))/(1-(1/(1+Parameters!$D$32))*D$4*(1-Parameters!$D$6))-Parameters!$D$19,"NONCONVERGENT - USE FINITE HORIZON")</f>
        <v>-2.1064354980899203</v>
      </c>
      <c r="E11" s="7">
        <f>IFERROR(((Parameters!$D$14*(1-Parameters!$D$15)-Parameters!$D$16)*Parameters!$D$6-Parameters!$D$17-Parameters!$D$18*(1/(1+Parameters!$D$32))*$A11*Parameters!$D$6/(1-(1/(1+Parameters!$D$32))*$A11))/(1-(1/(1+Parameters!$D$32))*E$4*(1-Parameters!$D$6))-Parameters!$D$19,"NONCONVERGENT - USE FINITE HORIZON")</f>
        <v>-1.8761371127224789</v>
      </c>
      <c r="F11" s="7">
        <f>IFERROR(((Parameters!$D$14*(1-Parameters!$D$15)-Parameters!$D$16)*Parameters!$D$6-Parameters!$D$17-Parameters!$D$18*(1/(1+Parameters!$D$32))*$A11*Parameters!$D$6/(1-(1/(1+Parameters!$D$32))*$A11))/(1-(1/(1+Parameters!$D$32))*F$4*(1-Parameters!$D$6))-Parameters!$D$19,"NONCONVERGENT - USE FINITE HORIZON")</f>
        <v>-1.5820637898686676</v>
      </c>
      <c r="G11" s="7">
        <f>IFERROR(((Parameters!$D$14*(1-Parameters!$D$15)-Parameters!$D$16)*Parameters!$D$6-Parameters!$D$17-Parameters!$D$18*(1/(1+Parameters!$D$32))*$A11*Parameters!$D$6/(1-(1/(1+Parameters!$D$32))*$A11))/(1-(1/(1+Parameters!$D$32))*G$4*(1-Parameters!$D$6))-Parameters!$D$19,"NONCONVERGENT - USE FINITE HORIZON")</f>
        <v>-1.1934668989547044</v>
      </c>
      <c r="H11" s="7">
        <f>IFERROR(((Parameters!$D$14*(1-Parameters!$D$15)-Parameters!$D$16)*Parameters!$D$6-Parameters!$D$17-Parameters!$D$18*(1/(1+Parameters!$D$32))*$A11*Parameters!$D$6/(1-(1/(1+Parameters!$D$32))*$A11))/(1-(1/(1+Parameters!$D$32))*H$4*(1-Parameters!$D$6))-Parameters!$D$19,"NONCONVERGENT - USE FINITE HORIZON")</f>
        <v>-0.6560456668396464</v>
      </c>
      <c r="I11" s="7">
        <f>IFERROR(((Parameters!$D$14*(1-Parameters!$D$15)-Parameters!$D$16)*Parameters!$D$6-Parameters!$D$17-Parameters!$D$18*(1/(1+Parameters!$D$32))*$A11*Parameters!$D$6/(1-(1/(1+Parameters!$D$32))*$A11))/(1-(1/(1+Parameters!$D$32))*I$4*(1-Parameters!$D$6))-Parameters!$D$19,"NONCONVERGENT - USE FINITE HORIZON")</f>
        <v>0.1359435173299106</v>
      </c>
      <c r="J11" s="7">
        <f>IFERROR(((Parameters!$D$14*(1-Parameters!$D$15)-Parameters!$D$16)*Parameters!$D$6-Parameters!$D$17-Parameters!$D$18*(1/(1+Parameters!$D$32))*$A11*Parameters!$D$6/(1-(1/(1+Parameters!$D$32))*$A11))/(1-(1/(1+Parameters!$D$32))*J$4*(1-Parameters!$D$6))-Parameters!$D$19,"NONCONVERGENT - USE FINITE HORIZON")</f>
        <v>1.4195121951219525</v>
      </c>
      <c r="K11" s="7">
        <f>IFERROR(((Parameters!$D$14*(1-Parameters!$D$15)-Parameters!$D$16)*Parameters!$D$6-Parameters!$D$17-Parameters!$D$18*(1/(1+Parameters!$D$32))*$A11*Parameters!$D$6/(1-(1/(1+Parameters!$D$32))*$A11))/(1-(1/(1+Parameters!$D$32))*K$4*(1-Parameters!$D$6))-Parameters!$D$19,"NONCONVERGENT - USE FINITE HORIZON")</f>
        <v>3.858292682926833</v>
      </c>
      <c r="L11" s="7">
        <f>IFERROR(((Parameters!$D$14*(1-Parameters!$D$15)-Parameters!$D$16)*Parameters!$D$6-Parameters!$D$17-Parameters!$D$18*(1/(1+Parameters!$D$32))*$A11*Parameters!$D$6/(1-(1/(1+Parameters!$D$32))*$A11))/(1-(1/(1+Parameters!$D$32))*L$4*(1-Parameters!$D$6))-Parameters!$D$19,"NONCONVERGENT - USE FINITE HORIZON")</f>
        <v>10.287804878048785</v>
      </c>
    </row>
    <row r="12" spans="1:12">
      <c r="A12" s="7">
        <v>0.7</v>
      </c>
      <c r="B12" s="7">
        <f>IFERROR(((Parameters!$D$14*(1-Parameters!$D$15)-Parameters!$D$16)*Parameters!$D$6-Parameters!$D$17-Parameters!$D$18*(1/(1+Parameters!$D$32))*$A12*Parameters!$D$6/(1-(1/(1+Parameters!$D$32))*$A12))/(1-(1/(1+Parameters!$D$32))*B$4*(1-Parameters!$D$6))-Parameters!$D$19,"NONCONVERGENT - USE FINITE HORIZON")</f>
        <v>-2.467741935483871</v>
      </c>
      <c r="C12" s="7">
        <f>IFERROR(((Parameters!$D$14*(1-Parameters!$D$15)-Parameters!$D$16)*Parameters!$D$6-Parameters!$D$17-Parameters!$D$18*(1/(1+Parameters!$D$32))*$A12*Parameters!$D$6/(1-(1/(1+Parameters!$D$32))*$A12))/(1-(1/(1+Parameters!$D$32))*C$4*(1-Parameters!$D$6))-Parameters!$D$19,"NONCONVERGENT - USE FINITE HORIZON")</f>
        <v>-2.3178471248246844</v>
      </c>
      <c r="D12" s="7">
        <f>IFERROR(((Parameters!$D$14*(1-Parameters!$D$15)-Parameters!$D$16)*Parameters!$D$6-Parameters!$D$17-Parameters!$D$18*(1/(1+Parameters!$D$32))*$A12*Parameters!$D$6/(1-(1/(1+Parameters!$D$32))*$A12))/(1-(1/(1+Parameters!$D$32))*D$4*(1-Parameters!$D$6))-Parameters!$D$19,"NONCONVERGENT - USE FINITE HORIZON")</f>
        <v>-2.1354450058297703</v>
      </c>
      <c r="E12" s="7">
        <f>IFERROR(((Parameters!$D$14*(1-Parameters!$D$15)-Parameters!$D$16)*Parameters!$D$6-Parameters!$D$17-Parameters!$D$18*(1/(1+Parameters!$D$32))*$A12*Parameters!$D$6/(1-(1/(1+Parameters!$D$32))*$A12))/(1-(1/(1+Parameters!$D$32))*E$4*(1-Parameters!$D$6))-Parameters!$D$19,"NONCONVERGENT - USE FINITE HORIZON")</f>
        <v>-1.9086748038360941</v>
      </c>
      <c r="F12" s="7">
        <f>IFERROR(((Parameters!$D$14*(1-Parameters!$D$15)-Parameters!$D$16)*Parameters!$D$6-Parameters!$D$17-Parameters!$D$18*(1/(1+Parameters!$D$32))*$A12*Parameters!$D$6/(1-(1/(1+Parameters!$D$32))*$A12))/(1-(1/(1+Parameters!$D$32))*F$4*(1-Parameters!$D$6))-Parameters!$D$19,"NONCONVERGENT - USE FINITE HORIZON")</f>
        <v>-1.6191066997518608</v>
      </c>
      <c r="G12" s="7">
        <f>IFERROR(((Parameters!$D$14*(1-Parameters!$D$15)-Parameters!$D$16)*Parameters!$D$6-Parameters!$D$17-Parameters!$D$18*(1/(1+Parameters!$D$32))*$A12*Parameters!$D$6/(1-(1/(1+Parameters!$D$32))*$A12))/(1-(1/(1+Parameters!$D$32))*G$4*(1-Parameters!$D$6))-Parameters!$D$19,"NONCONVERGENT - USE FINITE HORIZON")</f>
        <v>-1.2364631336405534</v>
      </c>
      <c r="H12" s="7">
        <f>IFERROR(((Parameters!$D$14*(1-Parameters!$D$15)-Parameters!$D$16)*Parameters!$D$6-Parameters!$D$17-Parameters!$D$18*(1/(1+Parameters!$D$32))*$A12*Parameters!$D$6/(1-(1/(1+Parameters!$D$32))*$A12))/(1-(1/(1+Parameters!$D$32))*H$4*(1-Parameters!$D$6))-Parameters!$D$19,"NONCONVERGENT - USE FINITE HORIZON")</f>
        <v>-0.7072752230610839</v>
      </c>
      <c r="I12" s="7">
        <f>IFERROR(((Parameters!$D$14*(1-Parameters!$D$15)-Parameters!$D$16)*Parameters!$D$6-Parameters!$D$17-Parameters!$D$18*(1/(1+Parameters!$D$32))*$A12*Parameters!$D$6/(1-(1/(1+Parameters!$D$32))*$A12))/(1-(1/(1+Parameters!$D$32))*I$4*(1-Parameters!$D$6))-Parameters!$D$19,"NONCONVERGENT - USE FINITE HORIZON")</f>
        <v>0.07258064516129092</v>
      </c>
      <c r="J12" s="7">
        <f>IFERROR(((Parameters!$D$14*(1-Parameters!$D$15)-Parameters!$D$16)*Parameters!$D$6-Parameters!$D$17-Parameters!$D$18*(1/(1+Parameters!$D$32))*$A12*Parameters!$D$6/(1-(1/(1+Parameters!$D$32))*$A12))/(1-(1/(1+Parameters!$D$32))*J$4*(1-Parameters!$D$6))-Parameters!$D$19,"NONCONVERGENT - USE FINITE HORIZON")</f>
        <v>1.3364849833147954</v>
      </c>
      <c r="K12" s="7">
        <f>IFERROR(((Parameters!$D$14*(1-Parameters!$D$15)-Parameters!$D$16)*Parameters!$D$6-Parameters!$D$17-Parameters!$D$18*(1/(1+Parameters!$D$32))*$A12*Parameters!$D$6/(1-(1/(1+Parameters!$D$32))*$A12))/(1-(1/(1+Parameters!$D$32))*K$4*(1-Parameters!$D$6))-Parameters!$D$19,"NONCONVERGENT - USE FINITE HORIZON")</f>
        <v>3.7379032258064555</v>
      </c>
      <c r="L12" s="7">
        <f>IFERROR(((Parameters!$D$14*(1-Parameters!$D$15)-Parameters!$D$16)*Parameters!$D$6-Parameters!$D$17-Parameters!$D$18*(1/(1+Parameters!$D$32))*$A12*Parameters!$D$6/(1-(1/(1+Parameters!$D$32))*$A12))/(1-(1/(1+Parameters!$D$32))*L$4*(1-Parameters!$D$6))-Parameters!$D$19,"NONCONVERGENT - USE FINITE HORIZON")</f>
        <v>10.068914956011731</v>
      </c>
    </row>
    <row r="13" spans="1:12">
      <c r="A13" s="7">
        <v>0.8</v>
      </c>
      <c r="B13" s="7">
        <f>IFERROR(((Parameters!$D$14*(1-Parameters!$D$15)-Parameters!$D$16)*Parameters!$D$6-Parameters!$D$17-Parameters!$D$18*(1/(1+Parameters!$D$32))*$A13*Parameters!$D$6/(1-(1/(1+Parameters!$D$32))*$A13))/(1-(1/(1+Parameters!$D$32))*B$4*(1-Parameters!$D$6))-Parameters!$D$19,"NONCONVERGENT - USE FINITE HORIZON")</f>
        <v>-2.5142857142857142</v>
      </c>
      <c r="C13" s="7">
        <f>IFERROR(((Parameters!$D$14*(1-Parameters!$D$15)-Parameters!$D$16)*Parameters!$D$6-Parameters!$D$17-Parameters!$D$18*(1/(1+Parameters!$D$32))*$A13*Parameters!$D$6/(1-(1/(1+Parameters!$D$32))*$A13))/(1-(1/(1+Parameters!$D$32))*C$4*(1-Parameters!$D$6))-Parameters!$D$19,"NONCONVERGENT - USE FINITE HORIZON")</f>
        <v>-2.368944099378882</v>
      </c>
      <c r="D13" s="7">
        <f>IFERROR(((Parameters!$D$14*(1-Parameters!$D$15)-Parameters!$D$16)*Parameters!$D$6-Parameters!$D$17-Parameters!$D$18*(1/(1+Parameters!$D$32))*$A13*Parameters!$D$6/(1-(1/(1+Parameters!$D$32))*$A13))/(1-(1/(1+Parameters!$D$32))*D$4*(1-Parameters!$D$6))-Parameters!$D$19,"NONCONVERGENT - USE FINITE HORIZON")</f>
        <v>-2.1920826161790012</v>
      </c>
      <c r="E13" s="7">
        <f>IFERROR(((Parameters!$D$14*(1-Parameters!$D$15)-Parameters!$D$16)*Parameters!$D$6-Parameters!$D$17-Parameters!$D$18*(1/(1+Parameters!$D$32))*$A13*Parameters!$D$6/(1-(1/(1+Parameters!$D$32))*$A13))/(1-(1/(1+Parameters!$D$32))*E$4*(1-Parameters!$D$6))-Parameters!$D$19,"NONCONVERGENT - USE FINITE HORIZON")</f>
        <v>-1.9722007722007726</v>
      </c>
      <c r="F13" s="7">
        <f>IFERROR(((Parameters!$D$14*(1-Parameters!$D$15)-Parameters!$D$16)*Parameters!$D$6-Parameters!$D$17-Parameters!$D$18*(1/(1+Parameters!$D$32))*$A13*Parameters!$D$6/(1-(1/(1+Parameters!$D$32))*$A13))/(1-(1/(1+Parameters!$D$32))*F$4*(1-Parameters!$D$6))-Parameters!$D$19,"NONCONVERGENT - USE FINITE HORIZON")</f>
        <v>-1.6914285714285713</v>
      </c>
      <c r="G13" s="7">
        <f>IFERROR(((Parameters!$D$14*(1-Parameters!$D$15)-Parameters!$D$16)*Parameters!$D$6-Parameters!$D$17-Parameters!$D$18*(1/(1+Parameters!$D$32))*$A13*Parameters!$D$6/(1-(1/(1+Parameters!$D$32))*$A13))/(1-(1/(1+Parameters!$D$32))*G$4*(1-Parameters!$D$6))-Parameters!$D$19,"NONCONVERGENT - USE FINITE HORIZON")</f>
        <v>-1.3204081632653066</v>
      </c>
      <c r="H13" s="7">
        <f>IFERROR(((Parameters!$D$14*(1-Parameters!$D$15)-Parameters!$D$16)*Parameters!$D$6-Parameters!$D$17-Parameters!$D$18*(1/(1+Parameters!$D$32))*$A13*Parameters!$D$6/(1-(1/(1+Parameters!$D$32))*$A13))/(1-(1/(1+Parameters!$D$32))*H$4*(1-Parameters!$D$6))-Parameters!$D$19,"NONCONVERGENT - USE FINITE HORIZON")</f>
        <v>-0.8072948328267473</v>
      </c>
      <c r="I13" s="7">
        <f>IFERROR(((Parameters!$D$14*(1-Parameters!$D$15)-Parameters!$D$16)*Parameters!$D$6-Parameters!$D$17-Parameters!$D$18*(1/(1+Parameters!$D$32))*$A13*Parameters!$D$6/(1-(1/(1+Parameters!$D$32))*$A13))/(1-(1/(1+Parameters!$D$32))*I$4*(1-Parameters!$D$6))-Parameters!$D$19,"NONCONVERGENT - USE FINITE HORIZON")</f>
        <v>-0.05112781954887158</v>
      </c>
      <c r="J13" s="7">
        <f>IFERROR(((Parameters!$D$14*(1-Parameters!$D$15)-Parameters!$D$16)*Parameters!$D$6-Parameters!$D$17-Parameters!$D$18*(1/(1+Parameters!$D$32))*$A13*Parameters!$D$6/(1-(1/(1+Parameters!$D$32))*$A13))/(1-(1/(1+Parameters!$D$32))*J$4*(1-Parameters!$D$6))-Parameters!$D$19,"NONCONVERGENT - USE FINITE HORIZON")</f>
        <v>1.1743842364532036</v>
      </c>
      <c r="K13" s="7">
        <f>IFERROR(((Parameters!$D$14*(1-Parameters!$D$15)-Parameters!$D$16)*Parameters!$D$6-Parameters!$D$17-Parameters!$D$18*(1/(1+Parameters!$D$32))*$A13*Parameters!$D$6/(1-(1/(1+Parameters!$D$32))*$A13))/(1-(1/(1+Parameters!$D$32))*K$4*(1-Parameters!$D$6))-Parameters!$D$19,"NONCONVERGENT - USE FINITE HORIZON")</f>
        <v>3.5028571428571444</v>
      </c>
      <c r="L13" s="7">
        <f>IFERROR(((Parameters!$D$14*(1-Parameters!$D$15)-Parameters!$D$16)*Parameters!$D$6-Parameters!$D$17-Parameters!$D$18*(1/(1+Parameters!$D$32))*$A13*Parameters!$D$6/(1-(1/(1+Parameters!$D$32))*$A13))/(1-(1/(1+Parameters!$D$32))*L$4*(1-Parameters!$D$6))-Parameters!$D$19,"NONCONVERGENT - USE FINITE HORIZON")</f>
        <v>9.641558441558445</v>
      </c>
    </row>
    <row r="14" spans="1:12">
      <c r="A14" s="7">
        <v>0.9</v>
      </c>
      <c r="B14" s="7">
        <f>IFERROR(((Parameters!$D$14*(1-Parameters!$D$15)-Parameters!$D$16)*Parameters!$D$6-Parameters!$D$17-Parameters!$D$18*(1/(1+Parameters!$D$32))*$A14*Parameters!$D$6/(1-(1/(1+Parameters!$D$32))*$A14))/(1-(1/(1+Parameters!$D$32))*B$4*(1-Parameters!$D$6))-Parameters!$D$19,"NONCONVERGENT - USE FINITE HORIZON")</f>
        <v>-2.6454545454545455</v>
      </c>
      <c r="C14" s="7">
        <f>IFERROR(((Parameters!$D$14*(1-Parameters!$D$15)-Parameters!$D$16)*Parameters!$D$6-Parameters!$D$17-Parameters!$D$18*(1/(1+Parameters!$D$32))*$A14*Parameters!$D$6/(1-(1/(1+Parameters!$D$32))*$A14))/(1-(1/(1+Parameters!$D$32))*C$4*(1-Parameters!$D$6))-Parameters!$D$19,"NONCONVERGENT - USE FINITE HORIZON")</f>
        <v>-2.5129446640316204</v>
      </c>
      <c r="D14" s="7">
        <f>IFERROR(((Parameters!$D$14*(1-Parameters!$D$15)-Parameters!$D$16)*Parameters!$D$6-Parameters!$D$17-Parameters!$D$18*(1/(1+Parameters!$D$32))*$A14*Parameters!$D$6/(1-(1/(1+Parameters!$D$32))*$A14))/(1-(1/(1+Parameters!$D$32))*D$4*(1-Parameters!$D$6))-Parameters!$D$19,"NONCONVERGENT - USE FINITE HORIZON")</f>
        <v>-2.351697699890471</v>
      </c>
      <c r="E14" s="7">
        <f>IFERROR(((Parameters!$D$14*(1-Parameters!$D$15)-Parameters!$D$16)*Parameters!$D$6-Parameters!$D$17-Parameters!$D$18*(1/(1+Parameters!$D$32))*$A14*Parameters!$D$6/(1-(1/(1+Parameters!$D$32))*$A14))/(1-(1/(1+Parameters!$D$32))*E$4*(1-Parameters!$D$6))-Parameters!$D$19,"NONCONVERGENT - USE FINITE HORIZON")</f>
        <v>-2.1512285012285015</v>
      </c>
      <c r="F14" s="7">
        <f>IFERROR(((Parameters!$D$14*(1-Parameters!$D$15)-Parameters!$D$16)*Parameters!$D$6-Parameters!$D$17-Parameters!$D$18*(1/(1+Parameters!$D$32))*$A14*Parameters!$D$6/(1-(1/(1+Parameters!$D$32))*$A14))/(1-(1/(1+Parameters!$D$32))*F$4*(1-Parameters!$D$6))-Parameters!$D$19,"NONCONVERGENT - USE FINITE HORIZON")</f>
        <v>-1.895244755244755</v>
      </c>
      <c r="G14" s="7">
        <f>IFERROR(((Parameters!$D$14*(1-Parameters!$D$15)-Parameters!$D$16)*Parameters!$D$6-Parameters!$D$17-Parameters!$D$18*(1/(1+Parameters!$D$32))*$A14*Parameters!$D$6/(1-(1/(1+Parameters!$D$32))*$A14))/(1-(1/(1+Parameters!$D$32))*G$4*(1-Parameters!$D$6))-Parameters!$D$19,"NONCONVERGENT - USE FINITE HORIZON")</f>
        <v>-1.5569805194805202</v>
      </c>
      <c r="H14" s="7">
        <f>IFERROR(((Parameters!$D$14*(1-Parameters!$D$15)-Parameters!$D$16)*Parameters!$D$6-Parameters!$D$17-Parameters!$D$18*(1/(1+Parameters!$D$32))*$A14*Parameters!$D$6/(1-(1/(1+Parameters!$D$32))*$A14))/(1-(1/(1+Parameters!$D$32))*H$4*(1-Parameters!$D$6))-Parameters!$D$19,"NONCONVERGENT - USE FINITE HORIZON")</f>
        <v>-1.0891682785299803</v>
      </c>
      <c r="I14" s="7">
        <f>IFERROR(((Parameters!$D$14*(1-Parameters!$D$15)-Parameters!$D$16)*Parameters!$D$6-Parameters!$D$17-Parameters!$D$18*(1/(1+Parameters!$D$32))*$A14*Parameters!$D$6/(1-(1/(1+Parameters!$D$32))*$A14))/(1-(1/(1+Parameters!$D$32))*I$4*(1-Parameters!$D$6))-Parameters!$D$19,"NONCONVERGENT - USE FINITE HORIZON")</f>
        <v>-0.39976076555023843</v>
      </c>
      <c r="J14" s="7">
        <f>IFERROR(((Parameters!$D$14*(1-Parameters!$D$15)-Parameters!$D$16)*Parameters!$D$6-Parameters!$D$17-Parameters!$D$18*(1/(1+Parameters!$D$32))*$A14*Parameters!$D$6/(1-(1/(1+Parameters!$D$32))*$A14))/(1-(1/(1+Parameters!$D$32))*J$4*(1-Parameters!$D$6))-Parameters!$D$19,"NONCONVERGENT - USE FINITE HORIZON")</f>
        <v>0.7175548589341707</v>
      </c>
      <c r="K14" s="7">
        <f>IFERROR(((Parameters!$D$14*(1-Parameters!$D$15)-Parameters!$D$16)*Parameters!$D$6-Parameters!$D$17-Parameters!$D$18*(1/(1+Parameters!$D$32))*$A14*Parameters!$D$6/(1-(1/(1+Parameters!$D$32))*$A14))/(1-(1/(1+Parameters!$D$32))*K$4*(1-Parameters!$D$6))-Parameters!$D$19,"NONCONVERGENT - USE FINITE HORIZON")</f>
        <v>2.8404545454545467</v>
      </c>
      <c r="L14" s="7">
        <f>IFERROR(((Parameters!$D$14*(1-Parameters!$D$15)-Parameters!$D$16)*Parameters!$D$6-Parameters!$D$17-Parameters!$D$18*(1/(1+Parameters!$D$32))*$A14*Parameters!$D$6/(1-(1/(1+Parameters!$D$32))*$A14))/(1-(1/(1+Parameters!$D$32))*L$4*(1-Parameters!$D$6))-Parameters!$D$19,"NONCONVERGENT - USE FINITE HORIZON")</f>
        <v>8.437190082644632</v>
      </c>
    </row>
    <row r="15" spans="1:12">
      <c r="A15" s="7">
        <v>1</v>
      </c>
      <c r="B15" s="7">
        <f>IFERROR(((Parameters!$D$14*(1-Parameters!$D$15)-Parameters!$D$16)*Parameters!$D$6-Parameters!$D$17-Parameters!$D$18*(1/(1+Parameters!$D$32))*$A15*Parameters!$D$6/(1-(1/(1+Parameters!$D$32))*$A15))/(1-(1/(1+Parameters!$D$32))*B$4*(1-Parameters!$D$6))-Parameters!$D$19,"NONCONVERGENT - USE FINITE HORIZON")</f>
        <v>-5.399999999999997</v>
      </c>
      <c r="C15" s="7">
        <f>IFERROR(((Parameters!$D$14*(1-Parameters!$D$15)-Parameters!$D$16)*Parameters!$D$6-Parameters!$D$17-Parameters!$D$18*(1/(1+Parameters!$D$32))*$A15*Parameters!$D$6/(1-(1/(1+Parameters!$D$32))*$A15))/(1-(1/(1+Parameters!$D$32))*C$4*(1-Parameters!$D$6))-Parameters!$D$19,"NONCONVERGENT - USE FINITE HORIZON")</f>
        <v>-5.5369565217391274</v>
      </c>
      <c r="D15" s="7">
        <f>IFERROR(((Parameters!$D$14*(1-Parameters!$D$15)-Parameters!$D$16)*Parameters!$D$6-Parameters!$D$17-Parameters!$D$18*(1/(1+Parameters!$D$32))*$A15*Parameters!$D$6/(1-(1/(1+Parameters!$D$32))*$A15))/(1-(1/(1+Parameters!$D$32))*D$4*(1-Parameters!$D$6))-Parameters!$D$19,"NONCONVERGENT - USE FINITE HORIZON")</f>
        <v>-5.703614457831322</v>
      </c>
      <c r="E15" s="7">
        <f>IFERROR(((Parameters!$D$14*(1-Parameters!$D$15)-Parameters!$D$16)*Parameters!$D$6-Parameters!$D$17-Parameters!$D$18*(1/(1+Parameters!$D$32))*$A15*Parameters!$D$6/(1-(1/(1+Parameters!$D$32))*$A15))/(1-(1/(1+Parameters!$D$32))*E$4*(1-Parameters!$D$6))-Parameters!$D$19,"NONCONVERGENT - USE FINITE HORIZON")</f>
        <v>-5.9108108108108075</v>
      </c>
      <c r="F15" s="7">
        <f>IFERROR(((Parameters!$D$14*(1-Parameters!$D$15)-Parameters!$D$16)*Parameters!$D$6-Parameters!$D$17-Parameters!$D$18*(1/(1+Parameters!$D$32))*$A15*Parameters!$D$6/(1-(1/(1+Parameters!$D$32))*$A15))/(1-(1/(1+Parameters!$D$32))*F$4*(1-Parameters!$D$6))-Parameters!$D$19,"NONCONVERGENT - USE FINITE HORIZON")</f>
        <v>-6.175384615384612</v>
      </c>
      <c r="G15" s="7">
        <f>IFERROR(((Parameters!$D$14*(1-Parameters!$D$15)-Parameters!$D$16)*Parameters!$D$6-Parameters!$D$17-Parameters!$D$18*(1/(1+Parameters!$D$32))*$A15*Parameters!$D$6/(1-(1/(1+Parameters!$D$32))*$A15))/(1-(1/(1+Parameters!$D$32))*G$4*(1-Parameters!$D$6))-Parameters!$D$19,"NONCONVERGENT - USE FINITE HORIZON")</f>
        <v>-6.524999999999995</v>
      </c>
      <c r="H15" s="7">
        <f>IFERROR(((Parameters!$D$14*(1-Parameters!$D$15)-Parameters!$D$16)*Parameters!$D$6-Parameters!$D$17-Parameters!$D$18*(1/(1+Parameters!$D$32))*$A15*Parameters!$D$6/(1-(1/(1+Parameters!$D$32))*$A15))/(1-(1/(1+Parameters!$D$32))*H$4*(1-Parameters!$D$6))-Parameters!$D$19,"NONCONVERGENT - USE FINITE HORIZON")</f>
        <v>-7.008510638297866</v>
      </c>
      <c r="I15" s="7">
        <f>IFERROR(((Parameters!$D$14*(1-Parameters!$D$15)-Parameters!$D$16)*Parameters!$D$6-Parameters!$D$17-Parameters!$D$18*(1/(1+Parameters!$D$32))*$A15*Parameters!$D$6/(1-(1/(1+Parameters!$D$32))*$A15))/(1-(1/(1+Parameters!$D$32))*I$4*(1-Parameters!$D$6))-Parameters!$D$19,"NONCONVERGENT - USE FINITE HORIZON")</f>
        <v>-7.72105263157894</v>
      </c>
      <c r="J15" s="7">
        <f>IFERROR(((Parameters!$D$14*(1-Parameters!$D$15)-Parameters!$D$16)*Parameters!$D$6-Parameters!$D$17-Parameters!$D$18*(1/(1+Parameters!$D$32))*$A15*Parameters!$D$6/(1-(1/(1+Parameters!$D$32))*$A15))/(1-(1/(1+Parameters!$D$32))*J$4*(1-Parameters!$D$6))-Parameters!$D$19,"NONCONVERGENT - USE FINITE HORIZON")</f>
        <v>-8.87586206896551</v>
      </c>
      <c r="K15" s="7">
        <f>IFERROR(((Parameters!$D$14*(1-Parameters!$D$15)-Parameters!$D$16)*Parameters!$D$6-Parameters!$D$17-Parameters!$D$18*(1/(1+Parameters!$D$32))*$A15*Parameters!$D$6/(1-(1/(1+Parameters!$D$32))*$A15))/(1-(1/(1+Parameters!$D$32))*K$4*(1-Parameters!$D$6))-Parameters!$D$19,"NONCONVERGENT - USE FINITE HORIZON")</f>
        <v>-11.06999999999999</v>
      </c>
      <c r="L15" s="7">
        <f>IFERROR(((Parameters!$D$14*(1-Parameters!$D$15)-Parameters!$D$16)*Parameters!$D$6-Parameters!$D$17-Parameters!$D$18*(1/(1+Parameters!$D$32))*$A15*Parameters!$D$6/(1-(1/(1+Parameters!$D$32))*$A15))/(1-(1/(1+Parameters!$D$32))*L$4*(1-Parameters!$D$6))-Parameters!$D$19,"NONCONVERGENT - USE FINITE HORIZON")</f>
        <v>-16.85454545454543</v>
      </c>
    </row>
  </sheetData>
  <mergeCells count="2">
    <mergeCell ref="A1:L1"/>
    <mergeCell ref="A2:L2"/>
  </mergeCells>
  <conditionalFormatting sqref="B5:L15">
    <cfRule type="colorScale" priority="1">
      <colorScale>
        <cfvo type="min" val="0"/>
        <cfvo type="num" val="0"/>
        <cfvo type="max" val="0"/>
        <color rgb="FFC9655D"/>
        <color rgb="FFFFFFFF"/>
        <color rgb="FF2F9C8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57.7109375" customWidth="1"/>
    <col min="3" max="10" width="23.7109375" customWidth="1"/>
  </cols>
  <sheetData>
    <row r="1" spans="1:10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201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s="4" t="s">
        <v>147</v>
      </c>
      <c r="B4" s="4" t="s">
        <v>202</v>
      </c>
      <c r="C4" s="4" t="s">
        <v>203</v>
      </c>
      <c r="D4" s="4" t="s">
        <v>204</v>
      </c>
      <c r="E4" s="4" t="s">
        <v>205</v>
      </c>
      <c r="F4" s="4" t="s">
        <v>206</v>
      </c>
      <c r="G4" s="4" t="s">
        <v>207</v>
      </c>
      <c r="H4" s="4" t="s">
        <v>208</v>
      </c>
      <c r="I4" s="4" t="s">
        <v>209</v>
      </c>
    </row>
    <row r="5" spans="1:10" ht="44" customHeight="1">
      <c r="A5" s="2" t="s">
        <v>210</v>
      </c>
      <c r="B5" s="2" t="s">
        <v>211</v>
      </c>
      <c r="C5" s="7">
        <v>1000</v>
      </c>
      <c r="D5" s="7">
        <v>1000</v>
      </c>
      <c r="E5" s="7">
        <v>4</v>
      </c>
      <c r="F5" s="7">
        <v>-2.4</v>
      </c>
      <c r="G5" s="7">
        <v>-122400</v>
      </c>
      <c r="H5" s="7">
        <v>-124300</v>
      </c>
      <c r="I5" s="7">
        <v>1900</v>
      </c>
    </row>
    <row r="6" spans="1:10" ht="44" customHeight="1">
      <c r="A6" s="2" t="s">
        <v>212</v>
      </c>
      <c r="B6" s="2" t="s">
        <v>213</v>
      </c>
      <c r="C6" s="7">
        <v>2000</v>
      </c>
      <c r="D6" s="7">
        <v>1000</v>
      </c>
      <c r="E6" s="7">
        <v>4</v>
      </c>
      <c r="F6" s="7">
        <v>1.19917146907689</v>
      </c>
      <c r="G6" s="7">
        <v>-37941.53400000001</v>
      </c>
      <c r="H6" s="7">
        <v>-46844.155</v>
      </c>
      <c r="I6" s="7">
        <v>8902.620999999999</v>
      </c>
    </row>
    <row r="7" spans="1:10" ht="44" customHeight="1">
      <c r="A7" s="2" t="s">
        <v>214</v>
      </c>
      <c r="B7" s="2" t="s">
        <v>215</v>
      </c>
      <c r="C7" s="7">
        <v>2000</v>
      </c>
      <c r="D7" s="7">
        <v>1000</v>
      </c>
      <c r="E7" s="7">
        <v>4</v>
      </c>
      <c r="F7" s="7">
        <v>3.220865355212537</v>
      </c>
      <c r="G7" s="7">
        <v>-1800</v>
      </c>
      <c r="H7" s="7">
        <v>-13200</v>
      </c>
      <c r="I7" s="7">
        <v>11400</v>
      </c>
    </row>
    <row r="8" spans="1:10" ht="44" customHeight="1">
      <c r="A8" s="2" t="s">
        <v>216</v>
      </c>
      <c r="B8" s="2" t="s">
        <v>217</v>
      </c>
      <c r="C8" s="7">
        <v>2000</v>
      </c>
      <c r="D8" s="7">
        <v>1000</v>
      </c>
      <c r="E8" s="7">
        <v>4</v>
      </c>
      <c r="F8" s="7">
        <v>1.619460964958787</v>
      </c>
      <c r="G8" s="7">
        <v>-30676.43966644671</v>
      </c>
      <c r="H8" s="7">
        <v>-39277.66194000666</v>
      </c>
      <c r="I8" s="7">
        <v>8601.222273559963</v>
      </c>
    </row>
    <row r="9" spans="1:10" ht="44" customHeight="1">
      <c r="A9" s="2" t="s">
        <v>218</v>
      </c>
      <c r="B9" s="2" t="s">
        <v>219</v>
      </c>
      <c r="C9" s="7">
        <v>2000</v>
      </c>
      <c r="D9" s="7">
        <v>1000</v>
      </c>
      <c r="E9" s="7">
        <v>4</v>
      </c>
      <c r="F9" s="7">
        <v>-2.4</v>
      </c>
      <c r="G9" s="7">
        <v>-122400</v>
      </c>
      <c r="H9" s="7">
        <v>-124300</v>
      </c>
      <c r="I9" s="7">
        <v>1900</v>
      </c>
    </row>
    <row r="10" spans="1:10" ht="44" customHeight="1">
      <c r="A10" s="2" t="s">
        <v>220</v>
      </c>
      <c r="B10" s="2" t="s">
        <v>221</v>
      </c>
      <c r="C10" s="7">
        <v>2000</v>
      </c>
      <c r="D10" s="7">
        <v>200</v>
      </c>
      <c r="E10" s="7">
        <v>20</v>
      </c>
      <c r="F10" s="7">
        <v>-18.4</v>
      </c>
      <c r="G10" s="7">
        <v>-168480</v>
      </c>
      <c r="H10" s="7">
        <v>-168860</v>
      </c>
      <c r="I10" s="7">
        <v>380</v>
      </c>
    </row>
    <row r="11" spans="1:10" ht="44" customHeight="1">
      <c r="A11" s="2" t="s">
        <v>222</v>
      </c>
      <c r="B11" s="2" t="s">
        <v>223</v>
      </c>
      <c r="C11" s="7">
        <v>1000</v>
      </c>
      <c r="D11" s="7">
        <v>1000</v>
      </c>
      <c r="E11" s="7">
        <v>4</v>
      </c>
      <c r="F11" s="7">
        <v>-6.175076282468135</v>
      </c>
      <c r="G11" s="7">
        <v>-242827.1421962762</v>
      </c>
      <c r="H11" s="7">
        <v>-243604.3249046886</v>
      </c>
      <c r="I11" s="7">
        <v>777.1827084123739</v>
      </c>
    </row>
    <row r="12" spans="1:10" ht="44" customHeight="1">
      <c r="A12" s="2" t="s">
        <v>224</v>
      </c>
      <c r="B12" s="2" t="s">
        <v>225</v>
      </c>
      <c r="C12" s="7">
        <v>1000</v>
      </c>
      <c r="D12" s="7">
        <v>1000</v>
      </c>
      <c r="E12" s="7">
        <v>4</v>
      </c>
      <c r="F12" s="7">
        <v>-0.5586924577529562</v>
      </c>
      <c r="G12" s="7">
        <v>-92843.60408895391</v>
      </c>
      <c r="H12" s="7">
        <v>-101200.7738642723</v>
      </c>
      <c r="I12" s="7">
        <v>8357.169775318325</v>
      </c>
    </row>
    <row r="13" spans="1:10" ht="44" customHeight="1">
      <c r="A13" s="2" t="s">
        <v>226</v>
      </c>
      <c r="B13" s="2" t="s">
        <v>227</v>
      </c>
      <c r="C13" s="7">
        <v>1000</v>
      </c>
      <c r="D13" s="7">
        <v>1000</v>
      </c>
      <c r="E13" s="7">
        <v>4</v>
      </c>
      <c r="F13" s="7">
        <v>3.185563425390495</v>
      </c>
      <c r="G13" s="7">
        <v>7145.421315927635</v>
      </c>
      <c r="H13" s="7">
        <v>-6265.073170661324</v>
      </c>
      <c r="I13" s="7">
        <v>13410.49448658896</v>
      </c>
    </row>
    <row r="14" spans="1:10" ht="44" customHeight="1">
      <c r="A14" s="2" t="s">
        <v>228</v>
      </c>
      <c r="B14" s="2" t="s">
        <v>229</v>
      </c>
      <c r="C14" s="7">
        <v>2000</v>
      </c>
      <c r="D14" s="7">
        <v>2000</v>
      </c>
      <c r="E14" s="7">
        <v>1</v>
      </c>
      <c r="F14" s="7">
        <v>0.6</v>
      </c>
      <c r="G14" s="7">
        <v>7200</v>
      </c>
      <c r="H14" s="7">
        <v>3400</v>
      </c>
      <c r="I14" s="7">
        <v>3800</v>
      </c>
    </row>
    <row r="15" spans="1:10" ht="44" customHeight="1">
      <c r="A15" s="2" t="s">
        <v>230</v>
      </c>
      <c r="B15" s="2" t="s">
        <v>231</v>
      </c>
      <c r="C15" s="7">
        <v>1000</v>
      </c>
      <c r="D15" s="7">
        <v>1000</v>
      </c>
      <c r="E15" s="7">
        <v>1.5</v>
      </c>
      <c r="F15" s="7">
        <v>0.1</v>
      </c>
      <c r="G15" s="7">
        <v>-32400</v>
      </c>
      <c r="H15" s="7">
        <v>-34300</v>
      </c>
      <c r="I15" s="7">
        <v>1900</v>
      </c>
    </row>
    <row r="16" spans="1:10" ht="44" customHeight="1">
      <c r="A16" s="2" t="s">
        <v>232</v>
      </c>
      <c r="B16" s="2" t="s">
        <v>233</v>
      </c>
      <c r="C16" s="7">
        <v>2000</v>
      </c>
      <c r="D16" s="7">
        <v>2000</v>
      </c>
      <c r="E16" s="7">
        <v>2</v>
      </c>
      <c r="F16" s="7">
        <v>-0.4</v>
      </c>
      <c r="G16" s="7">
        <v>-64800</v>
      </c>
      <c r="H16" s="7">
        <v>-68600</v>
      </c>
      <c r="I16" s="7">
        <v>3800</v>
      </c>
    </row>
    <row r="17" spans="1:10" ht="44" customHeight="1">
      <c r="A17" s="2" t="s">
        <v>234</v>
      </c>
      <c r="B17" s="2" t="s">
        <v>235</v>
      </c>
      <c r="C17" s="7">
        <v>1000</v>
      </c>
      <c r="D17" s="7">
        <v>1000</v>
      </c>
      <c r="E17" s="7">
        <v>4</v>
      </c>
      <c r="F17" s="7">
        <v>4.074763488713359</v>
      </c>
      <c r="G17" s="7">
        <v>31011.87759253761</v>
      </c>
      <c r="H17" s="7">
        <v>19721.76442512983</v>
      </c>
      <c r="I17" s="7">
        <v>11290.1131674078</v>
      </c>
    </row>
    <row r="18" spans="1:10" ht="44" customHeight="1">
      <c r="A18" s="2" t="s">
        <v>236</v>
      </c>
      <c r="B18" s="2" t="s">
        <v>237</v>
      </c>
      <c r="C18" s="7">
        <v>1000</v>
      </c>
      <c r="D18" s="7">
        <v>1000</v>
      </c>
      <c r="E18" s="7">
        <v>4</v>
      </c>
      <c r="F18" s="7">
        <v>-3.35</v>
      </c>
      <c r="G18" s="7">
        <v>-156600</v>
      </c>
      <c r="H18" s="7">
        <v>-157550</v>
      </c>
      <c r="I18" s="7">
        <v>950</v>
      </c>
    </row>
    <row r="19" spans="1:10" ht="44" customHeight="1">
      <c r="A19" s="2" t="s">
        <v>238</v>
      </c>
      <c r="B19" s="2" t="s">
        <v>239</v>
      </c>
      <c r="C19" s="7">
        <v>1236.06797749979</v>
      </c>
      <c r="D19" s="7">
        <v>618.0339887498948</v>
      </c>
      <c r="E19" s="7">
        <v>6.47213595499958</v>
      </c>
      <c r="F19" s="7">
        <v>-4.872135954999579</v>
      </c>
      <c r="G19" s="7">
        <v>-144401.242248006</v>
      </c>
      <c r="H19" s="7">
        <v>-145575.5068266309</v>
      </c>
      <c r="I19" s="7">
        <v>1174.2645786248</v>
      </c>
    </row>
    <row r="22" spans="1:10">
      <c r="A22" s="4" t="s">
        <v>240</v>
      </c>
      <c r="B22" s="2" t="s">
        <v>241</v>
      </c>
      <c r="C22" s="2"/>
      <c r="D22" s="2"/>
      <c r="E22" s="2"/>
      <c r="F22" s="2"/>
      <c r="G22" s="2"/>
      <c r="H22" s="2"/>
      <c r="I22" s="2"/>
      <c r="J22" s="2"/>
    </row>
    <row r="23" spans="1:10"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B24" s="2"/>
      <c r="C24" s="2"/>
      <c r="D24" s="2"/>
      <c r="E24" s="2"/>
      <c r="F24" s="2"/>
      <c r="G24" s="2"/>
      <c r="H24" s="2"/>
      <c r="I24" s="2"/>
      <c r="J24" s="2"/>
    </row>
  </sheetData>
  <mergeCells count="3">
    <mergeCell ref="A1:J1"/>
    <mergeCell ref="A2:J2"/>
    <mergeCell ref="B22:J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3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8.7109375" customWidth="1"/>
    <col min="3" max="3" width="32.7109375" customWidth="1"/>
    <col min="4" max="4" width="90.7109375" customWidth="1"/>
  </cols>
  <sheetData>
    <row r="1" spans="1:4">
      <c r="A1" s="1" t="s">
        <v>242</v>
      </c>
      <c r="B1" s="1"/>
      <c r="C1" s="1"/>
      <c r="D1" s="1"/>
    </row>
    <row r="2" spans="1:4">
      <c r="A2" s="3" t="s">
        <v>243</v>
      </c>
      <c r="B2" s="3"/>
      <c r="C2" s="3"/>
      <c r="D2" s="3"/>
    </row>
    <row r="4" spans="1:4">
      <c r="A4" s="4" t="s">
        <v>147</v>
      </c>
      <c r="B4" s="4" t="s">
        <v>202</v>
      </c>
      <c r="C4" s="4" t="s">
        <v>37</v>
      </c>
      <c r="D4" s="4" t="s">
        <v>244</v>
      </c>
    </row>
    <row r="5" spans="1:4">
      <c r="A5" s="2" t="s">
        <v>210</v>
      </c>
      <c r="B5" s="2" t="s">
        <v>211</v>
      </c>
      <c r="C5" s="2" t="s">
        <v>245</v>
      </c>
      <c r="D5" s="2" t="s">
        <v>246</v>
      </c>
    </row>
    <row r="6" spans="1:4">
      <c r="A6" s="2" t="s">
        <v>210</v>
      </c>
      <c r="B6" s="2" t="s">
        <v>211</v>
      </c>
      <c r="C6" s="2" t="s">
        <v>247</v>
      </c>
      <c r="D6" s="2" t="s">
        <v>248</v>
      </c>
    </row>
    <row r="7" spans="1:4">
      <c r="A7" s="2" t="s">
        <v>210</v>
      </c>
      <c r="B7" s="2" t="s">
        <v>211</v>
      </c>
      <c r="C7" s="2" t="s">
        <v>249</v>
      </c>
      <c r="D7" s="2" t="s">
        <v>250</v>
      </c>
    </row>
    <row r="8" spans="1:4">
      <c r="A8" s="2" t="s">
        <v>210</v>
      </c>
      <c r="B8" s="2" t="s">
        <v>211</v>
      </c>
      <c r="C8" s="2" t="s">
        <v>251</v>
      </c>
      <c r="D8" s="2" t="s">
        <v>252</v>
      </c>
    </row>
    <row r="9" spans="1:4">
      <c r="A9" s="2" t="s">
        <v>210</v>
      </c>
      <c r="B9" s="2" t="s">
        <v>211</v>
      </c>
      <c r="C9" s="2" t="s">
        <v>253</v>
      </c>
      <c r="D9" s="2" t="s">
        <v>254</v>
      </c>
    </row>
    <row r="10" spans="1:4">
      <c r="A10" s="2" t="s">
        <v>210</v>
      </c>
      <c r="B10" s="2" t="s">
        <v>211</v>
      </c>
      <c r="C10" s="2" t="s">
        <v>255</v>
      </c>
      <c r="D10" s="2" t="s">
        <v>256</v>
      </c>
    </row>
    <row r="11" spans="1:4">
      <c r="A11" s="2" t="s">
        <v>210</v>
      </c>
      <c r="B11" s="2" t="s">
        <v>211</v>
      </c>
      <c r="C11" s="2" t="s">
        <v>257</v>
      </c>
      <c r="D11" s="2" t="s">
        <v>258</v>
      </c>
    </row>
    <row r="12" spans="1:4">
      <c r="A12" s="2" t="s">
        <v>210</v>
      </c>
      <c r="B12" s="2" t="s">
        <v>211</v>
      </c>
      <c r="C12" s="2" t="s">
        <v>259</v>
      </c>
      <c r="D12" s="2" t="s">
        <v>260</v>
      </c>
    </row>
    <row r="13" spans="1:4">
      <c r="A13" s="2" t="s">
        <v>210</v>
      </c>
      <c r="B13" s="2" t="s">
        <v>211</v>
      </c>
      <c r="C13" s="2" t="s">
        <v>261</v>
      </c>
      <c r="D13" s="2" t="s">
        <v>262</v>
      </c>
    </row>
    <row r="14" spans="1:4">
      <c r="A14" s="2" t="s">
        <v>210</v>
      </c>
      <c r="B14" s="2" t="s">
        <v>211</v>
      </c>
      <c r="C14" s="2" t="s">
        <v>263</v>
      </c>
      <c r="D14" s="2" t="s">
        <v>262</v>
      </c>
    </row>
    <row r="15" spans="1:4">
      <c r="A15" s="2" t="s">
        <v>210</v>
      </c>
      <c r="B15" s="2" t="s">
        <v>211</v>
      </c>
      <c r="C15" s="2" t="s">
        <v>264</v>
      </c>
      <c r="D15" s="2" t="s">
        <v>262</v>
      </c>
    </row>
    <row r="16" spans="1:4">
      <c r="A16" s="2" t="s">
        <v>210</v>
      </c>
      <c r="B16" s="2" t="s">
        <v>211</v>
      </c>
      <c r="C16" s="2" t="s">
        <v>265</v>
      </c>
      <c r="D16" s="2" t="s">
        <v>266</v>
      </c>
    </row>
    <row r="17" spans="1:4">
      <c r="A17" s="2" t="s">
        <v>210</v>
      </c>
      <c r="B17" s="2" t="s">
        <v>211</v>
      </c>
      <c r="C17" s="2" t="s">
        <v>267</v>
      </c>
      <c r="D17" s="2" t="s">
        <v>268</v>
      </c>
    </row>
    <row r="18" spans="1:4">
      <c r="A18" s="2" t="s">
        <v>210</v>
      </c>
      <c r="B18" s="2" t="s">
        <v>211</v>
      </c>
      <c r="C18" s="2" t="s">
        <v>269</v>
      </c>
      <c r="D18" s="2" t="s">
        <v>270</v>
      </c>
    </row>
    <row r="19" spans="1:4">
      <c r="A19" s="2" t="s">
        <v>210</v>
      </c>
      <c r="B19" s="2" t="s">
        <v>211</v>
      </c>
      <c r="C19" s="2" t="s">
        <v>271</v>
      </c>
      <c r="D19" s="2" t="s">
        <v>272</v>
      </c>
    </row>
    <row r="20" spans="1:4">
      <c r="A20" s="2" t="s">
        <v>210</v>
      </c>
      <c r="B20" s="2" t="s">
        <v>211</v>
      </c>
      <c r="C20" s="2" t="s">
        <v>273</v>
      </c>
      <c r="D20" s="2" t="s">
        <v>274</v>
      </c>
    </row>
    <row r="21" spans="1:4">
      <c r="A21" s="2" t="s">
        <v>210</v>
      </c>
      <c r="B21" s="2" t="s">
        <v>211</v>
      </c>
      <c r="C21" s="2" t="s">
        <v>275</v>
      </c>
      <c r="D21" s="2" t="s">
        <v>262</v>
      </c>
    </row>
    <row r="22" spans="1:4">
      <c r="A22" s="2" t="s">
        <v>210</v>
      </c>
      <c r="B22" s="2" t="s">
        <v>211</v>
      </c>
      <c r="C22" s="2" t="s">
        <v>276</v>
      </c>
      <c r="D22" s="2" t="s">
        <v>277</v>
      </c>
    </row>
    <row r="23" spans="1:4">
      <c r="A23" s="2" t="s">
        <v>210</v>
      </c>
      <c r="B23" s="2" t="s">
        <v>211</v>
      </c>
      <c r="C23" s="2" t="s">
        <v>278</v>
      </c>
      <c r="D23" s="2" t="s">
        <v>279</v>
      </c>
    </row>
    <row r="24" spans="1:4">
      <c r="A24" s="2" t="s">
        <v>210</v>
      </c>
      <c r="B24" s="2" t="s">
        <v>211</v>
      </c>
      <c r="C24" s="2" t="s">
        <v>280</v>
      </c>
      <c r="D24" s="2" t="s">
        <v>281</v>
      </c>
    </row>
    <row r="25" spans="1:4">
      <c r="A25" s="2" t="s">
        <v>210</v>
      </c>
      <c r="B25" s="2" t="s">
        <v>211</v>
      </c>
      <c r="C25" s="2" t="s">
        <v>282</v>
      </c>
      <c r="D25" s="2" t="s">
        <v>283</v>
      </c>
    </row>
    <row r="26" spans="1:4">
      <c r="A26" s="2" t="s">
        <v>210</v>
      </c>
      <c r="B26" s="2" t="s">
        <v>211</v>
      </c>
      <c r="C26" s="2" t="s">
        <v>284</v>
      </c>
      <c r="D26" s="2" t="s">
        <v>285</v>
      </c>
    </row>
    <row r="27" spans="1:4">
      <c r="A27" s="2" t="s">
        <v>210</v>
      </c>
      <c r="B27" s="2" t="s">
        <v>211</v>
      </c>
      <c r="C27" s="2" t="s">
        <v>286</v>
      </c>
      <c r="D27" s="2" t="s">
        <v>287</v>
      </c>
    </row>
    <row r="28" spans="1:4">
      <c r="A28" s="2" t="s">
        <v>210</v>
      </c>
      <c r="B28" s="2" t="s">
        <v>211</v>
      </c>
      <c r="C28" s="2" t="s">
        <v>288</v>
      </c>
      <c r="D28" s="2" t="s">
        <v>289</v>
      </c>
    </row>
    <row r="29" spans="1:4">
      <c r="A29" s="2" t="s">
        <v>210</v>
      </c>
      <c r="B29" s="2" t="s">
        <v>211</v>
      </c>
      <c r="C29" s="2" t="s">
        <v>290</v>
      </c>
      <c r="D29" s="2" t="s">
        <v>262</v>
      </c>
    </row>
    <row r="30" spans="1:4">
      <c r="A30" s="2" t="s">
        <v>210</v>
      </c>
      <c r="B30" s="2" t="s">
        <v>211</v>
      </c>
      <c r="C30" s="2" t="s">
        <v>291</v>
      </c>
      <c r="D30" s="2" t="s">
        <v>256</v>
      </c>
    </row>
    <row r="31" spans="1:4">
      <c r="A31" s="2" t="s">
        <v>210</v>
      </c>
      <c r="B31" s="2" t="s">
        <v>211</v>
      </c>
      <c r="C31" s="2" t="s">
        <v>292</v>
      </c>
      <c r="D31" s="2" t="s">
        <v>270</v>
      </c>
    </row>
    <row r="32" spans="1:4">
      <c r="A32" s="2" t="s">
        <v>210</v>
      </c>
      <c r="B32" s="2" t="s">
        <v>211</v>
      </c>
      <c r="C32" s="2" t="s">
        <v>293</v>
      </c>
      <c r="D32" s="2" t="s">
        <v>294</v>
      </c>
    </row>
    <row r="33" spans="1:4">
      <c r="A33" s="2" t="s">
        <v>210</v>
      </c>
      <c r="B33" s="2" t="s">
        <v>211</v>
      </c>
      <c r="C33" s="2" t="s">
        <v>295</v>
      </c>
      <c r="D33" s="2" t="s">
        <v>296</v>
      </c>
    </row>
    <row r="34" spans="1:4">
      <c r="A34" s="2" t="s">
        <v>210</v>
      </c>
      <c r="B34" s="2" t="s">
        <v>211</v>
      </c>
      <c r="C34" s="2" t="s">
        <v>297</v>
      </c>
      <c r="D34" s="2" t="s">
        <v>256</v>
      </c>
    </row>
    <row r="35" spans="1:4">
      <c r="A35" s="2" t="s">
        <v>210</v>
      </c>
      <c r="B35" s="2" t="s">
        <v>211</v>
      </c>
      <c r="C35" s="2" t="s">
        <v>298</v>
      </c>
      <c r="D35" s="2" t="s">
        <v>299</v>
      </c>
    </row>
    <row r="36" spans="1:4">
      <c r="A36" s="2" t="s">
        <v>210</v>
      </c>
      <c r="B36" s="2" t="s">
        <v>211</v>
      </c>
      <c r="C36" s="2" t="s">
        <v>300</v>
      </c>
      <c r="D36" s="2" t="s">
        <v>299</v>
      </c>
    </row>
    <row r="37" spans="1:4">
      <c r="A37" s="2" t="s">
        <v>210</v>
      </c>
      <c r="B37" s="2" t="s">
        <v>211</v>
      </c>
      <c r="C37" s="2" t="s">
        <v>301</v>
      </c>
      <c r="D37" s="2" t="s">
        <v>270</v>
      </c>
    </row>
    <row r="38" spans="1:4">
      <c r="A38" s="2" t="s">
        <v>210</v>
      </c>
      <c r="B38" s="2" t="s">
        <v>211</v>
      </c>
      <c r="C38" s="2" t="s">
        <v>302</v>
      </c>
      <c r="D38" s="2" t="s">
        <v>299</v>
      </c>
    </row>
    <row r="39" spans="1:4">
      <c r="A39" s="2" t="s">
        <v>210</v>
      </c>
      <c r="B39" s="2" t="s">
        <v>211</v>
      </c>
      <c r="C39" s="2" t="s">
        <v>303</v>
      </c>
      <c r="D39" s="2" t="s">
        <v>258</v>
      </c>
    </row>
    <row r="40" spans="1:4">
      <c r="A40" s="2" t="s">
        <v>210</v>
      </c>
      <c r="B40" s="2" t="s">
        <v>211</v>
      </c>
      <c r="C40" s="2" t="s">
        <v>304</v>
      </c>
      <c r="D40" s="2" t="s">
        <v>262</v>
      </c>
    </row>
    <row r="41" spans="1:4">
      <c r="A41" s="2" t="s">
        <v>210</v>
      </c>
      <c r="B41" s="2" t="s">
        <v>211</v>
      </c>
      <c r="C41" s="2" t="s">
        <v>305</v>
      </c>
      <c r="D41" s="2" t="s">
        <v>262</v>
      </c>
    </row>
    <row r="42" spans="1:4">
      <c r="A42" s="2" t="s">
        <v>210</v>
      </c>
      <c r="B42" s="2" t="s">
        <v>211</v>
      </c>
      <c r="C42" s="2" t="s">
        <v>306</v>
      </c>
      <c r="D42" s="2" t="s">
        <v>256</v>
      </c>
    </row>
    <row r="43" spans="1:4">
      <c r="A43" s="2" t="s">
        <v>210</v>
      </c>
      <c r="B43" s="2" t="s">
        <v>211</v>
      </c>
      <c r="C43" s="2" t="s">
        <v>307</v>
      </c>
      <c r="D43" s="2" t="s">
        <v>299</v>
      </c>
    </row>
    <row r="44" spans="1:4">
      <c r="A44" s="2" t="s">
        <v>210</v>
      </c>
      <c r="B44" s="2" t="s">
        <v>211</v>
      </c>
      <c r="C44" s="2" t="s">
        <v>308</v>
      </c>
      <c r="D44" s="2" t="s">
        <v>309</v>
      </c>
    </row>
    <row r="45" spans="1:4">
      <c r="A45" s="2" t="s">
        <v>210</v>
      </c>
      <c r="B45" s="2" t="s">
        <v>211</v>
      </c>
      <c r="C45" s="2" t="s">
        <v>310</v>
      </c>
      <c r="D45" s="2" t="s">
        <v>309</v>
      </c>
    </row>
    <row r="46" spans="1:4">
      <c r="A46" s="2" t="s">
        <v>210</v>
      </c>
      <c r="B46" s="2" t="s">
        <v>211</v>
      </c>
      <c r="C46" s="2" t="s">
        <v>311</v>
      </c>
      <c r="D46" s="2" t="s">
        <v>270</v>
      </c>
    </row>
    <row r="47" spans="1:4">
      <c r="A47" s="2" t="s">
        <v>210</v>
      </c>
      <c r="B47" s="2" t="s">
        <v>211</v>
      </c>
      <c r="C47" s="2" t="s">
        <v>312</v>
      </c>
      <c r="D47" s="2" t="s">
        <v>299</v>
      </c>
    </row>
    <row r="48" spans="1:4">
      <c r="A48" s="2" t="s">
        <v>210</v>
      </c>
      <c r="B48" s="2" t="s">
        <v>211</v>
      </c>
      <c r="C48" s="2" t="s">
        <v>313</v>
      </c>
      <c r="D48" s="2" t="s">
        <v>299</v>
      </c>
    </row>
    <row r="49" spans="1:4">
      <c r="A49" s="2" t="s">
        <v>210</v>
      </c>
      <c r="B49" s="2" t="s">
        <v>211</v>
      </c>
      <c r="C49" s="2" t="s">
        <v>314</v>
      </c>
      <c r="D49" s="2" t="s">
        <v>309</v>
      </c>
    </row>
    <row r="50" spans="1:4">
      <c r="A50" s="2" t="s">
        <v>210</v>
      </c>
      <c r="B50" s="2" t="s">
        <v>211</v>
      </c>
      <c r="C50" s="2" t="s">
        <v>315</v>
      </c>
      <c r="D50" s="2" t="s">
        <v>270</v>
      </c>
    </row>
    <row r="51" spans="1:4">
      <c r="A51" s="2" t="s">
        <v>210</v>
      </c>
      <c r="B51" s="2" t="s">
        <v>211</v>
      </c>
      <c r="C51" s="2" t="s">
        <v>316</v>
      </c>
      <c r="D51" s="2" t="s">
        <v>299</v>
      </c>
    </row>
    <row r="52" spans="1:4">
      <c r="A52" s="2" t="s">
        <v>210</v>
      </c>
      <c r="B52" s="2" t="s">
        <v>211</v>
      </c>
      <c r="C52" s="2" t="s">
        <v>317</v>
      </c>
      <c r="D52" s="2" t="s">
        <v>299</v>
      </c>
    </row>
    <row r="53" spans="1:4">
      <c r="A53" s="2" t="s">
        <v>210</v>
      </c>
      <c r="B53" s="2" t="s">
        <v>211</v>
      </c>
      <c r="C53" s="2" t="s">
        <v>318</v>
      </c>
      <c r="D53" s="2" t="s">
        <v>262</v>
      </c>
    </row>
    <row r="54" spans="1:4">
      <c r="A54" s="2" t="s">
        <v>210</v>
      </c>
      <c r="B54" s="2" t="s">
        <v>211</v>
      </c>
      <c r="C54" s="2" t="s">
        <v>319</v>
      </c>
      <c r="D54" s="2" t="s">
        <v>270</v>
      </c>
    </row>
    <row r="55" spans="1:4">
      <c r="A55" s="2" t="s">
        <v>210</v>
      </c>
      <c r="B55" s="2" t="s">
        <v>211</v>
      </c>
      <c r="C55" s="2" t="s">
        <v>320</v>
      </c>
      <c r="D55" s="2" t="s">
        <v>262</v>
      </c>
    </row>
    <row r="56" spans="1:4">
      <c r="A56" s="2" t="s">
        <v>210</v>
      </c>
      <c r="B56" s="2" t="s">
        <v>211</v>
      </c>
      <c r="C56" s="2" t="s">
        <v>321</v>
      </c>
      <c r="D56" s="2" t="s">
        <v>262</v>
      </c>
    </row>
    <row r="57" spans="1:4">
      <c r="A57" s="2" t="s">
        <v>210</v>
      </c>
      <c r="B57" s="2" t="s">
        <v>211</v>
      </c>
      <c r="C57" s="2" t="s">
        <v>322</v>
      </c>
      <c r="D57" s="2" t="s">
        <v>262</v>
      </c>
    </row>
    <row r="58" spans="1:4">
      <c r="A58" s="2" t="s">
        <v>210</v>
      </c>
      <c r="B58" s="2" t="s">
        <v>211</v>
      </c>
      <c r="C58" s="2" t="s">
        <v>323</v>
      </c>
      <c r="D58" s="2" t="s">
        <v>299</v>
      </c>
    </row>
    <row r="59" spans="1:4">
      <c r="A59" s="2" t="s">
        <v>210</v>
      </c>
      <c r="B59" s="2" t="s">
        <v>211</v>
      </c>
      <c r="C59" s="2" t="s">
        <v>324</v>
      </c>
      <c r="D59" s="2" t="s">
        <v>262</v>
      </c>
    </row>
    <row r="60" spans="1:4">
      <c r="A60" s="2" t="s">
        <v>210</v>
      </c>
      <c r="B60" s="2" t="s">
        <v>211</v>
      </c>
      <c r="C60" s="2" t="s">
        <v>325</v>
      </c>
      <c r="D60" s="2" t="s">
        <v>262</v>
      </c>
    </row>
    <row r="61" spans="1:4">
      <c r="A61" s="2" t="s">
        <v>210</v>
      </c>
      <c r="B61" s="2" t="s">
        <v>211</v>
      </c>
      <c r="C61" s="2" t="s">
        <v>326</v>
      </c>
      <c r="D61" s="2" t="s">
        <v>262</v>
      </c>
    </row>
    <row r="62" spans="1:4">
      <c r="A62" s="2" t="s">
        <v>210</v>
      </c>
      <c r="B62" s="2" t="s">
        <v>211</v>
      </c>
      <c r="C62" s="2" t="s">
        <v>327</v>
      </c>
      <c r="D62" s="2" t="s">
        <v>262</v>
      </c>
    </row>
    <row r="63" spans="1:4">
      <c r="A63" s="2" t="s">
        <v>210</v>
      </c>
      <c r="B63" s="2" t="s">
        <v>211</v>
      </c>
      <c r="C63" s="2" t="s">
        <v>328</v>
      </c>
      <c r="D63" s="2" t="s">
        <v>309</v>
      </c>
    </row>
    <row r="64" spans="1:4">
      <c r="A64" s="2" t="s">
        <v>210</v>
      </c>
      <c r="B64" s="2" t="s">
        <v>211</v>
      </c>
      <c r="C64" s="2" t="s">
        <v>329</v>
      </c>
      <c r="D64" s="2" t="s">
        <v>287</v>
      </c>
    </row>
    <row r="65" spans="1:4">
      <c r="A65" s="2" t="s">
        <v>210</v>
      </c>
      <c r="B65" s="2" t="s">
        <v>211</v>
      </c>
      <c r="C65" s="2" t="s">
        <v>330</v>
      </c>
      <c r="D65" s="2" t="s">
        <v>262</v>
      </c>
    </row>
    <row r="66" spans="1:4">
      <c r="A66" s="2" t="s">
        <v>210</v>
      </c>
      <c r="B66" s="2" t="s">
        <v>211</v>
      </c>
      <c r="C66" s="2" t="s">
        <v>331</v>
      </c>
      <c r="D66" s="2" t="s">
        <v>309</v>
      </c>
    </row>
    <row r="67" spans="1:4">
      <c r="A67" s="2" t="s">
        <v>212</v>
      </c>
      <c r="B67" s="2" t="s">
        <v>213</v>
      </c>
      <c r="C67" s="2" t="s">
        <v>245</v>
      </c>
      <c r="D67" s="2" t="s">
        <v>332</v>
      </c>
    </row>
    <row r="68" spans="1:4">
      <c r="A68" s="2" t="s">
        <v>212</v>
      </c>
      <c r="B68" s="2" t="s">
        <v>213</v>
      </c>
      <c r="C68" s="2" t="s">
        <v>247</v>
      </c>
      <c r="D68" s="2" t="s">
        <v>248</v>
      </c>
    </row>
    <row r="69" spans="1:4">
      <c r="A69" s="2" t="s">
        <v>212</v>
      </c>
      <c r="B69" s="2" t="s">
        <v>213</v>
      </c>
      <c r="C69" s="2" t="s">
        <v>249</v>
      </c>
      <c r="D69" s="2" t="s">
        <v>250</v>
      </c>
    </row>
    <row r="70" spans="1:4">
      <c r="A70" s="2" t="s">
        <v>212</v>
      </c>
      <c r="B70" s="2" t="s">
        <v>213</v>
      </c>
      <c r="C70" s="2" t="s">
        <v>251</v>
      </c>
      <c r="D70" s="2" t="s">
        <v>252</v>
      </c>
    </row>
    <row r="71" spans="1:4">
      <c r="A71" s="2" t="s">
        <v>212</v>
      </c>
      <c r="B71" s="2" t="s">
        <v>213</v>
      </c>
      <c r="C71" s="2" t="s">
        <v>253</v>
      </c>
      <c r="D71" s="2" t="s">
        <v>254</v>
      </c>
    </row>
    <row r="72" spans="1:4">
      <c r="A72" s="2" t="s">
        <v>212</v>
      </c>
      <c r="B72" s="2" t="s">
        <v>213</v>
      </c>
      <c r="C72" s="2" t="s">
        <v>255</v>
      </c>
      <c r="D72" s="2" t="s">
        <v>256</v>
      </c>
    </row>
    <row r="73" spans="1:4">
      <c r="A73" s="2" t="s">
        <v>212</v>
      </c>
      <c r="B73" s="2" t="s">
        <v>213</v>
      </c>
      <c r="C73" s="2" t="s">
        <v>257</v>
      </c>
      <c r="D73" s="2" t="s">
        <v>258</v>
      </c>
    </row>
    <row r="74" spans="1:4">
      <c r="A74" s="2" t="s">
        <v>212</v>
      </c>
      <c r="B74" s="2" t="s">
        <v>213</v>
      </c>
      <c r="C74" s="2" t="s">
        <v>259</v>
      </c>
      <c r="D74" s="2" t="s">
        <v>260</v>
      </c>
    </row>
    <row r="75" spans="1:4">
      <c r="A75" s="2" t="s">
        <v>212</v>
      </c>
      <c r="B75" s="2" t="s">
        <v>213</v>
      </c>
      <c r="C75" s="2" t="s">
        <v>261</v>
      </c>
      <c r="D75" s="2" t="s">
        <v>262</v>
      </c>
    </row>
    <row r="76" spans="1:4">
      <c r="A76" s="2" t="s">
        <v>212</v>
      </c>
      <c r="B76" s="2" t="s">
        <v>213</v>
      </c>
      <c r="C76" s="2" t="s">
        <v>263</v>
      </c>
      <c r="D76" s="2" t="s">
        <v>262</v>
      </c>
    </row>
    <row r="77" spans="1:4">
      <c r="A77" s="2" t="s">
        <v>212</v>
      </c>
      <c r="B77" s="2" t="s">
        <v>213</v>
      </c>
      <c r="C77" s="2" t="s">
        <v>264</v>
      </c>
      <c r="D77" s="2" t="s">
        <v>262</v>
      </c>
    </row>
    <row r="78" spans="1:4">
      <c r="A78" s="2" t="s">
        <v>212</v>
      </c>
      <c r="B78" s="2" t="s">
        <v>213</v>
      </c>
      <c r="C78" s="2" t="s">
        <v>265</v>
      </c>
      <c r="D78" s="2" t="s">
        <v>266</v>
      </c>
    </row>
    <row r="79" spans="1:4">
      <c r="A79" s="2" t="s">
        <v>212</v>
      </c>
      <c r="B79" s="2" t="s">
        <v>213</v>
      </c>
      <c r="C79" s="2" t="s">
        <v>267</v>
      </c>
      <c r="D79" s="2" t="s">
        <v>268</v>
      </c>
    </row>
    <row r="80" spans="1:4">
      <c r="A80" s="2" t="s">
        <v>212</v>
      </c>
      <c r="B80" s="2" t="s">
        <v>213</v>
      </c>
      <c r="C80" s="2" t="s">
        <v>269</v>
      </c>
      <c r="D80" s="2" t="s">
        <v>270</v>
      </c>
    </row>
    <row r="81" spans="1:4">
      <c r="A81" s="2" t="s">
        <v>212</v>
      </c>
      <c r="B81" s="2" t="s">
        <v>213</v>
      </c>
      <c r="C81" s="2" t="s">
        <v>271</v>
      </c>
      <c r="D81" s="2" t="s">
        <v>272</v>
      </c>
    </row>
    <row r="82" spans="1:4">
      <c r="A82" s="2" t="s">
        <v>212</v>
      </c>
      <c r="B82" s="2" t="s">
        <v>213</v>
      </c>
      <c r="C82" s="2" t="s">
        <v>273</v>
      </c>
      <c r="D82" s="2" t="s">
        <v>274</v>
      </c>
    </row>
    <row r="83" spans="1:4">
      <c r="A83" s="2" t="s">
        <v>212</v>
      </c>
      <c r="B83" s="2" t="s">
        <v>213</v>
      </c>
      <c r="C83" s="2" t="s">
        <v>275</v>
      </c>
      <c r="D83" s="2" t="s">
        <v>262</v>
      </c>
    </row>
    <row r="84" spans="1:4">
      <c r="A84" s="2" t="s">
        <v>212</v>
      </c>
      <c r="B84" s="2" t="s">
        <v>213</v>
      </c>
      <c r="C84" s="2" t="s">
        <v>276</v>
      </c>
      <c r="D84" s="2" t="s">
        <v>277</v>
      </c>
    </row>
    <row r="85" spans="1:4">
      <c r="A85" s="2" t="s">
        <v>212</v>
      </c>
      <c r="B85" s="2" t="s">
        <v>213</v>
      </c>
      <c r="C85" s="2" t="s">
        <v>278</v>
      </c>
      <c r="D85" s="2" t="s">
        <v>279</v>
      </c>
    </row>
    <row r="86" spans="1:4">
      <c r="A86" s="2" t="s">
        <v>212</v>
      </c>
      <c r="B86" s="2" t="s">
        <v>213</v>
      </c>
      <c r="C86" s="2" t="s">
        <v>280</v>
      </c>
      <c r="D86" s="2" t="s">
        <v>281</v>
      </c>
    </row>
    <row r="87" spans="1:4">
      <c r="A87" s="2" t="s">
        <v>212</v>
      </c>
      <c r="B87" s="2" t="s">
        <v>213</v>
      </c>
      <c r="C87" s="2" t="s">
        <v>282</v>
      </c>
      <c r="D87" s="2" t="s">
        <v>283</v>
      </c>
    </row>
    <row r="88" spans="1:4">
      <c r="A88" s="2" t="s">
        <v>212</v>
      </c>
      <c r="B88" s="2" t="s">
        <v>213</v>
      </c>
      <c r="C88" s="2" t="s">
        <v>284</v>
      </c>
      <c r="D88" s="2" t="s">
        <v>285</v>
      </c>
    </row>
    <row r="89" spans="1:4">
      <c r="A89" s="2" t="s">
        <v>212</v>
      </c>
      <c r="B89" s="2" t="s">
        <v>213</v>
      </c>
      <c r="C89" s="2" t="s">
        <v>286</v>
      </c>
      <c r="D89" s="2" t="s">
        <v>287</v>
      </c>
    </row>
    <row r="90" spans="1:4">
      <c r="A90" s="2" t="s">
        <v>212</v>
      </c>
      <c r="B90" s="2" t="s">
        <v>213</v>
      </c>
      <c r="C90" s="2" t="s">
        <v>288</v>
      </c>
      <c r="D90" s="2" t="s">
        <v>289</v>
      </c>
    </row>
    <row r="91" spans="1:4">
      <c r="A91" s="2" t="s">
        <v>212</v>
      </c>
      <c r="B91" s="2" t="s">
        <v>213</v>
      </c>
      <c r="C91" s="2" t="s">
        <v>290</v>
      </c>
      <c r="D91" s="2" t="s">
        <v>262</v>
      </c>
    </row>
    <row r="92" spans="1:4">
      <c r="A92" s="2" t="s">
        <v>212</v>
      </c>
      <c r="B92" s="2" t="s">
        <v>213</v>
      </c>
      <c r="C92" s="2" t="s">
        <v>291</v>
      </c>
      <c r="D92" s="2" t="s">
        <v>256</v>
      </c>
    </row>
    <row r="93" spans="1:4">
      <c r="A93" s="2" t="s">
        <v>212</v>
      </c>
      <c r="B93" s="2" t="s">
        <v>213</v>
      </c>
      <c r="C93" s="2" t="s">
        <v>292</v>
      </c>
      <c r="D93" s="2" t="s">
        <v>270</v>
      </c>
    </row>
    <row r="94" spans="1:4">
      <c r="A94" s="2" t="s">
        <v>212</v>
      </c>
      <c r="B94" s="2" t="s">
        <v>213</v>
      </c>
      <c r="C94" s="2" t="s">
        <v>293</v>
      </c>
      <c r="D94" s="2" t="s">
        <v>294</v>
      </c>
    </row>
    <row r="95" spans="1:4">
      <c r="A95" s="2" t="s">
        <v>212</v>
      </c>
      <c r="B95" s="2" t="s">
        <v>213</v>
      </c>
      <c r="C95" s="2" t="s">
        <v>295</v>
      </c>
      <c r="D95" s="2" t="s">
        <v>296</v>
      </c>
    </row>
    <row r="96" spans="1:4">
      <c r="A96" s="2" t="s">
        <v>212</v>
      </c>
      <c r="B96" s="2" t="s">
        <v>213</v>
      </c>
      <c r="C96" s="2" t="s">
        <v>297</v>
      </c>
      <c r="D96" s="2" t="s">
        <v>333</v>
      </c>
    </row>
    <row r="97" spans="1:4">
      <c r="A97" s="2" t="s">
        <v>212</v>
      </c>
      <c r="B97" s="2" t="s">
        <v>213</v>
      </c>
      <c r="C97" s="2" t="s">
        <v>298</v>
      </c>
      <c r="D97" s="2" t="s">
        <v>299</v>
      </c>
    </row>
    <row r="98" spans="1:4">
      <c r="A98" s="2" t="s">
        <v>212</v>
      </c>
      <c r="B98" s="2" t="s">
        <v>213</v>
      </c>
      <c r="C98" s="2" t="s">
        <v>300</v>
      </c>
      <c r="D98" s="2" t="s">
        <v>299</v>
      </c>
    </row>
    <row r="99" spans="1:4">
      <c r="A99" s="2" t="s">
        <v>212</v>
      </c>
      <c r="B99" s="2" t="s">
        <v>213</v>
      </c>
      <c r="C99" s="2" t="s">
        <v>301</v>
      </c>
      <c r="D99" s="2" t="s">
        <v>281</v>
      </c>
    </row>
    <row r="100" spans="1:4">
      <c r="A100" s="2" t="s">
        <v>212</v>
      </c>
      <c r="B100" s="2" t="s">
        <v>213</v>
      </c>
      <c r="C100" s="2" t="s">
        <v>302</v>
      </c>
      <c r="D100" s="2" t="s">
        <v>299</v>
      </c>
    </row>
    <row r="101" spans="1:4">
      <c r="A101" s="2" t="s">
        <v>212</v>
      </c>
      <c r="B101" s="2" t="s">
        <v>213</v>
      </c>
      <c r="C101" s="2" t="s">
        <v>303</v>
      </c>
      <c r="D101" s="2" t="s">
        <v>334</v>
      </c>
    </row>
    <row r="102" spans="1:4">
      <c r="A102" s="2" t="s">
        <v>212</v>
      </c>
      <c r="B102" s="2" t="s">
        <v>213</v>
      </c>
      <c r="C102" s="2" t="s">
        <v>304</v>
      </c>
      <c r="D102" s="2" t="s">
        <v>262</v>
      </c>
    </row>
    <row r="103" spans="1:4">
      <c r="A103" s="2" t="s">
        <v>212</v>
      </c>
      <c r="B103" s="2" t="s">
        <v>213</v>
      </c>
      <c r="C103" s="2" t="s">
        <v>305</v>
      </c>
      <c r="D103" s="2" t="s">
        <v>262</v>
      </c>
    </row>
    <row r="104" spans="1:4">
      <c r="A104" s="2" t="s">
        <v>212</v>
      </c>
      <c r="B104" s="2" t="s">
        <v>213</v>
      </c>
      <c r="C104" s="2" t="s">
        <v>306</v>
      </c>
      <c r="D104" s="2" t="s">
        <v>256</v>
      </c>
    </row>
    <row r="105" spans="1:4">
      <c r="A105" s="2" t="s">
        <v>212</v>
      </c>
      <c r="B105" s="2" t="s">
        <v>213</v>
      </c>
      <c r="C105" s="2" t="s">
        <v>307</v>
      </c>
      <c r="D105" s="2" t="s">
        <v>299</v>
      </c>
    </row>
    <row r="106" spans="1:4">
      <c r="A106" s="2" t="s">
        <v>212</v>
      </c>
      <c r="B106" s="2" t="s">
        <v>213</v>
      </c>
      <c r="C106" s="2" t="s">
        <v>308</v>
      </c>
      <c r="D106" s="2" t="s">
        <v>309</v>
      </c>
    </row>
    <row r="107" spans="1:4">
      <c r="A107" s="2" t="s">
        <v>212</v>
      </c>
      <c r="B107" s="2" t="s">
        <v>213</v>
      </c>
      <c r="C107" s="2" t="s">
        <v>310</v>
      </c>
      <c r="D107" s="2" t="s">
        <v>309</v>
      </c>
    </row>
    <row r="108" spans="1:4">
      <c r="A108" s="2" t="s">
        <v>212</v>
      </c>
      <c r="B108" s="2" t="s">
        <v>213</v>
      </c>
      <c r="C108" s="2" t="s">
        <v>311</v>
      </c>
      <c r="D108" s="2" t="s">
        <v>270</v>
      </c>
    </row>
    <row r="109" spans="1:4">
      <c r="A109" s="2" t="s">
        <v>212</v>
      </c>
      <c r="B109" s="2" t="s">
        <v>213</v>
      </c>
      <c r="C109" s="2" t="s">
        <v>312</v>
      </c>
      <c r="D109" s="2" t="s">
        <v>335</v>
      </c>
    </row>
    <row r="110" spans="1:4">
      <c r="A110" s="2" t="s">
        <v>212</v>
      </c>
      <c r="B110" s="2" t="s">
        <v>213</v>
      </c>
      <c r="C110" s="2" t="s">
        <v>313</v>
      </c>
      <c r="D110" s="2" t="s">
        <v>299</v>
      </c>
    </row>
    <row r="111" spans="1:4">
      <c r="A111" s="2" t="s">
        <v>212</v>
      </c>
      <c r="B111" s="2" t="s">
        <v>213</v>
      </c>
      <c r="C111" s="2" t="s">
        <v>314</v>
      </c>
      <c r="D111" s="2" t="s">
        <v>281</v>
      </c>
    </row>
    <row r="112" spans="1:4">
      <c r="A112" s="2" t="s">
        <v>212</v>
      </c>
      <c r="B112" s="2" t="s">
        <v>213</v>
      </c>
      <c r="C112" s="2" t="s">
        <v>315</v>
      </c>
      <c r="D112" s="2" t="s">
        <v>272</v>
      </c>
    </row>
    <row r="113" spans="1:4">
      <c r="A113" s="2" t="s">
        <v>212</v>
      </c>
      <c r="B113" s="2" t="s">
        <v>213</v>
      </c>
      <c r="C113" s="2" t="s">
        <v>316</v>
      </c>
      <c r="D113" s="2" t="s">
        <v>299</v>
      </c>
    </row>
    <row r="114" spans="1:4">
      <c r="A114" s="2" t="s">
        <v>212</v>
      </c>
      <c r="B114" s="2" t="s">
        <v>213</v>
      </c>
      <c r="C114" s="2" t="s">
        <v>317</v>
      </c>
      <c r="D114" s="2" t="s">
        <v>299</v>
      </c>
    </row>
    <row r="115" spans="1:4">
      <c r="A115" s="2" t="s">
        <v>212</v>
      </c>
      <c r="B115" s="2" t="s">
        <v>213</v>
      </c>
      <c r="C115" s="2" t="s">
        <v>318</v>
      </c>
      <c r="D115" s="2" t="s">
        <v>262</v>
      </c>
    </row>
    <row r="116" spans="1:4">
      <c r="A116" s="2" t="s">
        <v>212</v>
      </c>
      <c r="B116" s="2" t="s">
        <v>213</v>
      </c>
      <c r="C116" s="2" t="s">
        <v>319</v>
      </c>
      <c r="D116" s="2" t="s">
        <v>270</v>
      </c>
    </row>
    <row r="117" spans="1:4">
      <c r="A117" s="2" t="s">
        <v>212</v>
      </c>
      <c r="B117" s="2" t="s">
        <v>213</v>
      </c>
      <c r="C117" s="2" t="s">
        <v>320</v>
      </c>
      <c r="D117" s="2" t="s">
        <v>270</v>
      </c>
    </row>
    <row r="118" spans="1:4">
      <c r="A118" s="2" t="s">
        <v>212</v>
      </c>
      <c r="B118" s="2" t="s">
        <v>213</v>
      </c>
      <c r="C118" s="2" t="s">
        <v>321</v>
      </c>
      <c r="D118" s="2" t="s">
        <v>270</v>
      </c>
    </row>
    <row r="119" spans="1:4">
      <c r="A119" s="2" t="s">
        <v>212</v>
      </c>
      <c r="B119" s="2" t="s">
        <v>213</v>
      </c>
      <c r="C119" s="2" t="s">
        <v>322</v>
      </c>
      <c r="D119" s="2" t="s">
        <v>262</v>
      </c>
    </row>
    <row r="120" spans="1:4">
      <c r="A120" s="2" t="s">
        <v>212</v>
      </c>
      <c r="B120" s="2" t="s">
        <v>213</v>
      </c>
      <c r="C120" s="2" t="s">
        <v>323</v>
      </c>
      <c r="D120" s="2" t="s">
        <v>335</v>
      </c>
    </row>
    <row r="121" spans="1:4">
      <c r="A121" s="2" t="s">
        <v>212</v>
      </c>
      <c r="B121" s="2" t="s">
        <v>213</v>
      </c>
      <c r="C121" s="2" t="s">
        <v>324</v>
      </c>
      <c r="D121" s="2" t="s">
        <v>262</v>
      </c>
    </row>
    <row r="122" spans="1:4">
      <c r="A122" s="2" t="s">
        <v>212</v>
      </c>
      <c r="B122" s="2" t="s">
        <v>213</v>
      </c>
      <c r="C122" s="2" t="s">
        <v>325</v>
      </c>
      <c r="D122" s="2" t="s">
        <v>262</v>
      </c>
    </row>
    <row r="123" spans="1:4">
      <c r="A123" s="2" t="s">
        <v>212</v>
      </c>
      <c r="B123" s="2" t="s">
        <v>213</v>
      </c>
      <c r="C123" s="2" t="s">
        <v>326</v>
      </c>
      <c r="D123" s="2" t="s">
        <v>294</v>
      </c>
    </row>
    <row r="124" spans="1:4">
      <c r="A124" s="2" t="s">
        <v>212</v>
      </c>
      <c r="B124" s="2" t="s">
        <v>213</v>
      </c>
      <c r="C124" s="2" t="s">
        <v>327</v>
      </c>
      <c r="D124" s="2" t="s">
        <v>272</v>
      </c>
    </row>
    <row r="125" spans="1:4">
      <c r="A125" s="2" t="s">
        <v>212</v>
      </c>
      <c r="B125" s="2" t="s">
        <v>213</v>
      </c>
      <c r="C125" s="2" t="s">
        <v>328</v>
      </c>
      <c r="D125" s="2" t="s">
        <v>334</v>
      </c>
    </row>
    <row r="126" spans="1:4">
      <c r="A126" s="2" t="s">
        <v>212</v>
      </c>
      <c r="B126" s="2" t="s">
        <v>213</v>
      </c>
      <c r="C126" s="2" t="s">
        <v>329</v>
      </c>
      <c r="D126" s="2" t="s">
        <v>287</v>
      </c>
    </row>
    <row r="127" spans="1:4">
      <c r="A127" s="2" t="s">
        <v>212</v>
      </c>
      <c r="B127" s="2" t="s">
        <v>213</v>
      </c>
      <c r="C127" s="2" t="s">
        <v>330</v>
      </c>
      <c r="D127" s="2" t="s">
        <v>336</v>
      </c>
    </row>
    <row r="128" spans="1:4">
      <c r="A128" s="2" t="s">
        <v>212</v>
      </c>
      <c r="B128" s="2" t="s">
        <v>213</v>
      </c>
      <c r="C128" s="2" t="s">
        <v>331</v>
      </c>
      <c r="D128" s="2" t="s">
        <v>309</v>
      </c>
    </row>
    <row r="129" spans="1:4">
      <c r="A129" s="2" t="s">
        <v>214</v>
      </c>
      <c r="B129" s="2" t="s">
        <v>215</v>
      </c>
      <c r="C129" s="2" t="s">
        <v>245</v>
      </c>
      <c r="D129" s="2" t="s">
        <v>337</v>
      </c>
    </row>
    <row r="130" spans="1:4">
      <c r="A130" s="2" t="s">
        <v>214</v>
      </c>
      <c r="B130" s="2" t="s">
        <v>215</v>
      </c>
      <c r="C130" s="2" t="s">
        <v>247</v>
      </c>
      <c r="D130" s="2" t="s">
        <v>248</v>
      </c>
    </row>
    <row r="131" spans="1:4">
      <c r="A131" s="2" t="s">
        <v>214</v>
      </c>
      <c r="B131" s="2" t="s">
        <v>215</v>
      </c>
      <c r="C131" s="2" t="s">
        <v>249</v>
      </c>
      <c r="D131" s="2" t="s">
        <v>250</v>
      </c>
    </row>
    <row r="132" spans="1:4">
      <c r="A132" s="2" t="s">
        <v>214</v>
      </c>
      <c r="B132" s="2" t="s">
        <v>215</v>
      </c>
      <c r="C132" s="2" t="s">
        <v>251</v>
      </c>
      <c r="D132" s="2" t="s">
        <v>252</v>
      </c>
    </row>
    <row r="133" spans="1:4">
      <c r="A133" s="2" t="s">
        <v>214</v>
      </c>
      <c r="B133" s="2" t="s">
        <v>215</v>
      </c>
      <c r="C133" s="2" t="s">
        <v>253</v>
      </c>
      <c r="D133" s="2" t="s">
        <v>254</v>
      </c>
    </row>
    <row r="134" spans="1:4">
      <c r="A134" s="2" t="s">
        <v>214</v>
      </c>
      <c r="B134" s="2" t="s">
        <v>215</v>
      </c>
      <c r="C134" s="2" t="s">
        <v>255</v>
      </c>
      <c r="D134" s="2" t="s">
        <v>256</v>
      </c>
    </row>
    <row r="135" spans="1:4">
      <c r="A135" s="2" t="s">
        <v>214</v>
      </c>
      <c r="B135" s="2" t="s">
        <v>215</v>
      </c>
      <c r="C135" s="2" t="s">
        <v>257</v>
      </c>
      <c r="D135" s="2" t="s">
        <v>258</v>
      </c>
    </row>
    <row r="136" spans="1:4">
      <c r="A136" s="2" t="s">
        <v>214</v>
      </c>
      <c r="B136" s="2" t="s">
        <v>215</v>
      </c>
      <c r="C136" s="2" t="s">
        <v>259</v>
      </c>
      <c r="D136" s="2" t="s">
        <v>260</v>
      </c>
    </row>
    <row r="137" spans="1:4">
      <c r="A137" s="2" t="s">
        <v>214</v>
      </c>
      <c r="B137" s="2" t="s">
        <v>215</v>
      </c>
      <c r="C137" s="2" t="s">
        <v>261</v>
      </c>
      <c r="D137" s="2" t="s">
        <v>262</v>
      </c>
    </row>
    <row r="138" spans="1:4">
      <c r="A138" s="2" t="s">
        <v>214</v>
      </c>
      <c r="B138" s="2" t="s">
        <v>215</v>
      </c>
      <c r="C138" s="2" t="s">
        <v>263</v>
      </c>
      <c r="D138" s="2" t="s">
        <v>262</v>
      </c>
    </row>
    <row r="139" spans="1:4">
      <c r="A139" s="2" t="s">
        <v>214</v>
      </c>
      <c r="B139" s="2" t="s">
        <v>215</v>
      </c>
      <c r="C139" s="2" t="s">
        <v>264</v>
      </c>
      <c r="D139" s="2" t="s">
        <v>262</v>
      </c>
    </row>
    <row r="140" spans="1:4">
      <c r="A140" s="2" t="s">
        <v>214</v>
      </c>
      <c r="B140" s="2" t="s">
        <v>215</v>
      </c>
      <c r="C140" s="2" t="s">
        <v>265</v>
      </c>
      <c r="D140" s="2" t="s">
        <v>266</v>
      </c>
    </row>
    <row r="141" spans="1:4">
      <c r="A141" s="2" t="s">
        <v>214</v>
      </c>
      <c r="B141" s="2" t="s">
        <v>215</v>
      </c>
      <c r="C141" s="2" t="s">
        <v>267</v>
      </c>
      <c r="D141" s="2" t="s">
        <v>268</v>
      </c>
    </row>
    <row r="142" spans="1:4">
      <c r="A142" s="2" t="s">
        <v>214</v>
      </c>
      <c r="B142" s="2" t="s">
        <v>215</v>
      </c>
      <c r="C142" s="2" t="s">
        <v>269</v>
      </c>
      <c r="D142" s="2" t="s">
        <v>270</v>
      </c>
    </row>
    <row r="143" spans="1:4">
      <c r="A143" s="2" t="s">
        <v>214</v>
      </c>
      <c r="B143" s="2" t="s">
        <v>215</v>
      </c>
      <c r="C143" s="2" t="s">
        <v>271</v>
      </c>
      <c r="D143" s="2" t="s">
        <v>272</v>
      </c>
    </row>
    <row r="144" spans="1:4">
      <c r="A144" s="2" t="s">
        <v>214</v>
      </c>
      <c r="B144" s="2" t="s">
        <v>215</v>
      </c>
      <c r="C144" s="2" t="s">
        <v>273</v>
      </c>
      <c r="D144" s="2" t="s">
        <v>274</v>
      </c>
    </row>
    <row r="145" spans="1:4">
      <c r="A145" s="2" t="s">
        <v>214</v>
      </c>
      <c r="B145" s="2" t="s">
        <v>215</v>
      </c>
      <c r="C145" s="2" t="s">
        <v>275</v>
      </c>
      <c r="D145" s="2" t="s">
        <v>262</v>
      </c>
    </row>
    <row r="146" spans="1:4">
      <c r="A146" s="2" t="s">
        <v>214</v>
      </c>
      <c r="B146" s="2" t="s">
        <v>215</v>
      </c>
      <c r="C146" s="2" t="s">
        <v>276</v>
      </c>
      <c r="D146" s="2" t="s">
        <v>277</v>
      </c>
    </row>
    <row r="147" spans="1:4">
      <c r="A147" s="2" t="s">
        <v>214</v>
      </c>
      <c r="B147" s="2" t="s">
        <v>215</v>
      </c>
      <c r="C147" s="2" t="s">
        <v>278</v>
      </c>
      <c r="D147" s="2" t="s">
        <v>279</v>
      </c>
    </row>
    <row r="148" spans="1:4">
      <c r="A148" s="2" t="s">
        <v>214</v>
      </c>
      <c r="B148" s="2" t="s">
        <v>215</v>
      </c>
      <c r="C148" s="2" t="s">
        <v>280</v>
      </c>
      <c r="D148" s="2" t="s">
        <v>281</v>
      </c>
    </row>
    <row r="149" spans="1:4">
      <c r="A149" s="2" t="s">
        <v>214</v>
      </c>
      <c r="B149" s="2" t="s">
        <v>215</v>
      </c>
      <c r="C149" s="2" t="s">
        <v>282</v>
      </c>
      <c r="D149" s="2" t="s">
        <v>283</v>
      </c>
    </row>
    <row r="150" spans="1:4">
      <c r="A150" s="2" t="s">
        <v>214</v>
      </c>
      <c r="B150" s="2" t="s">
        <v>215</v>
      </c>
      <c r="C150" s="2" t="s">
        <v>284</v>
      </c>
      <c r="D150" s="2" t="s">
        <v>285</v>
      </c>
    </row>
    <row r="151" spans="1:4">
      <c r="A151" s="2" t="s">
        <v>214</v>
      </c>
      <c r="B151" s="2" t="s">
        <v>215</v>
      </c>
      <c r="C151" s="2" t="s">
        <v>286</v>
      </c>
      <c r="D151" s="2" t="s">
        <v>287</v>
      </c>
    </row>
    <row r="152" spans="1:4">
      <c r="A152" s="2" t="s">
        <v>214</v>
      </c>
      <c r="B152" s="2" t="s">
        <v>215</v>
      </c>
      <c r="C152" s="2" t="s">
        <v>288</v>
      </c>
      <c r="D152" s="2" t="s">
        <v>289</v>
      </c>
    </row>
    <row r="153" spans="1:4">
      <c r="A153" s="2" t="s">
        <v>214</v>
      </c>
      <c r="B153" s="2" t="s">
        <v>215</v>
      </c>
      <c r="C153" s="2" t="s">
        <v>290</v>
      </c>
      <c r="D153" s="2" t="s">
        <v>262</v>
      </c>
    </row>
    <row r="154" spans="1:4">
      <c r="A154" s="2" t="s">
        <v>214</v>
      </c>
      <c r="B154" s="2" t="s">
        <v>215</v>
      </c>
      <c r="C154" s="2" t="s">
        <v>291</v>
      </c>
      <c r="D154" s="2" t="s">
        <v>256</v>
      </c>
    </row>
    <row r="155" spans="1:4">
      <c r="A155" s="2" t="s">
        <v>214</v>
      </c>
      <c r="B155" s="2" t="s">
        <v>215</v>
      </c>
      <c r="C155" s="2" t="s">
        <v>292</v>
      </c>
      <c r="D155" s="2" t="s">
        <v>270</v>
      </c>
    </row>
    <row r="156" spans="1:4">
      <c r="A156" s="2" t="s">
        <v>214</v>
      </c>
      <c r="B156" s="2" t="s">
        <v>215</v>
      </c>
      <c r="C156" s="2" t="s">
        <v>293</v>
      </c>
      <c r="D156" s="2" t="s">
        <v>294</v>
      </c>
    </row>
    <row r="157" spans="1:4">
      <c r="A157" s="2" t="s">
        <v>214</v>
      </c>
      <c r="B157" s="2" t="s">
        <v>215</v>
      </c>
      <c r="C157" s="2" t="s">
        <v>295</v>
      </c>
      <c r="D157" s="2" t="s">
        <v>296</v>
      </c>
    </row>
    <row r="158" spans="1:4">
      <c r="A158" s="2" t="s">
        <v>214</v>
      </c>
      <c r="B158" s="2" t="s">
        <v>215</v>
      </c>
      <c r="C158" s="2" t="s">
        <v>297</v>
      </c>
      <c r="D158" s="2" t="s">
        <v>333</v>
      </c>
    </row>
    <row r="159" spans="1:4">
      <c r="A159" s="2" t="s">
        <v>214</v>
      </c>
      <c r="B159" s="2" t="s">
        <v>215</v>
      </c>
      <c r="C159" s="2" t="s">
        <v>298</v>
      </c>
      <c r="D159" s="2" t="s">
        <v>299</v>
      </c>
    </row>
    <row r="160" spans="1:4">
      <c r="A160" s="2" t="s">
        <v>214</v>
      </c>
      <c r="B160" s="2" t="s">
        <v>215</v>
      </c>
      <c r="C160" s="2" t="s">
        <v>300</v>
      </c>
      <c r="D160" s="2" t="s">
        <v>299</v>
      </c>
    </row>
    <row r="161" spans="1:4">
      <c r="A161" s="2" t="s">
        <v>214</v>
      </c>
      <c r="B161" s="2" t="s">
        <v>215</v>
      </c>
      <c r="C161" s="2" t="s">
        <v>301</v>
      </c>
      <c r="D161" s="2" t="s">
        <v>281</v>
      </c>
    </row>
    <row r="162" spans="1:4">
      <c r="A162" s="2" t="s">
        <v>214</v>
      </c>
      <c r="B162" s="2" t="s">
        <v>215</v>
      </c>
      <c r="C162" s="2" t="s">
        <v>302</v>
      </c>
      <c r="D162" s="2" t="s">
        <v>299</v>
      </c>
    </row>
    <row r="163" spans="1:4">
      <c r="A163" s="2" t="s">
        <v>214</v>
      </c>
      <c r="B163" s="2" t="s">
        <v>215</v>
      </c>
      <c r="C163" s="2" t="s">
        <v>303</v>
      </c>
      <c r="D163" s="2" t="s">
        <v>334</v>
      </c>
    </row>
    <row r="164" spans="1:4">
      <c r="A164" s="2" t="s">
        <v>214</v>
      </c>
      <c r="B164" s="2" t="s">
        <v>215</v>
      </c>
      <c r="C164" s="2" t="s">
        <v>304</v>
      </c>
      <c r="D164" s="2" t="s">
        <v>262</v>
      </c>
    </row>
    <row r="165" spans="1:4">
      <c r="A165" s="2" t="s">
        <v>214</v>
      </c>
      <c r="B165" s="2" t="s">
        <v>215</v>
      </c>
      <c r="C165" s="2" t="s">
        <v>305</v>
      </c>
      <c r="D165" s="2" t="s">
        <v>262</v>
      </c>
    </row>
    <row r="166" spans="1:4">
      <c r="A166" s="2" t="s">
        <v>214</v>
      </c>
      <c r="B166" s="2" t="s">
        <v>215</v>
      </c>
      <c r="C166" s="2" t="s">
        <v>306</v>
      </c>
      <c r="D166" s="2" t="s">
        <v>256</v>
      </c>
    </row>
    <row r="167" spans="1:4">
      <c r="A167" s="2" t="s">
        <v>214</v>
      </c>
      <c r="B167" s="2" t="s">
        <v>215</v>
      </c>
      <c r="C167" s="2" t="s">
        <v>307</v>
      </c>
      <c r="D167" s="2" t="s">
        <v>299</v>
      </c>
    </row>
    <row r="168" spans="1:4">
      <c r="A168" s="2" t="s">
        <v>214</v>
      </c>
      <c r="B168" s="2" t="s">
        <v>215</v>
      </c>
      <c r="C168" s="2" t="s">
        <v>308</v>
      </c>
      <c r="D168" s="2" t="s">
        <v>309</v>
      </c>
    </row>
    <row r="169" spans="1:4">
      <c r="A169" s="2" t="s">
        <v>214</v>
      </c>
      <c r="B169" s="2" t="s">
        <v>215</v>
      </c>
      <c r="C169" s="2" t="s">
        <v>310</v>
      </c>
      <c r="D169" s="2" t="s">
        <v>309</v>
      </c>
    </row>
    <row r="170" spans="1:4">
      <c r="A170" s="2" t="s">
        <v>214</v>
      </c>
      <c r="B170" s="2" t="s">
        <v>215</v>
      </c>
      <c r="C170" s="2" t="s">
        <v>311</v>
      </c>
      <c r="D170" s="2" t="s">
        <v>270</v>
      </c>
    </row>
    <row r="171" spans="1:4">
      <c r="A171" s="2" t="s">
        <v>214</v>
      </c>
      <c r="B171" s="2" t="s">
        <v>215</v>
      </c>
      <c r="C171" s="2" t="s">
        <v>312</v>
      </c>
      <c r="D171" s="2" t="s">
        <v>335</v>
      </c>
    </row>
    <row r="172" spans="1:4">
      <c r="A172" s="2" t="s">
        <v>214</v>
      </c>
      <c r="B172" s="2" t="s">
        <v>215</v>
      </c>
      <c r="C172" s="2" t="s">
        <v>313</v>
      </c>
      <c r="D172" s="2" t="s">
        <v>299</v>
      </c>
    </row>
    <row r="173" spans="1:4">
      <c r="A173" s="2" t="s">
        <v>214</v>
      </c>
      <c r="B173" s="2" t="s">
        <v>215</v>
      </c>
      <c r="C173" s="2" t="s">
        <v>314</v>
      </c>
      <c r="D173" s="2" t="s">
        <v>281</v>
      </c>
    </row>
    <row r="174" spans="1:4">
      <c r="A174" s="2" t="s">
        <v>214</v>
      </c>
      <c r="B174" s="2" t="s">
        <v>215</v>
      </c>
      <c r="C174" s="2" t="s">
        <v>315</v>
      </c>
      <c r="D174" s="2" t="s">
        <v>272</v>
      </c>
    </row>
    <row r="175" spans="1:4">
      <c r="A175" s="2" t="s">
        <v>214</v>
      </c>
      <c r="B175" s="2" t="s">
        <v>215</v>
      </c>
      <c r="C175" s="2" t="s">
        <v>316</v>
      </c>
      <c r="D175" s="2" t="s">
        <v>299</v>
      </c>
    </row>
    <row r="176" spans="1:4">
      <c r="A176" s="2" t="s">
        <v>214</v>
      </c>
      <c r="B176" s="2" t="s">
        <v>215</v>
      </c>
      <c r="C176" s="2" t="s">
        <v>317</v>
      </c>
      <c r="D176" s="2" t="s">
        <v>299</v>
      </c>
    </row>
    <row r="177" spans="1:4">
      <c r="A177" s="2" t="s">
        <v>214</v>
      </c>
      <c r="B177" s="2" t="s">
        <v>215</v>
      </c>
      <c r="C177" s="2" t="s">
        <v>318</v>
      </c>
      <c r="D177" s="2" t="s">
        <v>262</v>
      </c>
    </row>
    <row r="178" spans="1:4">
      <c r="A178" s="2" t="s">
        <v>214</v>
      </c>
      <c r="B178" s="2" t="s">
        <v>215</v>
      </c>
      <c r="C178" s="2" t="s">
        <v>319</v>
      </c>
      <c r="D178" s="2" t="s">
        <v>270</v>
      </c>
    </row>
    <row r="179" spans="1:4">
      <c r="A179" s="2" t="s">
        <v>214</v>
      </c>
      <c r="B179" s="2" t="s">
        <v>215</v>
      </c>
      <c r="C179" s="2" t="s">
        <v>320</v>
      </c>
      <c r="D179" s="2" t="s">
        <v>270</v>
      </c>
    </row>
    <row r="180" spans="1:4">
      <c r="A180" s="2" t="s">
        <v>214</v>
      </c>
      <c r="B180" s="2" t="s">
        <v>215</v>
      </c>
      <c r="C180" s="2" t="s">
        <v>321</v>
      </c>
      <c r="D180" s="2" t="s">
        <v>270</v>
      </c>
    </row>
    <row r="181" spans="1:4">
      <c r="A181" s="2" t="s">
        <v>214</v>
      </c>
      <c r="B181" s="2" t="s">
        <v>215</v>
      </c>
      <c r="C181" s="2" t="s">
        <v>322</v>
      </c>
      <c r="D181" s="2" t="s">
        <v>262</v>
      </c>
    </row>
    <row r="182" spans="1:4">
      <c r="A182" s="2" t="s">
        <v>214</v>
      </c>
      <c r="B182" s="2" t="s">
        <v>215</v>
      </c>
      <c r="C182" s="2" t="s">
        <v>323</v>
      </c>
      <c r="D182" s="2" t="s">
        <v>335</v>
      </c>
    </row>
    <row r="183" spans="1:4">
      <c r="A183" s="2" t="s">
        <v>214</v>
      </c>
      <c r="B183" s="2" t="s">
        <v>215</v>
      </c>
      <c r="C183" s="2" t="s">
        <v>324</v>
      </c>
      <c r="D183" s="2" t="s">
        <v>270</v>
      </c>
    </row>
    <row r="184" spans="1:4">
      <c r="A184" s="2" t="s">
        <v>214</v>
      </c>
      <c r="B184" s="2" t="s">
        <v>215</v>
      </c>
      <c r="C184" s="2" t="s">
        <v>325</v>
      </c>
      <c r="D184" s="2" t="s">
        <v>262</v>
      </c>
    </row>
    <row r="185" spans="1:4">
      <c r="A185" s="2" t="s">
        <v>214</v>
      </c>
      <c r="B185" s="2" t="s">
        <v>215</v>
      </c>
      <c r="C185" s="2" t="s">
        <v>326</v>
      </c>
      <c r="D185" s="2" t="s">
        <v>294</v>
      </c>
    </row>
    <row r="186" spans="1:4">
      <c r="A186" s="2" t="s">
        <v>214</v>
      </c>
      <c r="B186" s="2" t="s">
        <v>215</v>
      </c>
      <c r="C186" s="2" t="s">
        <v>327</v>
      </c>
      <c r="D186" s="2" t="s">
        <v>272</v>
      </c>
    </row>
    <row r="187" spans="1:4">
      <c r="A187" s="2" t="s">
        <v>214</v>
      </c>
      <c r="B187" s="2" t="s">
        <v>215</v>
      </c>
      <c r="C187" s="2" t="s">
        <v>328</v>
      </c>
      <c r="D187" s="2" t="s">
        <v>334</v>
      </c>
    </row>
    <row r="188" spans="1:4">
      <c r="A188" s="2" t="s">
        <v>214</v>
      </c>
      <c r="B188" s="2" t="s">
        <v>215</v>
      </c>
      <c r="C188" s="2" t="s">
        <v>329</v>
      </c>
      <c r="D188" s="2" t="s">
        <v>287</v>
      </c>
    </row>
    <row r="189" spans="1:4">
      <c r="A189" s="2" t="s">
        <v>214</v>
      </c>
      <c r="B189" s="2" t="s">
        <v>215</v>
      </c>
      <c r="C189" s="2" t="s">
        <v>330</v>
      </c>
      <c r="D189" s="2" t="s">
        <v>336</v>
      </c>
    </row>
    <row r="190" spans="1:4">
      <c r="A190" s="2" t="s">
        <v>214</v>
      </c>
      <c r="B190" s="2" t="s">
        <v>215</v>
      </c>
      <c r="C190" s="2" t="s">
        <v>331</v>
      </c>
      <c r="D190" s="2" t="s">
        <v>309</v>
      </c>
    </row>
    <row r="191" spans="1:4">
      <c r="A191" s="2" t="s">
        <v>216</v>
      </c>
      <c r="B191" s="2" t="s">
        <v>217</v>
      </c>
      <c r="C191" s="2" t="s">
        <v>245</v>
      </c>
      <c r="D191" s="2" t="s">
        <v>338</v>
      </c>
    </row>
    <row r="192" spans="1:4">
      <c r="A192" s="2" t="s">
        <v>216</v>
      </c>
      <c r="B192" s="2" t="s">
        <v>217</v>
      </c>
      <c r="C192" s="2" t="s">
        <v>247</v>
      </c>
      <c r="D192" s="2" t="s">
        <v>248</v>
      </c>
    </row>
    <row r="193" spans="1:4">
      <c r="A193" s="2" t="s">
        <v>216</v>
      </c>
      <c r="B193" s="2" t="s">
        <v>217</v>
      </c>
      <c r="C193" s="2" t="s">
        <v>249</v>
      </c>
      <c r="D193" s="2" t="s">
        <v>250</v>
      </c>
    </row>
    <row r="194" spans="1:4">
      <c r="A194" s="2" t="s">
        <v>216</v>
      </c>
      <c r="B194" s="2" t="s">
        <v>217</v>
      </c>
      <c r="C194" s="2" t="s">
        <v>251</v>
      </c>
      <c r="D194" s="2" t="s">
        <v>252</v>
      </c>
    </row>
    <row r="195" spans="1:4">
      <c r="A195" s="2" t="s">
        <v>216</v>
      </c>
      <c r="B195" s="2" t="s">
        <v>217</v>
      </c>
      <c r="C195" s="2" t="s">
        <v>253</v>
      </c>
      <c r="D195" s="2" t="s">
        <v>254</v>
      </c>
    </row>
    <row r="196" spans="1:4">
      <c r="A196" s="2" t="s">
        <v>216</v>
      </c>
      <c r="B196" s="2" t="s">
        <v>217</v>
      </c>
      <c r="C196" s="2" t="s">
        <v>255</v>
      </c>
      <c r="D196" s="2" t="s">
        <v>256</v>
      </c>
    </row>
    <row r="197" spans="1:4">
      <c r="A197" s="2" t="s">
        <v>216</v>
      </c>
      <c r="B197" s="2" t="s">
        <v>217</v>
      </c>
      <c r="C197" s="2" t="s">
        <v>257</v>
      </c>
      <c r="D197" s="2" t="s">
        <v>258</v>
      </c>
    </row>
    <row r="198" spans="1:4">
      <c r="A198" s="2" t="s">
        <v>216</v>
      </c>
      <c r="B198" s="2" t="s">
        <v>217</v>
      </c>
      <c r="C198" s="2" t="s">
        <v>259</v>
      </c>
      <c r="D198" s="2" t="s">
        <v>260</v>
      </c>
    </row>
    <row r="199" spans="1:4">
      <c r="A199" s="2" t="s">
        <v>216</v>
      </c>
      <c r="B199" s="2" t="s">
        <v>217</v>
      </c>
      <c r="C199" s="2" t="s">
        <v>261</v>
      </c>
      <c r="D199" s="2" t="s">
        <v>262</v>
      </c>
    </row>
    <row r="200" spans="1:4">
      <c r="A200" s="2" t="s">
        <v>216</v>
      </c>
      <c r="B200" s="2" t="s">
        <v>217</v>
      </c>
      <c r="C200" s="2" t="s">
        <v>263</v>
      </c>
      <c r="D200" s="2" t="s">
        <v>262</v>
      </c>
    </row>
    <row r="201" spans="1:4">
      <c r="A201" s="2" t="s">
        <v>216</v>
      </c>
      <c r="B201" s="2" t="s">
        <v>217</v>
      </c>
      <c r="C201" s="2" t="s">
        <v>264</v>
      </c>
      <c r="D201" s="2" t="s">
        <v>262</v>
      </c>
    </row>
    <row r="202" spans="1:4">
      <c r="A202" s="2" t="s">
        <v>216</v>
      </c>
      <c r="B202" s="2" t="s">
        <v>217</v>
      </c>
      <c r="C202" s="2" t="s">
        <v>265</v>
      </c>
      <c r="D202" s="2" t="s">
        <v>266</v>
      </c>
    </row>
    <row r="203" spans="1:4">
      <c r="A203" s="2" t="s">
        <v>216</v>
      </c>
      <c r="B203" s="2" t="s">
        <v>217</v>
      </c>
      <c r="C203" s="2" t="s">
        <v>267</v>
      </c>
      <c r="D203" s="2" t="s">
        <v>268</v>
      </c>
    </row>
    <row r="204" spans="1:4">
      <c r="A204" s="2" t="s">
        <v>216</v>
      </c>
      <c r="B204" s="2" t="s">
        <v>217</v>
      </c>
      <c r="C204" s="2" t="s">
        <v>269</v>
      </c>
      <c r="D204" s="2" t="s">
        <v>270</v>
      </c>
    </row>
    <row r="205" spans="1:4">
      <c r="A205" s="2" t="s">
        <v>216</v>
      </c>
      <c r="B205" s="2" t="s">
        <v>217</v>
      </c>
      <c r="C205" s="2" t="s">
        <v>271</v>
      </c>
      <c r="D205" s="2" t="s">
        <v>272</v>
      </c>
    </row>
    <row r="206" spans="1:4">
      <c r="A206" s="2" t="s">
        <v>216</v>
      </c>
      <c r="B206" s="2" t="s">
        <v>217</v>
      </c>
      <c r="C206" s="2" t="s">
        <v>273</v>
      </c>
      <c r="D206" s="2" t="s">
        <v>274</v>
      </c>
    </row>
    <row r="207" spans="1:4">
      <c r="A207" s="2" t="s">
        <v>216</v>
      </c>
      <c r="B207" s="2" t="s">
        <v>217</v>
      </c>
      <c r="C207" s="2" t="s">
        <v>275</v>
      </c>
      <c r="D207" s="2" t="s">
        <v>262</v>
      </c>
    </row>
    <row r="208" spans="1:4">
      <c r="A208" s="2" t="s">
        <v>216</v>
      </c>
      <c r="B208" s="2" t="s">
        <v>217</v>
      </c>
      <c r="C208" s="2" t="s">
        <v>276</v>
      </c>
      <c r="D208" s="2" t="s">
        <v>277</v>
      </c>
    </row>
    <row r="209" spans="1:4">
      <c r="A209" s="2" t="s">
        <v>216</v>
      </c>
      <c r="B209" s="2" t="s">
        <v>217</v>
      </c>
      <c r="C209" s="2" t="s">
        <v>278</v>
      </c>
      <c r="D209" s="2" t="s">
        <v>279</v>
      </c>
    </row>
    <row r="210" spans="1:4">
      <c r="A210" s="2" t="s">
        <v>216</v>
      </c>
      <c r="B210" s="2" t="s">
        <v>217</v>
      </c>
      <c r="C210" s="2" t="s">
        <v>280</v>
      </c>
      <c r="D210" s="2" t="s">
        <v>281</v>
      </c>
    </row>
    <row r="211" spans="1:4">
      <c r="A211" s="2" t="s">
        <v>216</v>
      </c>
      <c r="B211" s="2" t="s">
        <v>217</v>
      </c>
      <c r="C211" s="2" t="s">
        <v>282</v>
      </c>
      <c r="D211" s="2" t="s">
        <v>283</v>
      </c>
    </row>
    <row r="212" spans="1:4">
      <c r="A212" s="2" t="s">
        <v>216</v>
      </c>
      <c r="B212" s="2" t="s">
        <v>217</v>
      </c>
      <c r="C212" s="2" t="s">
        <v>284</v>
      </c>
      <c r="D212" s="2" t="s">
        <v>285</v>
      </c>
    </row>
    <row r="213" spans="1:4">
      <c r="A213" s="2" t="s">
        <v>216</v>
      </c>
      <c r="B213" s="2" t="s">
        <v>217</v>
      </c>
      <c r="C213" s="2" t="s">
        <v>286</v>
      </c>
      <c r="D213" s="2" t="s">
        <v>287</v>
      </c>
    </row>
    <row r="214" spans="1:4">
      <c r="A214" s="2" t="s">
        <v>216</v>
      </c>
      <c r="B214" s="2" t="s">
        <v>217</v>
      </c>
      <c r="C214" s="2" t="s">
        <v>288</v>
      </c>
      <c r="D214" s="2" t="s">
        <v>289</v>
      </c>
    </row>
    <row r="215" spans="1:4">
      <c r="A215" s="2" t="s">
        <v>216</v>
      </c>
      <c r="B215" s="2" t="s">
        <v>217</v>
      </c>
      <c r="C215" s="2" t="s">
        <v>290</v>
      </c>
      <c r="D215" s="2" t="s">
        <v>262</v>
      </c>
    </row>
    <row r="216" spans="1:4">
      <c r="A216" s="2" t="s">
        <v>216</v>
      </c>
      <c r="B216" s="2" t="s">
        <v>217</v>
      </c>
      <c r="C216" s="2" t="s">
        <v>291</v>
      </c>
      <c r="D216" s="2" t="s">
        <v>256</v>
      </c>
    </row>
    <row r="217" spans="1:4">
      <c r="A217" s="2" t="s">
        <v>216</v>
      </c>
      <c r="B217" s="2" t="s">
        <v>217</v>
      </c>
      <c r="C217" s="2" t="s">
        <v>292</v>
      </c>
      <c r="D217" s="2" t="s">
        <v>270</v>
      </c>
    </row>
    <row r="218" spans="1:4">
      <c r="A218" s="2" t="s">
        <v>216</v>
      </c>
      <c r="B218" s="2" t="s">
        <v>217</v>
      </c>
      <c r="C218" s="2" t="s">
        <v>293</v>
      </c>
      <c r="D218" s="2" t="s">
        <v>294</v>
      </c>
    </row>
    <row r="219" spans="1:4">
      <c r="A219" s="2" t="s">
        <v>216</v>
      </c>
      <c r="B219" s="2" t="s">
        <v>217</v>
      </c>
      <c r="C219" s="2" t="s">
        <v>295</v>
      </c>
      <c r="D219" s="2" t="s">
        <v>296</v>
      </c>
    </row>
    <row r="220" spans="1:4">
      <c r="A220" s="2" t="s">
        <v>216</v>
      </c>
      <c r="B220" s="2" t="s">
        <v>217</v>
      </c>
      <c r="C220" s="2" t="s">
        <v>297</v>
      </c>
      <c r="D220" s="2" t="s">
        <v>333</v>
      </c>
    </row>
    <row r="221" spans="1:4">
      <c r="A221" s="2" t="s">
        <v>216</v>
      </c>
      <c r="B221" s="2" t="s">
        <v>217</v>
      </c>
      <c r="C221" s="2" t="s">
        <v>298</v>
      </c>
      <c r="D221" s="2" t="s">
        <v>299</v>
      </c>
    </row>
    <row r="222" spans="1:4">
      <c r="A222" s="2" t="s">
        <v>216</v>
      </c>
      <c r="B222" s="2" t="s">
        <v>217</v>
      </c>
      <c r="C222" s="2" t="s">
        <v>300</v>
      </c>
      <c r="D222" s="2" t="s">
        <v>299</v>
      </c>
    </row>
    <row r="223" spans="1:4">
      <c r="A223" s="2" t="s">
        <v>216</v>
      </c>
      <c r="B223" s="2" t="s">
        <v>217</v>
      </c>
      <c r="C223" s="2" t="s">
        <v>301</v>
      </c>
      <c r="D223" s="2" t="s">
        <v>281</v>
      </c>
    </row>
    <row r="224" spans="1:4">
      <c r="A224" s="2" t="s">
        <v>216</v>
      </c>
      <c r="B224" s="2" t="s">
        <v>217</v>
      </c>
      <c r="C224" s="2" t="s">
        <v>302</v>
      </c>
      <c r="D224" s="2" t="s">
        <v>299</v>
      </c>
    </row>
    <row r="225" spans="1:4">
      <c r="A225" s="2" t="s">
        <v>216</v>
      </c>
      <c r="B225" s="2" t="s">
        <v>217</v>
      </c>
      <c r="C225" s="2" t="s">
        <v>303</v>
      </c>
      <c r="D225" s="2" t="s">
        <v>334</v>
      </c>
    </row>
    <row r="226" spans="1:4">
      <c r="A226" s="2" t="s">
        <v>216</v>
      </c>
      <c r="B226" s="2" t="s">
        <v>217</v>
      </c>
      <c r="C226" s="2" t="s">
        <v>304</v>
      </c>
      <c r="D226" s="2" t="s">
        <v>262</v>
      </c>
    </row>
    <row r="227" spans="1:4">
      <c r="A227" s="2" t="s">
        <v>216</v>
      </c>
      <c r="B227" s="2" t="s">
        <v>217</v>
      </c>
      <c r="C227" s="2" t="s">
        <v>305</v>
      </c>
      <c r="D227" s="2" t="s">
        <v>262</v>
      </c>
    </row>
    <row r="228" spans="1:4">
      <c r="A228" s="2" t="s">
        <v>216</v>
      </c>
      <c r="B228" s="2" t="s">
        <v>217</v>
      </c>
      <c r="C228" s="2" t="s">
        <v>306</v>
      </c>
      <c r="D228" s="2" t="s">
        <v>256</v>
      </c>
    </row>
    <row r="229" spans="1:4">
      <c r="A229" s="2" t="s">
        <v>216</v>
      </c>
      <c r="B229" s="2" t="s">
        <v>217</v>
      </c>
      <c r="C229" s="2" t="s">
        <v>307</v>
      </c>
      <c r="D229" s="2" t="s">
        <v>299</v>
      </c>
    </row>
    <row r="230" spans="1:4">
      <c r="A230" s="2" t="s">
        <v>216</v>
      </c>
      <c r="B230" s="2" t="s">
        <v>217</v>
      </c>
      <c r="C230" s="2" t="s">
        <v>308</v>
      </c>
      <c r="D230" s="2" t="s">
        <v>309</v>
      </c>
    </row>
    <row r="231" spans="1:4">
      <c r="A231" s="2" t="s">
        <v>216</v>
      </c>
      <c r="B231" s="2" t="s">
        <v>217</v>
      </c>
      <c r="C231" s="2" t="s">
        <v>310</v>
      </c>
      <c r="D231" s="2" t="s">
        <v>309</v>
      </c>
    </row>
    <row r="232" spans="1:4">
      <c r="A232" s="2" t="s">
        <v>216</v>
      </c>
      <c r="B232" s="2" t="s">
        <v>217</v>
      </c>
      <c r="C232" s="2" t="s">
        <v>311</v>
      </c>
      <c r="D232" s="2" t="s">
        <v>270</v>
      </c>
    </row>
    <row r="233" spans="1:4">
      <c r="A233" s="2" t="s">
        <v>216</v>
      </c>
      <c r="B233" s="2" t="s">
        <v>217</v>
      </c>
      <c r="C233" s="2" t="s">
        <v>312</v>
      </c>
      <c r="D233" s="2" t="s">
        <v>335</v>
      </c>
    </row>
    <row r="234" spans="1:4">
      <c r="A234" s="2" t="s">
        <v>216</v>
      </c>
      <c r="B234" s="2" t="s">
        <v>217</v>
      </c>
      <c r="C234" s="2" t="s">
        <v>313</v>
      </c>
      <c r="D234" s="2" t="s">
        <v>299</v>
      </c>
    </row>
    <row r="235" spans="1:4">
      <c r="A235" s="2" t="s">
        <v>216</v>
      </c>
      <c r="B235" s="2" t="s">
        <v>217</v>
      </c>
      <c r="C235" s="2" t="s">
        <v>314</v>
      </c>
      <c r="D235" s="2" t="s">
        <v>281</v>
      </c>
    </row>
    <row r="236" spans="1:4">
      <c r="A236" s="2" t="s">
        <v>216</v>
      </c>
      <c r="B236" s="2" t="s">
        <v>217</v>
      </c>
      <c r="C236" s="2" t="s">
        <v>315</v>
      </c>
      <c r="D236" s="2" t="s">
        <v>272</v>
      </c>
    </row>
    <row r="237" spans="1:4">
      <c r="A237" s="2" t="s">
        <v>216</v>
      </c>
      <c r="B237" s="2" t="s">
        <v>217</v>
      </c>
      <c r="C237" s="2" t="s">
        <v>316</v>
      </c>
      <c r="D237" s="2" t="s">
        <v>299</v>
      </c>
    </row>
    <row r="238" spans="1:4">
      <c r="A238" s="2" t="s">
        <v>216</v>
      </c>
      <c r="B238" s="2" t="s">
        <v>217</v>
      </c>
      <c r="C238" s="2" t="s">
        <v>317</v>
      </c>
      <c r="D238" s="2" t="s">
        <v>299</v>
      </c>
    </row>
    <row r="239" spans="1:4">
      <c r="A239" s="2" t="s">
        <v>216</v>
      </c>
      <c r="B239" s="2" t="s">
        <v>217</v>
      </c>
      <c r="C239" s="2" t="s">
        <v>318</v>
      </c>
      <c r="D239" s="2" t="s">
        <v>262</v>
      </c>
    </row>
    <row r="240" spans="1:4">
      <c r="A240" s="2" t="s">
        <v>216</v>
      </c>
      <c r="B240" s="2" t="s">
        <v>217</v>
      </c>
      <c r="C240" s="2" t="s">
        <v>319</v>
      </c>
      <c r="D240" s="2" t="s">
        <v>270</v>
      </c>
    </row>
    <row r="241" spans="1:4">
      <c r="A241" s="2" t="s">
        <v>216</v>
      </c>
      <c r="B241" s="2" t="s">
        <v>217</v>
      </c>
      <c r="C241" s="2" t="s">
        <v>320</v>
      </c>
      <c r="D241" s="2" t="s">
        <v>270</v>
      </c>
    </row>
    <row r="242" spans="1:4">
      <c r="A242" s="2" t="s">
        <v>216</v>
      </c>
      <c r="B242" s="2" t="s">
        <v>217</v>
      </c>
      <c r="C242" s="2" t="s">
        <v>321</v>
      </c>
      <c r="D242" s="2" t="s">
        <v>270</v>
      </c>
    </row>
    <row r="243" spans="1:4">
      <c r="A243" s="2" t="s">
        <v>216</v>
      </c>
      <c r="B243" s="2" t="s">
        <v>217</v>
      </c>
      <c r="C243" s="2" t="s">
        <v>322</v>
      </c>
      <c r="D243" s="2" t="s">
        <v>262</v>
      </c>
    </row>
    <row r="244" spans="1:4">
      <c r="A244" s="2" t="s">
        <v>216</v>
      </c>
      <c r="B244" s="2" t="s">
        <v>217</v>
      </c>
      <c r="C244" s="2" t="s">
        <v>323</v>
      </c>
      <c r="D244" s="2" t="s">
        <v>335</v>
      </c>
    </row>
    <row r="245" spans="1:4">
      <c r="A245" s="2" t="s">
        <v>216</v>
      </c>
      <c r="B245" s="2" t="s">
        <v>217</v>
      </c>
      <c r="C245" s="2" t="s">
        <v>324</v>
      </c>
      <c r="D245" s="2" t="s">
        <v>270</v>
      </c>
    </row>
    <row r="246" spans="1:4">
      <c r="A246" s="2" t="s">
        <v>216</v>
      </c>
      <c r="B246" s="2" t="s">
        <v>217</v>
      </c>
      <c r="C246" s="2" t="s">
        <v>325</v>
      </c>
      <c r="D246" s="2" t="s">
        <v>339</v>
      </c>
    </row>
    <row r="247" spans="1:4">
      <c r="A247" s="2" t="s">
        <v>216</v>
      </c>
      <c r="B247" s="2" t="s">
        <v>217</v>
      </c>
      <c r="C247" s="2" t="s">
        <v>326</v>
      </c>
      <c r="D247" s="2" t="s">
        <v>294</v>
      </c>
    </row>
    <row r="248" spans="1:4">
      <c r="A248" s="2" t="s">
        <v>216</v>
      </c>
      <c r="B248" s="2" t="s">
        <v>217</v>
      </c>
      <c r="C248" s="2" t="s">
        <v>327</v>
      </c>
      <c r="D248" s="2" t="s">
        <v>272</v>
      </c>
    </row>
    <row r="249" spans="1:4">
      <c r="A249" s="2" t="s">
        <v>216</v>
      </c>
      <c r="B249" s="2" t="s">
        <v>217</v>
      </c>
      <c r="C249" s="2" t="s">
        <v>328</v>
      </c>
      <c r="D249" s="2" t="s">
        <v>334</v>
      </c>
    </row>
    <row r="250" spans="1:4">
      <c r="A250" s="2" t="s">
        <v>216</v>
      </c>
      <c r="B250" s="2" t="s">
        <v>217</v>
      </c>
      <c r="C250" s="2" t="s">
        <v>329</v>
      </c>
      <c r="D250" s="2" t="s">
        <v>287</v>
      </c>
    </row>
    <row r="251" spans="1:4">
      <c r="A251" s="2" t="s">
        <v>216</v>
      </c>
      <c r="B251" s="2" t="s">
        <v>217</v>
      </c>
      <c r="C251" s="2" t="s">
        <v>330</v>
      </c>
      <c r="D251" s="2" t="s">
        <v>336</v>
      </c>
    </row>
    <row r="252" spans="1:4">
      <c r="A252" s="2" t="s">
        <v>216</v>
      </c>
      <c r="B252" s="2" t="s">
        <v>217</v>
      </c>
      <c r="C252" s="2" t="s">
        <v>331</v>
      </c>
      <c r="D252" s="2" t="s">
        <v>309</v>
      </c>
    </row>
    <row r="253" spans="1:4">
      <c r="A253" s="2" t="s">
        <v>218</v>
      </c>
      <c r="B253" s="2" t="s">
        <v>219</v>
      </c>
      <c r="C253" s="2" t="s">
        <v>245</v>
      </c>
      <c r="D253" s="2" t="s">
        <v>340</v>
      </c>
    </row>
    <row r="254" spans="1:4">
      <c r="A254" s="2" t="s">
        <v>218</v>
      </c>
      <c r="B254" s="2" t="s">
        <v>219</v>
      </c>
      <c r="C254" s="2" t="s">
        <v>247</v>
      </c>
      <c r="D254" s="2" t="s">
        <v>248</v>
      </c>
    </row>
    <row r="255" spans="1:4">
      <c r="A255" s="2" t="s">
        <v>218</v>
      </c>
      <c r="B255" s="2" t="s">
        <v>219</v>
      </c>
      <c r="C255" s="2" t="s">
        <v>249</v>
      </c>
      <c r="D255" s="2" t="s">
        <v>250</v>
      </c>
    </row>
    <row r="256" spans="1:4">
      <c r="A256" s="2" t="s">
        <v>218</v>
      </c>
      <c r="B256" s="2" t="s">
        <v>219</v>
      </c>
      <c r="C256" s="2" t="s">
        <v>251</v>
      </c>
      <c r="D256" s="2" t="s">
        <v>252</v>
      </c>
    </row>
    <row r="257" spans="1:4">
      <c r="A257" s="2" t="s">
        <v>218</v>
      </c>
      <c r="B257" s="2" t="s">
        <v>219</v>
      </c>
      <c r="C257" s="2" t="s">
        <v>253</v>
      </c>
      <c r="D257" s="2" t="s">
        <v>254</v>
      </c>
    </row>
    <row r="258" spans="1:4">
      <c r="A258" s="2" t="s">
        <v>218</v>
      </c>
      <c r="B258" s="2" t="s">
        <v>219</v>
      </c>
      <c r="C258" s="2" t="s">
        <v>255</v>
      </c>
      <c r="D258" s="2" t="s">
        <v>256</v>
      </c>
    </row>
    <row r="259" spans="1:4">
      <c r="A259" s="2" t="s">
        <v>218</v>
      </c>
      <c r="B259" s="2" t="s">
        <v>219</v>
      </c>
      <c r="C259" s="2" t="s">
        <v>257</v>
      </c>
      <c r="D259" s="2" t="s">
        <v>258</v>
      </c>
    </row>
    <row r="260" spans="1:4">
      <c r="A260" s="2" t="s">
        <v>218</v>
      </c>
      <c r="B260" s="2" t="s">
        <v>219</v>
      </c>
      <c r="C260" s="2" t="s">
        <v>259</v>
      </c>
      <c r="D260" s="2" t="s">
        <v>260</v>
      </c>
    </row>
    <row r="261" spans="1:4">
      <c r="A261" s="2" t="s">
        <v>218</v>
      </c>
      <c r="B261" s="2" t="s">
        <v>219</v>
      </c>
      <c r="C261" s="2" t="s">
        <v>261</v>
      </c>
      <c r="D261" s="2" t="s">
        <v>262</v>
      </c>
    </row>
    <row r="262" spans="1:4">
      <c r="A262" s="2" t="s">
        <v>218</v>
      </c>
      <c r="B262" s="2" t="s">
        <v>219</v>
      </c>
      <c r="C262" s="2" t="s">
        <v>263</v>
      </c>
      <c r="D262" s="2" t="s">
        <v>262</v>
      </c>
    </row>
    <row r="263" spans="1:4">
      <c r="A263" s="2" t="s">
        <v>218</v>
      </c>
      <c r="B263" s="2" t="s">
        <v>219</v>
      </c>
      <c r="C263" s="2" t="s">
        <v>264</v>
      </c>
      <c r="D263" s="2" t="s">
        <v>262</v>
      </c>
    </row>
    <row r="264" spans="1:4">
      <c r="A264" s="2" t="s">
        <v>218</v>
      </c>
      <c r="B264" s="2" t="s">
        <v>219</v>
      </c>
      <c r="C264" s="2" t="s">
        <v>265</v>
      </c>
      <c r="D264" s="2" t="s">
        <v>266</v>
      </c>
    </row>
    <row r="265" spans="1:4">
      <c r="A265" s="2" t="s">
        <v>218</v>
      </c>
      <c r="B265" s="2" t="s">
        <v>219</v>
      </c>
      <c r="C265" s="2" t="s">
        <v>267</v>
      </c>
      <c r="D265" s="2" t="s">
        <v>268</v>
      </c>
    </row>
    <row r="266" spans="1:4">
      <c r="A266" s="2" t="s">
        <v>218</v>
      </c>
      <c r="B266" s="2" t="s">
        <v>219</v>
      </c>
      <c r="C266" s="2" t="s">
        <v>269</v>
      </c>
      <c r="D266" s="2" t="s">
        <v>270</v>
      </c>
    </row>
    <row r="267" spans="1:4">
      <c r="A267" s="2" t="s">
        <v>218</v>
      </c>
      <c r="B267" s="2" t="s">
        <v>219</v>
      </c>
      <c r="C267" s="2" t="s">
        <v>271</v>
      </c>
      <c r="D267" s="2" t="s">
        <v>272</v>
      </c>
    </row>
    <row r="268" spans="1:4">
      <c r="A268" s="2" t="s">
        <v>218</v>
      </c>
      <c r="B268" s="2" t="s">
        <v>219</v>
      </c>
      <c r="C268" s="2" t="s">
        <v>273</v>
      </c>
      <c r="D268" s="2" t="s">
        <v>274</v>
      </c>
    </row>
    <row r="269" spans="1:4">
      <c r="A269" s="2" t="s">
        <v>218</v>
      </c>
      <c r="B269" s="2" t="s">
        <v>219</v>
      </c>
      <c r="C269" s="2" t="s">
        <v>275</v>
      </c>
      <c r="D269" s="2" t="s">
        <v>262</v>
      </c>
    </row>
    <row r="270" spans="1:4">
      <c r="A270" s="2" t="s">
        <v>218</v>
      </c>
      <c r="B270" s="2" t="s">
        <v>219</v>
      </c>
      <c r="C270" s="2" t="s">
        <v>276</v>
      </c>
      <c r="D270" s="2" t="s">
        <v>277</v>
      </c>
    </row>
    <row r="271" spans="1:4">
      <c r="A271" s="2" t="s">
        <v>218</v>
      </c>
      <c r="B271" s="2" t="s">
        <v>219</v>
      </c>
      <c r="C271" s="2" t="s">
        <v>278</v>
      </c>
      <c r="D271" s="2" t="s">
        <v>279</v>
      </c>
    </row>
    <row r="272" spans="1:4">
      <c r="A272" s="2" t="s">
        <v>218</v>
      </c>
      <c r="B272" s="2" t="s">
        <v>219</v>
      </c>
      <c r="C272" s="2" t="s">
        <v>280</v>
      </c>
      <c r="D272" s="2" t="s">
        <v>281</v>
      </c>
    </row>
    <row r="273" spans="1:4">
      <c r="A273" s="2" t="s">
        <v>218</v>
      </c>
      <c r="B273" s="2" t="s">
        <v>219</v>
      </c>
      <c r="C273" s="2" t="s">
        <v>282</v>
      </c>
      <c r="D273" s="2" t="s">
        <v>283</v>
      </c>
    </row>
    <row r="274" spans="1:4">
      <c r="A274" s="2" t="s">
        <v>218</v>
      </c>
      <c r="B274" s="2" t="s">
        <v>219</v>
      </c>
      <c r="C274" s="2" t="s">
        <v>284</v>
      </c>
      <c r="D274" s="2" t="s">
        <v>285</v>
      </c>
    </row>
    <row r="275" spans="1:4">
      <c r="A275" s="2" t="s">
        <v>218</v>
      </c>
      <c r="B275" s="2" t="s">
        <v>219</v>
      </c>
      <c r="C275" s="2" t="s">
        <v>286</v>
      </c>
      <c r="D275" s="2" t="s">
        <v>287</v>
      </c>
    </row>
    <row r="276" spans="1:4">
      <c r="A276" s="2" t="s">
        <v>218</v>
      </c>
      <c r="B276" s="2" t="s">
        <v>219</v>
      </c>
      <c r="C276" s="2" t="s">
        <v>288</v>
      </c>
      <c r="D276" s="2" t="s">
        <v>289</v>
      </c>
    </row>
    <row r="277" spans="1:4">
      <c r="A277" s="2" t="s">
        <v>218</v>
      </c>
      <c r="B277" s="2" t="s">
        <v>219</v>
      </c>
      <c r="C277" s="2" t="s">
        <v>290</v>
      </c>
      <c r="D277" s="2" t="s">
        <v>262</v>
      </c>
    </row>
    <row r="278" spans="1:4">
      <c r="A278" s="2" t="s">
        <v>218</v>
      </c>
      <c r="B278" s="2" t="s">
        <v>219</v>
      </c>
      <c r="C278" s="2" t="s">
        <v>291</v>
      </c>
      <c r="D278" s="2" t="s">
        <v>256</v>
      </c>
    </row>
    <row r="279" spans="1:4">
      <c r="A279" s="2" t="s">
        <v>218</v>
      </c>
      <c r="B279" s="2" t="s">
        <v>219</v>
      </c>
      <c r="C279" s="2" t="s">
        <v>292</v>
      </c>
      <c r="D279" s="2" t="s">
        <v>270</v>
      </c>
    </row>
    <row r="280" spans="1:4">
      <c r="A280" s="2" t="s">
        <v>218</v>
      </c>
      <c r="B280" s="2" t="s">
        <v>219</v>
      </c>
      <c r="C280" s="2" t="s">
        <v>293</v>
      </c>
      <c r="D280" s="2" t="s">
        <v>294</v>
      </c>
    </row>
    <row r="281" spans="1:4">
      <c r="A281" s="2" t="s">
        <v>218</v>
      </c>
      <c r="B281" s="2" t="s">
        <v>219</v>
      </c>
      <c r="C281" s="2" t="s">
        <v>295</v>
      </c>
      <c r="D281" s="2" t="s">
        <v>296</v>
      </c>
    </row>
    <row r="282" spans="1:4">
      <c r="A282" s="2" t="s">
        <v>218</v>
      </c>
      <c r="B282" s="2" t="s">
        <v>219</v>
      </c>
      <c r="C282" s="2" t="s">
        <v>297</v>
      </c>
      <c r="D282" s="2" t="s">
        <v>333</v>
      </c>
    </row>
    <row r="283" spans="1:4">
      <c r="A283" s="2" t="s">
        <v>218</v>
      </c>
      <c r="B283" s="2" t="s">
        <v>219</v>
      </c>
      <c r="C283" s="2" t="s">
        <v>298</v>
      </c>
      <c r="D283" s="2" t="s">
        <v>299</v>
      </c>
    </row>
    <row r="284" spans="1:4">
      <c r="A284" s="2" t="s">
        <v>218</v>
      </c>
      <c r="B284" s="2" t="s">
        <v>219</v>
      </c>
      <c r="C284" s="2" t="s">
        <v>300</v>
      </c>
      <c r="D284" s="2" t="s">
        <v>299</v>
      </c>
    </row>
    <row r="285" spans="1:4">
      <c r="A285" s="2" t="s">
        <v>218</v>
      </c>
      <c r="B285" s="2" t="s">
        <v>219</v>
      </c>
      <c r="C285" s="2" t="s">
        <v>301</v>
      </c>
      <c r="D285" s="2" t="s">
        <v>281</v>
      </c>
    </row>
    <row r="286" spans="1:4">
      <c r="A286" s="2" t="s">
        <v>218</v>
      </c>
      <c r="B286" s="2" t="s">
        <v>219</v>
      </c>
      <c r="C286" s="2" t="s">
        <v>302</v>
      </c>
      <c r="D286" s="2" t="s">
        <v>299</v>
      </c>
    </row>
    <row r="287" spans="1:4">
      <c r="A287" s="2" t="s">
        <v>218</v>
      </c>
      <c r="B287" s="2" t="s">
        <v>219</v>
      </c>
      <c r="C287" s="2" t="s">
        <v>303</v>
      </c>
      <c r="D287" s="2" t="s">
        <v>334</v>
      </c>
    </row>
    <row r="288" spans="1:4">
      <c r="A288" s="2" t="s">
        <v>218</v>
      </c>
      <c r="B288" s="2" t="s">
        <v>219</v>
      </c>
      <c r="C288" s="2" t="s">
        <v>304</v>
      </c>
      <c r="D288" s="2" t="s">
        <v>262</v>
      </c>
    </row>
    <row r="289" spans="1:4">
      <c r="A289" s="2" t="s">
        <v>218</v>
      </c>
      <c r="B289" s="2" t="s">
        <v>219</v>
      </c>
      <c r="C289" s="2" t="s">
        <v>305</v>
      </c>
      <c r="D289" s="2" t="s">
        <v>262</v>
      </c>
    </row>
    <row r="290" spans="1:4">
      <c r="A290" s="2" t="s">
        <v>218</v>
      </c>
      <c r="B290" s="2" t="s">
        <v>219</v>
      </c>
      <c r="C290" s="2" t="s">
        <v>306</v>
      </c>
      <c r="D290" s="2" t="s">
        <v>256</v>
      </c>
    </row>
    <row r="291" spans="1:4">
      <c r="A291" s="2" t="s">
        <v>218</v>
      </c>
      <c r="B291" s="2" t="s">
        <v>219</v>
      </c>
      <c r="C291" s="2" t="s">
        <v>307</v>
      </c>
      <c r="D291" s="2" t="s">
        <v>299</v>
      </c>
    </row>
    <row r="292" spans="1:4">
      <c r="A292" s="2" t="s">
        <v>218</v>
      </c>
      <c r="B292" s="2" t="s">
        <v>219</v>
      </c>
      <c r="C292" s="2" t="s">
        <v>308</v>
      </c>
      <c r="D292" s="2" t="s">
        <v>309</v>
      </c>
    </row>
    <row r="293" spans="1:4">
      <c r="A293" s="2" t="s">
        <v>218</v>
      </c>
      <c r="B293" s="2" t="s">
        <v>219</v>
      </c>
      <c r="C293" s="2" t="s">
        <v>310</v>
      </c>
      <c r="D293" s="2" t="s">
        <v>309</v>
      </c>
    </row>
    <row r="294" spans="1:4">
      <c r="A294" s="2" t="s">
        <v>218</v>
      </c>
      <c r="B294" s="2" t="s">
        <v>219</v>
      </c>
      <c r="C294" s="2" t="s">
        <v>311</v>
      </c>
      <c r="D294" s="2" t="s">
        <v>270</v>
      </c>
    </row>
    <row r="295" spans="1:4">
      <c r="A295" s="2" t="s">
        <v>218</v>
      </c>
      <c r="B295" s="2" t="s">
        <v>219</v>
      </c>
      <c r="C295" s="2" t="s">
        <v>312</v>
      </c>
      <c r="D295" s="2" t="s">
        <v>299</v>
      </c>
    </row>
    <row r="296" spans="1:4">
      <c r="A296" s="2" t="s">
        <v>218</v>
      </c>
      <c r="B296" s="2" t="s">
        <v>219</v>
      </c>
      <c r="C296" s="2" t="s">
        <v>313</v>
      </c>
      <c r="D296" s="2" t="s">
        <v>299</v>
      </c>
    </row>
    <row r="297" spans="1:4">
      <c r="A297" s="2" t="s">
        <v>218</v>
      </c>
      <c r="B297" s="2" t="s">
        <v>219</v>
      </c>
      <c r="C297" s="2" t="s">
        <v>314</v>
      </c>
      <c r="D297" s="2" t="s">
        <v>309</v>
      </c>
    </row>
    <row r="298" spans="1:4">
      <c r="A298" s="2" t="s">
        <v>218</v>
      </c>
      <c r="B298" s="2" t="s">
        <v>219</v>
      </c>
      <c r="C298" s="2" t="s">
        <v>315</v>
      </c>
      <c r="D298" s="2" t="s">
        <v>270</v>
      </c>
    </row>
    <row r="299" spans="1:4">
      <c r="A299" s="2" t="s">
        <v>218</v>
      </c>
      <c r="B299" s="2" t="s">
        <v>219</v>
      </c>
      <c r="C299" s="2" t="s">
        <v>316</v>
      </c>
      <c r="D299" s="2" t="s">
        <v>299</v>
      </c>
    </row>
    <row r="300" spans="1:4">
      <c r="A300" s="2" t="s">
        <v>218</v>
      </c>
      <c r="B300" s="2" t="s">
        <v>219</v>
      </c>
      <c r="C300" s="2" t="s">
        <v>317</v>
      </c>
      <c r="D300" s="2" t="s">
        <v>299</v>
      </c>
    </row>
    <row r="301" spans="1:4">
      <c r="A301" s="2" t="s">
        <v>218</v>
      </c>
      <c r="B301" s="2" t="s">
        <v>219</v>
      </c>
      <c r="C301" s="2" t="s">
        <v>318</v>
      </c>
      <c r="D301" s="2" t="s">
        <v>262</v>
      </c>
    </row>
    <row r="302" spans="1:4">
      <c r="A302" s="2" t="s">
        <v>218</v>
      </c>
      <c r="B302" s="2" t="s">
        <v>219</v>
      </c>
      <c r="C302" s="2" t="s">
        <v>319</v>
      </c>
      <c r="D302" s="2" t="s">
        <v>270</v>
      </c>
    </row>
    <row r="303" spans="1:4">
      <c r="A303" s="2" t="s">
        <v>218</v>
      </c>
      <c r="B303" s="2" t="s">
        <v>219</v>
      </c>
      <c r="C303" s="2" t="s">
        <v>320</v>
      </c>
      <c r="D303" s="2" t="s">
        <v>262</v>
      </c>
    </row>
    <row r="304" spans="1:4">
      <c r="A304" s="2" t="s">
        <v>218</v>
      </c>
      <c r="B304" s="2" t="s">
        <v>219</v>
      </c>
      <c r="C304" s="2" t="s">
        <v>321</v>
      </c>
      <c r="D304" s="2" t="s">
        <v>262</v>
      </c>
    </row>
    <row r="305" spans="1:4">
      <c r="A305" s="2" t="s">
        <v>218</v>
      </c>
      <c r="B305" s="2" t="s">
        <v>219</v>
      </c>
      <c r="C305" s="2" t="s">
        <v>322</v>
      </c>
      <c r="D305" s="2" t="s">
        <v>262</v>
      </c>
    </row>
    <row r="306" spans="1:4">
      <c r="A306" s="2" t="s">
        <v>218</v>
      </c>
      <c r="B306" s="2" t="s">
        <v>219</v>
      </c>
      <c r="C306" s="2" t="s">
        <v>323</v>
      </c>
      <c r="D306" s="2" t="s">
        <v>299</v>
      </c>
    </row>
    <row r="307" spans="1:4">
      <c r="A307" s="2" t="s">
        <v>218</v>
      </c>
      <c r="B307" s="2" t="s">
        <v>219</v>
      </c>
      <c r="C307" s="2" t="s">
        <v>324</v>
      </c>
      <c r="D307" s="2" t="s">
        <v>262</v>
      </c>
    </row>
    <row r="308" spans="1:4">
      <c r="A308" s="2" t="s">
        <v>218</v>
      </c>
      <c r="B308" s="2" t="s">
        <v>219</v>
      </c>
      <c r="C308" s="2" t="s">
        <v>325</v>
      </c>
      <c r="D308" s="2" t="s">
        <v>262</v>
      </c>
    </row>
    <row r="309" spans="1:4">
      <c r="A309" s="2" t="s">
        <v>218</v>
      </c>
      <c r="B309" s="2" t="s">
        <v>219</v>
      </c>
      <c r="C309" s="2" t="s">
        <v>326</v>
      </c>
      <c r="D309" s="2" t="s">
        <v>262</v>
      </c>
    </row>
    <row r="310" spans="1:4">
      <c r="A310" s="2" t="s">
        <v>218</v>
      </c>
      <c r="B310" s="2" t="s">
        <v>219</v>
      </c>
      <c r="C310" s="2" t="s">
        <v>327</v>
      </c>
      <c r="D310" s="2" t="s">
        <v>262</v>
      </c>
    </row>
    <row r="311" spans="1:4">
      <c r="A311" s="2" t="s">
        <v>218</v>
      </c>
      <c r="B311" s="2" t="s">
        <v>219</v>
      </c>
      <c r="C311" s="2" t="s">
        <v>328</v>
      </c>
      <c r="D311" s="2" t="s">
        <v>309</v>
      </c>
    </row>
    <row r="312" spans="1:4">
      <c r="A312" s="2" t="s">
        <v>218</v>
      </c>
      <c r="B312" s="2" t="s">
        <v>219</v>
      </c>
      <c r="C312" s="2" t="s">
        <v>329</v>
      </c>
      <c r="D312" s="2" t="s">
        <v>287</v>
      </c>
    </row>
    <row r="313" spans="1:4">
      <c r="A313" s="2" t="s">
        <v>218</v>
      </c>
      <c r="B313" s="2" t="s">
        <v>219</v>
      </c>
      <c r="C313" s="2" t="s">
        <v>330</v>
      </c>
      <c r="D313" s="2" t="s">
        <v>262</v>
      </c>
    </row>
    <row r="314" spans="1:4">
      <c r="A314" s="2" t="s">
        <v>218</v>
      </c>
      <c r="B314" s="2" t="s">
        <v>219</v>
      </c>
      <c r="C314" s="2" t="s">
        <v>331</v>
      </c>
      <c r="D314" s="2" t="s">
        <v>309</v>
      </c>
    </row>
    <row r="315" spans="1:4">
      <c r="A315" s="2" t="s">
        <v>220</v>
      </c>
      <c r="B315" s="2" t="s">
        <v>221</v>
      </c>
      <c r="C315" s="2" t="s">
        <v>245</v>
      </c>
      <c r="D315" s="2" t="s">
        <v>341</v>
      </c>
    </row>
    <row r="316" spans="1:4">
      <c r="A316" s="2" t="s">
        <v>220</v>
      </c>
      <c r="B316" s="2" t="s">
        <v>221</v>
      </c>
      <c r="C316" s="2" t="s">
        <v>247</v>
      </c>
      <c r="D316" s="2" t="s">
        <v>248</v>
      </c>
    </row>
    <row r="317" spans="1:4">
      <c r="A317" s="2" t="s">
        <v>220</v>
      </c>
      <c r="B317" s="2" t="s">
        <v>221</v>
      </c>
      <c r="C317" s="2" t="s">
        <v>249</v>
      </c>
      <c r="D317" s="2" t="s">
        <v>250</v>
      </c>
    </row>
    <row r="318" spans="1:4">
      <c r="A318" s="2" t="s">
        <v>220</v>
      </c>
      <c r="B318" s="2" t="s">
        <v>221</v>
      </c>
      <c r="C318" s="2" t="s">
        <v>251</v>
      </c>
      <c r="D318" s="2" t="s">
        <v>252</v>
      </c>
    </row>
    <row r="319" spans="1:4">
      <c r="A319" s="2" t="s">
        <v>220</v>
      </c>
      <c r="B319" s="2" t="s">
        <v>221</v>
      </c>
      <c r="C319" s="2" t="s">
        <v>253</v>
      </c>
      <c r="D319" s="2" t="s">
        <v>254</v>
      </c>
    </row>
    <row r="320" spans="1:4">
      <c r="A320" s="2" t="s">
        <v>220</v>
      </c>
      <c r="B320" s="2" t="s">
        <v>221</v>
      </c>
      <c r="C320" s="2" t="s">
        <v>255</v>
      </c>
      <c r="D320" s="2" t="s">
        <v>256</v>
      </c>
    </row>
    <row r="321" spans="1:4">
      <c r="A321" s="2" t="s">
        <v>220</v>
      </c>
      <c r="B321" s="2" t="s">
        <v>221</v>
      </c>
      <c r="C321" s="2" t="s">
        <v>257</v>
      </c>
      <c r="D321" s="2" t="s">
        <v>258</v>
      </c>
    </row>
    <row r="322" spans="1:4">
      <c r="A322" s="2" t="s">
        <v>220</v>
      </c>
      <c r="B322" s="2" t="s">
        <v>221</v>
      </c>
      <c r="C322" s="2" t="s">
        <v>259</v>
      </c>
      <c r="D322" s="2" t="s">
        <v>260</v>
      </c>
    </row>
    <row r="323" spans="1:4">
      <c r="A323" s="2" t="s">
        <v>220</v>
      </c>
      <c r="B323" s="2" t="s">
        <v>221</v>
      </c>
      <c r="C323" s="2" t="s">
        <v>261</v>
      </c>
      <c r="D323" s="2" t="s">
        <v>262</v>
      </c>
    </row>
    <row r="324" spans="1:4">
      <c r="A324" s="2" t="s">
        <v>220</v>
      </c>
      <c r="B324" s="2" t="s">
        <v>221</v>
      </c>
      <c r="C324" s="2" t="s">
        <v>263</v>
      </c>
      <c r="D324" s="2" t="s">
        <v>262</v>
      </c>
    </row>
    <row r="325" spans="1:4">
      <c r="A325" s="2" t="s">
        <v>220</v>
      </c>
      <c r="B325" s="2" t="s">
        <v>221</v>
      </c>
      <c r="C325" s="2" t="s">
        <v>264</v>
      </c>
      <c r="D325" s="2" t="s">
        <v>262</v>
      </c>
    </row>
    <row r="326" spans="1:4">
      <c r="A326" s="2" t="s">
        <v>220</v>
      </c>
      <c r="B326" s="2" t="s">
        <v>221</v>
      </c>
      <c r="C326" s="2" t="s">
        <v>265</v>
      </c>
      <c r="D326" s="2" t="s">
        <v>266</v>
      </c>
    </row>
    <row r="327" spans="1:4">
      <c r="A327" s="2" t="s">
        <v>220</v>
      </c>
      <c r="B327" s="2" t="s">
        <v>221</v>
      </c>
      <c r="C327" s="2" t="s">
        <v>267</v>
      </c>
      <c r="D327" s="2" t="s">
        <v>268</v>
      </c>
    </row>
    <row r="328" spans="1:4">
      <c r="A328" s="2" t="s">
        <v>220</v>
      </c>
      <c r="B328" s="2" t="s">
        <v>221</v>
      </c>
      <c r="C328" s="2" t="s">
        <v>269</v>
      </c>
      <c r="D328" s="2" t="s">
        <v>270</v>
      </c>
    </row>
    <row r="329" spans="1:4">
      <c r="A329" s="2" t="s">
        <v>220</v>
      </c>
      <c r="B329" s="2" t="s">
        <v>221</v>
      </c>
      <c r="C329" s="2" t="s">
        <v>271</v>
      </c>
      <c r="D329" s="2" t="s">
        <v>272</v>
      </c>
    </row>
    <row r="330" spans="1:4">
      <c r="A330" s="2" t="s">
        <v>220</v>
      </c>
      <c r="B330" s="2" t="s">
        <v>221</v>
      </c>
      <c r="C330" s="2" t="s">
        <v>273</v>
      </c>
      <c r="D330" s="2" t="s">
        <v>274</v>
      </c>
    </row>
    <row r="331" spans="1:4">
      <c r="A331" s="2" t="s">
        <v>220</v>
      </c>
      <c r="B331" s="2" t="s">
        <v>221</v>
      </c>
      <c r="C331" s="2" t="s">
        <v>275</v>
      </c>
      <c r="D331" s="2" t="s">
        <v>262</v>
      </c>
    </row>
    <row r="332" spans="1:4">
      <c r="A332" s="2" t="s">
        <v>220</v>
      </c>
      <c r="B332" s="2" t="s">
        <v>221</v>
      </c>
      <c r="C332" s="2" t="s">
        <v>276</v>
      </c>
      <c r="D332" s="2" t="s">
        <v>277</v>
      </c>
    </row>
    <row r="333" spans="1:4">
      <c r="A333" s="2" t="s">
        <v>220</v>
      </c>
      <c r="B333" s="2" t="s">
        <v>221</v>
      </c>
      <c r="C333" s="2" t="s">
        <v>278</v>
      </c>
      <c r="D333" s="2" t="s">
        <v>279</v>
      </c>
    </row>
    <row r="334" spans="1:4">
      <c r="A334" s="2" t="s">
        <v>220</v>
      </c>
      <c r="B334" s="2" t="s">
        <v>221</v>
      </c>
      <c r="C334" s="2" t="s">
        <v>280</v>
      </c>
      <c r="D334" s="2" t="s">
        <v>281</v>
      </c>
    </row>
    <row r="335" spans="1:4">
      <c r="A335" s="2" t="s">
        <v>220</v>
      </c>
      <c r="B335" s="2" t="s">
        <v>221</v>
      </c>
      <c r="C335" s="2" t="s">
        <v>282</v>
      </c>
      <c r="D335" s="2" t="s">
        <v>283</v>
      </c>
    </row>
    <row r="336" spans="1:4">
      <c r="A336" s="2" t="s">
        <v>220</v>
      </c>
      <c r="B336" s="2" t="s">
        <v>221</v>
      </c>
      <c r="C336" s="2" t="s">
        <v>284</v>
      </c>
      <c r="D336" s="2" t="s">
        <v>285</v>
      </c>
    </row>
    <row r="337" spans="1:4">
      <c r="A337" s="2" t="s">
        <v>220</v>
      </c>
      <c r="B337" s="2" t="s">
        <v>221</v>
      </c>
      <c r="C337" s="2" t="s">
        <v>286</v>
      </c>
      <c r="D337" s="2" t="s">
        <v>287</v>
      </c>
    </row>
    <row r="338" spans="1:4">
      <c r="A338" s="2" t="s">
        <v>220</v>
      </c>
      <c r="B338" s="2" t="s">
        <v>221</v>
      </c>
      <c r="C338" s="2" t="s">
        <v>288</v>
      </c>
      <c r="D338" s="2" t="s">
        <v>289</v>
      </c>
    </row>
    <row r="339" spans="1:4">
      <c r="A339" s="2" t="s">
        <v>220</v>
      </c>
      <c r="B339" s="2" t="s">
        <v>221</v>
      </c>
      <c r="C339" s="2" t="s">
        <v>290</v>
      </c>
      <c r="D339" s="2" t="s">
        <v>262</v>
      </c>
    </row>
    <row r="340" spans="1:4">
      <c r="A340" s="2" t="s">
        <v>220</v>
      </c>
      <c r="B340" s="2" t="s">
        <v>221</v>
      </c>
      <c r="C340" s="2" t="s">
        <v>291</v>
      </c>
      <c r="D340" s="2" t="s">
        <v>256</v>
      </c>
    </row>
    <row r="341" spans="1:4">
      <c r="A341" s="2" t="s">
        <v>220</v>
      </c>
      <c r="B341" s="2" t="s">
        <v>221</v>
      </c>
      <c r="C341" s="2" t="s">
        <v>292</v>
      </c>
      <c r="D341" s="2" t="s">
        <v>270</v>
      </c>
    </row>
    <row r="342" spans="1:4">
      <c r="A342" s="2" t="s">
        <v>220</v>
      </c>
      <c r="B342" s="2" t="s">
        <v>221</v>
      </c>
      <c r="C342" s="2" t="s">
        <v>293</v>
      </c>
      <c r="D342" s="2" t="s">
        <v>294</v>
      </c>
    </row>
    <row r="343" spans="1:4">
      <c r="A343" s="2" t="s">
        <v>220</v>
      </c>
      <c r="B343" s="2" t="s">
        <v>221</v>
      </c>
      <c r="C343" s="2" t="s">
        <v>295</v>
      </c>
      <c r="D343" s="2" t="s">
        <v>342</v>
      </c>
    </row>
    <row r="344" spans="1:4">
      <c r="A344" s="2" t="s">
        <v>220</v>
      </c>
      <c r="B344" s="2" t="s">
        <v>221</v>
      </c>
      <c r="C344" s="2" t="s">
        <v>297</v>
      </c>
      <c r="D344" s="2" t="s">
        <v>333</v>
      </c>
    </row>
    <row r="345" spans="1:4">
      <c r="A345" s="2" t="s">
        <v>220</v>
      </c>
      <c r="B345" s="2" t="s">
        <v>221</v>
      </c>
      <c r="C345" s="2" t="s">
        <v>298</v>
      </c>
      <c r="D345" s="2" t="s">
        <v>299</v>
      </c>
    </row>
    <row r="346" spans="1:4">
      <c r="A346" s="2" t="s">
        <v>220</v>
      </c>
      <c r="B346" s="2" t="s">
        <v>221</v>
      </c>
      <c r="C346" s="2" t="s">
        <v>300</v>
      </c>
      <c r="D346" s="2" t="s">
        <v>299</v>
      </c>
    </row>
    <row r="347" spans="1:4">
      <c r="A347" s="2" t="s">
        <v>220</v>
      </c>
      <c r="B347" s="2" t="s">
        <v>221</v>
      </c>
      <c r="C347" s="2" t="s">
        <v>301</v>
      </c>
      <c r="D347" s="2" t="s">
        <v>260</v>
      </c>
    </row>
    <row r="348" spans="1:4">
      <c r="A348" s="2" t="s">
        <v>220</v>
      </c>
      <c r="B348" s="2" t="s">
        <v>221</v>
      </c>
      <c r="C348" s="2" t="s">
        <v>302</v>
      </c>
      <c r="D348" s="2" t="s">
        <v>299</v>
      </c>
    </row>
    <row r="349" spans="1:4">
      <c r="A349" s="2" t="s">
        <v>220</v>
      </c>
      <c r="B349" s="2" t="s">
        <v>221</v>
      </c>
      <c r="C349" s="2" t="s">
        <v>303</v>
      </c>
      <c r="D349" s="2" t="s">
        <v>334</v>
      </c>
    </row>
    <row r="350" spans="1:4">
      <c r="A350" s="2" t="s">
        <v>220</v>
      </c>
      <c r="B350" s="2" t="s">
        <v>221</v>
      </c>
      <c r="C350" s="2" t="s">
        <v>304</v>
      </c>
      <c r="D350" s="2" t="s">
        <v>262</v>
      </c>
    </row>
    <row r="351" spans="1:4">
      <c r="A351" s="2" t="s">
        <v>220</v>
      </c>
      <c r="B351" s="2" t="s">
        <v>221</v>
      </c>
      <c r="C351" s="2" t="s">
        <v>305</v>
      </c>
      <c r="D351" s="2" t="s">
        <v>262</v>
      </c>
    </row>
    <row r="352" spans="1:4">
      <c r="A352" s="2" t="s">
        <v>220</v>
      </c>
      <c r="B352" s="2" t="s">
        <v>221</v>
      </c>
      <c r="C352" s="2" t="s">
        <v>306</v>
      </c>
      <c r="D352" s="2" t="s">
        <v>256</v>
      </c>
    </row>
    <row r="353" spans="1:4">
      <c r="A353" s="2" t="s">
        <v>220</v>
      </c>
      <c r="B353" s="2" t="s">
        <v>221</v>
      </c>
      <c r="C353" s="2" t="s">
        <v>307</v>
      </c>
      <c r="D353" s="2" t="s">
        <v>299</v>
      </c>
    </row>
    <row r="354" spans="1:4">
      <c r="A354" s="2" t="s">
        <v>220</v>
      </c>
      <c r="B354" s="2" t="s">
        <v>221</v>
      </c>
      <c r="C354" s="2" t="s">
        <v>308</v>
      </c>
      <c r="D354" s="2" t="s">
        <v>309</v>
      </c>
    </row>
    <row r="355" spans="1:4">
      <c r="A355" s="2" t="s">
        <v>220</v>
      </c>
      <c r="B355" s="2" t="s">
        <v>221</v>
      </c>
      <c r="C355" s="2" t="s">
        <v>310</v>
      </c>
      <c r="D355" s="2" t="s">
        <v>309</v>
      </c>
    </row>
    <row r="356" spans="1:4">
      <c r="A356" s="2" t="s">
        <v>220</v>
      </c>
      <c r="B356" s="2" t="s">
        <v>221</v>
      </c>
      <c r="C356" s="2" t="s">
        <v>311</v>
      </c>
      <c r="D356" s="2" t="s">
        <v>270</v>
      </c>
    </row>
    <row r="357" spans="1:4">
      <c r="A357" s="2" t="s">
        <v>220</v>
      </c>
      <c r="B357" s="2" t="s">
        <v>221</v>
      </c>
      <c r="C357" s="2" t="s">
        <v>312</v>
      </c>
      <c r="D357" s="2" t="s">
        <v>299</v>
      </c>
    </row>
    <row r="358" spans="1:4">
      <c r="A358" s="2" t="s">
        <v>220</v>
      </c>
      <c r="B358" s="2" t="s">
        <v>221</v>
      </c>
      <c r="C358" s="2" t="s">
        <v>313</v>
      </c>
      <c r="D358" s="2" t="s">
        <v>299</v>
      </c>
    </row>
    <row r="359" spans="1:4">
      <c r="A359" s="2" t="s">
        <v>220</v>
      </c>
      <c r="B359" s="2" t="s">
        <v>221</v>
      </c>
      <c r="C359" s="2" t="s">
        <v>314</v>
      </c>
      <c r="D359" s="2" t="s">
        <v>309</v>
      </c>
    </row>
    <row r="360" spans="1:4">
      <c r="A360" s="2" t="s">
        <v>220</v>
      </c>
      <c r="B360" s="2" t="s">
        <v>221</v>
      </c>
      <c r="C360" s="2" t="s">
        <v>315</v>
      </c>
      <c r="D360" s="2" t="s">
        <v>270</v>
      </c>
    </row>
    <row r="361" spans="1:4">
      <c r="A361" s="2" t="s">
        <v>220</v>
      </c>
      <c r="B361" s="2" t="s">
        <v>221</v>
      </c>
      <c r="C361" s="2" t="s">
        <v>316</v>
      </c>
      <c r="D361" s="2" t="s">
        <v>299</v>
      </c>
    </row>
    <row r="362" spans="1:4">
      <c r="A362" s="2" t="s">
        <v>220</v>
      </c>
      <c r="B362" s="2" t="s">
        <v>221</v>
      </c>
      <c r="C362" s="2" t="s">
        <v>317</v>
      </c>
      <c r="D362" s="2" t="s">
        <v>299</v>
      </c>
    </row>
    <row r="363" spans="1:4">
      <c r="A363" s="2" t="s">
        <v>220</v>
      </c>
      <c r="B363" s="2" t="s">
        <v>221</v>
      </c>
      <c r="C363" s="2" t="s">
        <v>318</v>
      </c>
      <c r="D363" s="2" t="s">
        <v>262</v>
      </c>
    </row>
    <row r="364" spans="1:4">
      <c r="A364" s="2" t="s">
        <v>220</v>
      </c>
      <c r="B364" s="2" t="s">
        <v>221</v>
      </c>
      <c r="C364" s="2" t="s">
        <v>319</v>
      </c>
      <c r="D364" s="2" t="s">
        <v>270</v>
      </c>
    </row>
    <row r="365" spans="1:4">
      <c r="A365" s="2" t="s">
        <v>220</v>
      </c>
      <c r="B365" s="2" t="s">
        <v>221</v>
      </c>
      <c r="C365" s="2" t="s">
        <v>320</v>
      </c>
      <c r="D365" s="2" t="s">
        <v>262</v>
      </c>
    </row>
    <row r="366" spans="1:4">
      <c r="A366" s="2" t="s">
        <v>220</v>
      </c>
      <c r="B366" s="2" t="s">
        <v>221</v>
      </c>
      <c r="C366" s="2" t="s">
        <v>321</v>
      </c>
      <c r="D366" s="2" t="s">
        <v>262</v>
      </c>
    </row>
    <row r="367" spans="1:4">
      <c r="A367" s="2" t="s">
        <v>220</v>
      </c>
      <c r="B367" s="2" t="s">
        <v>221</v>
      </c>
      <c r="C367" s="2" t="s">
        <v>322</v>
      </c>
      <c r="D367" s="2" t="s">
        <v>262</v>
      </c>
    </row>
    <row r="368" spans="1:4">
      <c r="A368" s="2" t="s">
        <v>220</v>
      </c>
      <c r="B368" s="2" t="s">
        <v>221</v>
      </c>
      <c r="C368" s="2" t="s">
        <v>323</v>
      </c>
      <c r="D368" s="2" t="s">
        <v>299</v>
      </c>
    </row>
    <row r="369" spans="1:4">
      <c r="A369" s="2" t="s">
        <v>220</v>
      </c>
      <c r="B369" s="2" t="s">
        <v>221</v>
      </c>
      <c r="C369" s="2" t="s">
        <v>324</v>
      </c>
      <c r="D369" s="2" t="s">
        <v>262</v>
      </c>
    </row>
    <row r="370" spans="1:4">
      <c r="A370" s="2" t="s">
        <v>220</v>
      </c>
      <c r="B370" s="2" t="s">
        <v>221</v>
      </c>
      <c r="C370" s="2" t="s">
        <v>325</v>
      </c>
      <c r="D370" s="2" t="s">
        <v>262</v>
      </c>
    </row>
    <row r="371" spans="1:4">
      <c r="A371" s="2" t="s">
        <v>220</v>
      </c>
      <c r="B371" s="2" t="s">
        <v>221</v>
      </c>
      <c r="C371" s="2" t="s">
        <v>326</v>
      </c>
      <c r="D371" s="2" t="s">
        <v>262</v>
      </c>
    </row>
    <row r="372" spans="1:4">
      <c r="A372" s="2" t="s">
        <v>220</v>
      </c>
      <c r="B372" s="2" t="s">
        <v>221</v>
      </c>
      <c r="C372" s="2" t="s">
        <v>327</v>
      </c>
      <c r="D372" s="2" t="s">
        <v>262</v>
      </c>
    </row>
    <row r="373" spans="1:4">
      <c r="A373" s="2" t="s">
        <v>220</v>
      </c>
      <c r="B373" s="2" t="s">
        <v>221</v>
      </c>
      <c r="C373" s="2" t="s">
        <v>328</v>
      </c>
      <c r="D373" s="2" t="s">
        <v>309</v>
      </c>
    </row>
    <row r="374" spans="1:4">
      <c r="A374" s="2" t="s">
        <v>220</v>
      </c>
      <c r="B374" s="2" t="s">
        <v>221</v>
      </c>
      <c r="C374" s="2" t="s">
        <v>329</v>
      </c>
      <c r="D374" s="2" t="s">
        <v>287</v>
      </c>
    </row>
    <row r="375" spans="1:4">
      <c r="A375" s="2" t="s">
        <v>220</v>
      </c>
      <c r="B375" s="2" t="s">
        <v>221</v>
      </c>
      <c r="C375" s="2" t="s">
        <v>330</v>
      </c>
      <c r="D375" s="2" t="s">
        <v>262</v>
      </c>
    </row>
    <row r="376" spans="1:4">
      <c r="A376" s="2" t="s">
        <v>220</v>
      </c>
      <c r="B376" s="2" t="s">
        <v>221</v>
      </c>
      <c r="C376" s="2" t="s">
        <v>331</v>
      </c>
      <c r="D376" s="2" t="s">
        <v>309</v>
      </c>
    </row>
    <row r="377" spans="1:4">
      <c r="A377" s="2" t="s">
        <v>222</v>
      </c>
      <c r="B377" s="2" t="s">
        <v>223</v>
      </c>
      <c r="C377" s="2" t="s">
        <v>245</v>
      </c>
      <c r="D377" s="2" t="s">
        <v>343</v>
      </c>
    </row>
    <row r="378" spans="1:4">
      <c r="A378" s="2" t="s">
        <v>222</v>
      </c>
      <c r="B378" s="2" t="s">
        <v>223</v>
      </c>
      <c r="C378" s="2" t="s">
        <v>247</v>
      </c>
      <c r="D378" s="2" t="s">
        <v>344</v>
      </c>
    </row>
    <row r="379" spans="1:4">
      <c r="A379" s="2" t="s">
        <v>222</v>
      </c>
      <c r="B379" s="2" t="s">
        <v>223</v>
      </c>
      <c r="C379" s="2" t="s">
        <v>249</v>
      </c>
      <c r="D379" s="2" t="s">
        <v>250</v>
      </c>
    </row>
    <row r="380" spans="1:4">
      <c r="A380" s="2" t="s">
        <v>222</v>
      </c>
      <c r="B380" s="2" t="s">
        <v>223</v>
      </c>
      <c r="C380" s="2" t="s">
        <v>251</v>
      </c>
      <c r="D380" s="2" t="s">
        <v>252</v>
      </c>
    </row>
    <row r="381" spans="1:4">
      <c r="A381" s="2" t="s">
        <v>222</v>
      </c>
      <c r="B381" s="2" t="s">
        <v>223</v>
      </c>
      <c r="C381" s="2" t="s">
        <v>253</v>
      </c>
      <c r="D381" s="2" t="s">
        <v>254</v>
      </c>
    </row>
    <row r="382" spans="1:4">
      <c r="A382" s="2" t="s">
        <v>222</v>
      </c>
      <c r="B382" s="2" t="s">
        <v>223</v>
      </c>
      <c r="C382" s="2" t="s">
        <v>255</v>
      </c>
      <c r="D382" s="2" t="s">
        <v>256</v>
      </c>
    </row>
    <row r="383" spans="1:4">
      <c r="A383" s="2" t="s">
        <v>222</v>
      </c>
      <c r="B383" s="2" t="s">
        <v>223</v>
      </c>
      <c r="C383" s="2" t="s">
        <v>257</v>
      </c>
      <c r="D383" s="2" t="s">
        <v>258</v>
      </c>
    </row>
    <row r="384" spans="1:4">
      <c r="A384" s="2" t="s">
        <v>222</v>
      </c>
      <c r="B384" s="2" t="s">
        <v>223</v>
      </c>
      <c r="C384" s="2" t="s">
        <v>259</v>
      </c>
      <c r="D384" s="2" t="s">
        <v>339</v>
      </c>
    </row>
    <row r="385" spans="1:4">
      <c r="A385" s="2" t="s">
        <v>222</v>
      </c>
      <c r="B385" s="2" t="s">
        <v>223</v>
      </c>
      <c r="C385" s="2" t="s">
        <v>261</v>
      </c>
      <c r="D385" s="2" t="s">
        <v>345</v>
      </c>
    </row>
    <row r="386" spans="1:4">
      <c r="A386" s="2" t="s">
        <v>222</v>
      </c>
      <c r="B386" s="2" t="s">
        <v>223</v>
      </c>
      <c r="C386" s="2" t="s">
        <v>263</v>
      </c>
      <c r="D386" s="2" t="s">
        <v>277</v>
      </c>
    </row>
    <row r="387" spans="1:4">
      <c r="A387" s="2" t="s">
        <v>222</v>
      </c>
      <c r="B387" s="2" t="s">
        <v>223</v>
      </c>
      <c r="C387" s="2" t="s">
        <v>264</v>
      </c>
      <c r="D387" s="2" t="s">
        <v>262</v>
      </c>
    </row>
    <row r="388" spans="1:4">
      <c r="A388" s="2" t="s">
        <v>222</v>
      </c>
      <c r="B388" s="2" t="s">
        <v>223</v>
      </c>
      <c r="C388" s="2" t="s">
        <v>265</v>
      </c>
      <c r="D388" s="2" t="s">
        <v>266</v>
      </c>
    </row>
    <row r="389" spans="1:4">
      <c r="A389" s="2" t="s">
        <v>222</v>
      </c>
      <c r="B389" s="2" t="s">
        <v>223</v>
      </c>
      <c r="C389" s="2" t="s">
        <v>267</v>
      </c>
      <c r="D389" s="2" t="s">
        <v>268</v>
      </c>
    </row>
    <row r="390" spans="1:4">
      <c r="A390" s="2" t="s">
        <v>222</v>
      </c>
      <c r="B390" s="2" t="s">
        <v>223</v>
      </c>
      <c r="C390" s="2" t="s">
        <v>269</v>
      </c>
      <c r="D390" s="2" t="s">
        <v>270</v>
      </c>
    </row>
    <row r="391" spans="1:4">
      <c r="A391" s="2" t="s">
        <v>222</v>
      </c>
      <c r="B391" s="2" t="s">
        <v>223</v>
      </c>
      <c r="C391" s="2" t="s">
        <v>271</v>
      </c>
      <c r="D391" s="2" t="s">
        <v>274</v>
      </c>
    </row>
    <row r="392" spans="1:4">
      <c r="A392" s="2" t="s">
        <v>222</v>
      </c>
      <c r="B392" s="2" t="s">
        <v>223</v>
      </c>
      <c r="C392" s="2" t="s">
        <v>273</v>
      </c>
      <c r="D392" s="2" t="s">
        <v>281</v>
      </c>
    </row>
    <row r="393" spans="1:4">
      <c r="A393" s="2" t="s">
        <v>222</v>
      </c>
      <c r="B393" s="2" t="s">
        <v>223</v>
      </c>
      <c r="C393" s="2" t="s">
        <v>275</v>
      </c>
      <c r="D393" s="2" t="s">
        <v>262</v>
      </c>
    </row>
    <row r="394" spans="1:4">
      <c r="A394" s="2" t="s">
        <v>222</v>
      </c>
      <c r="B394" s="2" t="s">
        <v>223</v>
      </c>
      <c r="C394" s="2" t="s">
        <v>276</v>
      </c>
      <c r="D394" s="2" t="s">
        <v>277</v>
      </c>
    </row>
    <row r="395" spans="1:4">
      <c r="A395" s="2" t="s">
        <v>222</v>
      </c>
      <c r="B395" s="2" t="s">
        <v>223</v>
      </c>
      <c r="C395" s="2" t="s">
        <v>278</v>
      </c>
      <c r="D395" s="2" t="s">
        <v>279</v>
      </c>
    </row>
    <row r="396" spans="1:4">
      <c r="A396" s="2" t="s">
        <v>222</v>
      </c>
      <c r="B396" s="2" t="s">
        <v>223</v>
      </c>
      <c r="C396" s="2" t="s">
        <v>280</v>
      </c>
      <c r="D396" s="2" t="s">
        <v>281</v>
      </c>
    </row>
    <row r="397" spans="1:4">
      <c r="A397" s="2" t="s">
        <v>222</v>
      </c>
      <c r="B397" s="2" t="s">
        <v>223</v>
      </c>
      <c r="C397" s="2" t="s">
        <v>282</v>
      </c>
      <c r="D397" s="2" t="s">
        <v>283</v>
      </c>
    </row>
    <row r="398" spans="1:4">
      <c r="A398" s="2" t="s">
        <v>222</v>
      </c>
      <c r="B398" s="2" t="s">
        <v>223</v>
      </c>
      <c r="C398" s="2" t="s">
        <v>284</v>
      </c>
      <c r="D398" s="2" t="s">
        <v>285</v>
      </c>
    </row>
    <row r="399" spans="1:4">
      <c r="A399" s="2" t="s">
        <v>222</v>
      </c>
      <c r="B399" s="2" t="s">
        <v>223</v>
      </c>
      <c r="C399" s="2" t="s">
        <v>286</v>
      </c>
      <c r="D399" s="2" t="s">
        <v>287</v>
      </c>
    </row>
    <row r="400" spans="1:4">
      <c r="A400" s="2" t="s">
        <v>222</v>
      </c>
      <c r="B400" s="2" t="s">
        <v>223</v>
      </c>
      <c r="C400" s="2" t="s">
        <v>288</v>
      </c>
      <c r="D400" s="2" t="s">
        <v>289</v>
      </c>
    </row>
    <row r="401" spans="1:4">
      <c r="A401" s="2" t="s">
        <v>222</v>
      </c>
      <c r="B401" s="2" t="s">
        <v>223</v>
      </c>
      <c r="C401" s="2" t="s">
        <v>290</v>
      </c>
      <c r="D401" s="2" t="s">
        <v>262</v>
      </c>
    </row>
    <row r="402" spans="1:4">
      <c r="A402" s="2" t="s">
        <v>222</v>
      </c>
      <c r="B402" s="2" t="s">
        <v>223</v>
      </c>
      <c r="C402" s="2" t="s">
        <v>291</v>
      </c>
      <c r="D402" s="2" t="s">
        <v>256</v>
      </c>
    </row>
    <row r="403" spans="1:4">
      <c r="A403" s="2" t="s">
        <v>222</v>
      </c>
      <c r="B403" s="2" t="s">
        <v>223</v>
      </c>
      <c r="C403" s="2" t="s">
        <v>292</v>
      </c>
      <c r="D403" s="2" t="s">
        <v>270</v>
      </c>
    </row>
    <row r="404" spans="1:4">
      <c r="A404" s="2" t="s">
        <v>222</v>
      </c>
      <c r="B404" s="2" t="s">
        <v>223</v>
      </c>
      <c r="C404" s="2" t="s">
        <v>293</v>
      </c>
      <c r="D404" s="2" t="s">
        <v>294</v>
      </c>
    </row>
    <row r="405" spans="1:4">
      <c r="A405" s="2" t="s">
        <v>222</v>
      </c>
      <c r="B405" s="2" t="s">
        <v>223</v>
      </c>
      <c r="C405" s="2" t="s">
        <v>295</v>
      </c>
      <c r="D405" s="2" t="s">
        <v>296</v>
      </c>
    </row>
    <row r="406" spans="1:4">
      <c r="A406" s="2" t="s">
        <v>222</v>
      </c>
      <c r="B406" s="2" t="s">
        <v>223</v>
      </c>
      <c r="C406" s="2" t="s">
        <v>297</v>
      </c>
      <c r="D406" s="2" t="s">
        <v>256</v>
      </c>
    </row>
    <row r="407" spans="1:4">
      <c r="A407" s="2" t="s">
        <v>222</v>
      </c>
      <c r="B407" s="2" t="s">
        <v>223</v>
      </c>
      <c r="C407" s="2" t="s">
        <v>298</v>
      </c>
      <c r="D407" s="2" t="s">
        <v>299</v>
      </c>
    </row>
    <row r="408" spans="1:4">
      <c r="A408" s="2" t="s">
        <v>222</v>
      </c>
      <c r="B408" s="2" t="s">
        <v>223</v>
      </c>
      <c r="C408" s="2" t="s">
        <v>300</v>
      </c>
      <c r="D408" s="2" t="s">
        <v>299</v>
      </c>
    </row>
    <row r="409" spans="1:4">
      <c r="A409" s="2" t="s">
        <v>222</v>
      </c>
      <c r="B409" s="2" t="s">
        <v>223</v>
      </c>
      <c r="C409" s="2" t="s">
        <v>301</v>
      </c>
      <c r="D409" s="2" t="s">
        <v>270</v>
      </c>
    </row>
    <row r="410" spans="1:4">
      <c r="A410" s="2" t="s">
        <v>222</v>
      </c>
      <c r="B410" s="2" t="s">
        <v>223</v>
      </c>
      <c r="C410" s="2" t="s">
        <v>302</v>
      </c>
      <c r="D410" s="2" t="s">
        <v>299</v>
      </c>
    </row>
    <row r="411" spans="1:4">
      <c r="A411" s="2" t="s">
        <v>222</v>
      </c>
      <c r="B411" s="2" t="s">
        <v>223</v>
      </c>
      <c r="C411" s="2" t="s">
        <v>303</v>
      </c>
      <c r="D411" s="2" t="s">
        <v>258</v>
      </c>
    </row>
    <row r="412" spans="1:4">
      <c r="A412" s="2" t="s">
        <v>222</v>
      </c>
      <c r="B412" s="2" t="s">
        <v>223</v>
      </c>
      <c r="C412" s="2" t="s">
        <v>304</v>
      </c>
      <c r="D412" s="2" t="s">
        <v>262</v>
      </c>
    </row>
    <row r="413" spans="1:4">
      <c r="A413" s="2" t="s">
        <v>222</v>
      </c>
      <c r="B413" s="2" t="s">
        <v>223</v>
      </c>
      <c r="C413" s="2" t="s">
        <v>305</v>
      </c>
      <c r="D413" s="2" t="s">
        <v>262</v>
      </c>
    </row>
    <row r="414" spans="1:4">
      <c r="A414" s="2" t="s">
        <v>222</v>
      </c>
      <c r="B414" s="2" t="s">
        <v>223</v>
      </c>
      <c r="C414" s="2" t="s">
        <v>306</v>
      </c>
      <c r="D414" s="2" t="s">
        <v>256</v>
      </c>
    </row>
    <row r="415" spans="1:4">
      <c r="A415" s="2" t="s">
        <v>222</v>
      </c>
      <c r="B415" s="2" t="s">
        <v>223</v>
      </c>
      <c r="C415" s="2" t="s">
        <v>307</v>
      </c>
      <c r="D415" s="2" t="s">
        <v>299</v>
      </c>
    </row>
    <row r="416" spans="1:4">
      <c r="A416" s="2" t="s">
        <v>222</v>
      </c>
      <c r="B416" s="2" t="s">
        <v>223</v>
      </c>
      <c r="C416" s="2" t="s">
        <v>308</v>
      </c>
      <c r="D416" s="2" t="s">
        <v>309</v>
      </c>
    </row>
    <row r="417" spans="1:4">
      <c r="A417" s="2" t="s">
        <v>222</v>
      </c>
      <c r="B417" s="2" t="s">
        <v>223</v>
      </c>
      <c r="C417" s="2" t="s">
        <v>310</v>
      </c>
      <c r="D417" s="2" t="s">
        <v>309</v>
      </c>
    </row>
    <row r="418" spans="1:4">
      <c r="A418" s="2" t="s">
        <v>222</v>
      </c>
      <c r="B418" s="2" t="s">
        <v>223</v>
      </c>
      <c r="C418" s="2" t="s">
        <v>311</v>
      </c>
      <c r="D418" s="2" t="s">
        <v>270</v>
      </c>
    </row>
    <row r="419" spans="1:4">
      <c r="A419" s="2" t="s">
        <v>222</v>
      </c>
      <c r="B419" s="2" t="s">
        <v>223</v>
      </c>
      <c r="C419" s="2" t="s">
        <v>312</v>
      </c>
      <c r="D419" s="2" t="s">
        <v>335</v>
      </c>
    </row>
    <row r="420" spans="1:4">
      <c r="A420" s="2" t="s">
        <v>222</v>
      </c>
      <c r="B420" s="2" t="s">
        <v>223</v>
      </c>
      <c r="C420" s="2" t="s">
        <v>313</v>
      </c>
      <c r="D420" s="2" t="s">
        <v>299</v>
      </c>
    </row>
    <row r="421" spans="1:4">
      <c r="A421" s="2" t="s">
        <v>222</v>
      </c>
      <c r="B421" s="2" t="s">
        <v>223</v>
      </c>
      <c r="C421" s="2" t="s">
        <v>314</v>
      </c>
      <c r="D421" s="2" t="s">
        <v>309</v>
      </c>
    </row>
    <row r="422" spans="1:4">
      <c r="A422" s="2" t="s">
        <v>222</v>
      </c>
      <c r="B422" s="2" t="s">
        <v>223</v>
      </c>
      <c r="C422" s="2" t="s">
        <v>315</v>
      </c>
      <c r="D422" s="2" t="s">
        <v>270</v>
      </c>
    </row>
    <row r="423" spans="1:4">
      <c r="A423" s="2" t="s">
        <v>222</v>
      </c>
      <c r="B423" s="2" t="s">
        <v>223</v>
      </c>
      <c r="C423" s="2" t="s">
        <v>316</v>
      </c>
      <c r="D423" s="2" t="s">
        <v>299</v>
      </c>
    </row>
    <row r="424" spans="1:4">
      <c r="A424" s="2" t="s">
        <v>222</v>
      </c>
      <c r="B424" s="2" t="s">
        <v>223</v>
      </c>
      <c r="C424" s="2" t="s">
        <v>317</v>
      </c>
      <c r="D424" s="2" t="s">
        <v>299</v>
      </c>
    </row>
    <row r="425" spans="1:4">
      <c r="A425" s="2" t="s">
        <v>222</v>
      </c>
      <c r="B425" s="2" t="s">
        <v>223</v>
      </c>
      <c r="C425" s="2" t="s">
        <v>318</v>
      </c>
      <c r="D425" s="2" t="s">
        <v>262</v>
      </c>
    </row>
    <row r="426" spans="1:4">
      <c r="A426" s="2" t="s">
        <v>222</v>
      </c>
      <c r="B426" s="2" t="s">
        <v>223</v>
      </c>
      <c r="C426" s="2" t="s">
        <v>319</v>
      </c>
      <c r="D426" s="2" t="s">
        <v>270</v>
      </c>
    </row>
    <row r="427" spans="1:4">
      <c r="A427" s="2" t="s">
        <v>222</v>
      </c>
      <c r="B427" s="2" t="s">
        <v>223</v>
      </c>
      <c r="C427" s="2" t="s">
        <v>320</v>
      </c>
      <c r="D427" s="2" t="s">
        <v>262</v>
      </c>
    </row>
    <row r="428" spans="1:4">
      <c r="A428" s="2" t="s">
        <v>222</v>
      </c>
      <c r="B428" s="2" t="s">
        <v>223</v>
      </c>
      <c r="C428" s="2" t="s">
        <v>321</v>
      </c>
      <c r="D428" s="2" t="s">
        <v>262</v>
      </c>
    </row>
    <row r="429" spans="1:4">
      <c r="A429" s="2" t="s">
        <v>222</v>
      </c>
      <c r="B429" s="2" t="s">
        <v>223</v>
      </c>
      <c r="C429" s="2" t="s">
        <v>322</v>
      </c>
      <c r="D429" s="2" t="s">
        <v>262</v>
      </c>
    </row>
    <row r="430" spans="1:4">
      <c r="A430" s="2" t="s">
        <v>222</v>
      </c>
      <c r="B430" s="2" t="s">
        <v>223</v>
      </c>
      <c r="C430" s="2" t="s">
        <v>323</v>
      </c>
      <c r="D430" s="2" t="s">
        <v>299</v>
      </c>
    </row>
    <row r="431" spans="1:4">
      <c r="A431" s="2" t="s">
        <v>222</v>
      </c>
      <c r="B431" s="2" t="s">
        <v>223</v>
      </c>
      <c r="C431" s="2" t="s">
        <v>324</v>
      </c>
      <c r="D431" s="2" t="s">
        <v>262</v>
      </c>
    </row>
    <row r="432" spans="1:4">
      <c r="A432" s="2" t="s">
        <v>222</v>
      </c>
      <c r="B432" s="2" t="s">
        <v>223</v>
      </c>
      <c r="C432" s="2" t="s">
        <v>325</v>
      </c>
      <c r="D432" s="2" t="s">
        <v>262</v>
      </c>
    </row>
    <row r="433" spans="1:4">
      <c r="A433" s="2" t="s">
        <v>222</v>
      </c>
      <c r="B433" s="2" t="s">
        <v>223</v>
      </c>
      <c r="C433" s="2" t="s">
        <v>326</v>
      </c>
      <c r="D433" s="2" t="s">
        <v>262</v>
      </c>
    </row>
    <row r="434" spans="1:4">
      <c r="A434" s="2" t="s">
        <v>222</v>
      </c>
      <c r="B434" s="2" t="s">
        <v>223</v>
      </c>
      <c r="C434" s="2" t="s">
        <v>327</v>
      </c>
      <c r="D434" s="2" t="s">
        <v>262</v>
      </c>
    </row>
    <row r="435" spans="1:4">
      <c r="A435" s="2" t="s">
        <v>222</v>
      </c>
      <c r="B435" s="2" t="s">
        <v>223</v>
      </c>
      <c r="C435" s="2" t="s">
        <v>328</v>
      </c>
      <c r="D435" s="2" t="s">
        <v>334</v>
      </c>
    </row>
    <row r="436" spans="1:4">
      <c r="A436" s="2" t="s">
        <v>222</v>
      </c>
      <c r="B436" s="2" t="s">
        <v>223</v>
      </c>
      <c r="C436" s="2" t="s">
        <v>329</v>
      </c>
      <c r="D436" s="2" t="s">
        <v>287</v>
      </c>
    </row>
    <row r="437" spans="1:4">
      <c r="A437" s="2" t="s">
        <v>222</v>
      </c>
      <c r="B437" s="2" t="s">
        <v>223</v>
      </c>
      <c r="C437" s="2" t="s">
        <v>330</v>
      </c>
      <c r="D437" s="2" t="s">
        <v>336</v>
      </c>
    </row>
    <row r="438" spans="1:4">
      <c r="A438" s="2" t="s">
        <v>222</v>
      </c>
      <c r="B438" s="2" t="s">
        <v>223</v>
      </c>
      <c r="C438" s="2" t="s">
        <v>331</v>
      </c>
      <c r="D438" s="2" t="s">
        <v>309</v>
      </c>
    </row>
    <row r="439" spans="1:4">
      <c r="A439" s="2" t="s">
        <v>224</v>
      </c>
      <c r="B439" s="2" t="s">
        <v>225</v>
      </c>
      <c r="C439" s="2" t="s">
        <v>245</v>
      </c>
      <c r="D439" s="2" t="s">
        <v>346</v>
      </c>
    </row>
    <row r="440" spans="1:4">
      <c r="A440" s="2" t="s">
        <v>224</v>
      </c>
      <c r="B440" s="2" t="s">
        <v>225</v>
      </c>
      <c r="C440" s="2" t="s">
        <v>247</v>
      </c>
      <c r="D440" s="2" t="s">
        <v>347</v>
      </c>
    </row>
    <row r="441" spans="1:4">
      <c r="A441" s="2" t="s">
        <v>224</v>
      </c>
      <c r="B441" s="2" t="s">
        <v>225</v>
      </c>
      <c r="C441" s="2" t="s">
        <v>249</v>
      </c>
      <c r="D441" s="2" t="s">
        <v>250</v>
      </c>
    </row>
    <row r="442" spans="1:4">
      <c r="A442" s="2" t="s">
        <v>224</v>
      </c>
      <c r="B442" s="2" t="s">
        <v>225</v>
      </c>
      <c r="C442" s="2" t="s">
        <v>251</v>
      </c>
      <c r="D442" s="2" t="s">
        <v>252</v>
      </c>
    </row>
    <row r="443" spans="1:4">
      <c r="A443" s="2" t="s">
        <v>224</v>
      </c>
      <c r="B443" s="2" t="s">
        <v>225</v>
      </c>
      <c r="C443" s="2" t="s">
        <v>253</v>
      </c>
      <c r="D443" s="2" t="s">
        <v>254</v>
      </c>
    </row>
    <row r="444" spans="1:4">
      <c r="A444" s="2" t="s">
        <v>224</v>
      </c>
      <c r="B444" s="2" t="s">
        <v>225</v>
      </c>
      <c r="C444" s="2" t="s">
        <v>255</v>
      </c>
      <c r="D444" s="2" t="s">
        <v>256</v>
      </c>
    </row>
    <row r="445" spans="1:4">
      <c r="A445" s="2" t="s">
        <v>224</v>
      </c>
      <c r="B445" s="2" t="s">
        <v>225</v>
      </c>
      <c r="C445" s="2" t="s">
        <v>257</v>
      </c>
      <c r="D445" s="2" t="s">
        <v>258</v>
      </c>
    </row>
    <row r="446" spans="1:4">
      <c r="A446" s="2" t="s">
        <v>224</v>
      </c>
      <c r="B446" s="2" t="s">
        <v>225</v>
      </c>
      <c r="C446" s="2" t="s">
        <v>259</v>
      </c>
      <c r="D446" s="2" t="s">
        <v>339</v>
      </c>
    </row>
    <row r="447" spans="1:4">
      <c r="A447" s="2" t="s">
        <v>224</v>
      </c>
      <c r="B447" s="2" t="s">
        <v>225</v>
      </c>
      <c r="C447" s="2" t="s">
        <v>261</v>
      </c>
      <c r="D447" s="2" t="s">
        <v>345</v>
      </c>
    </row>
    <row r="448" spans="1:4">
      <c r="A448" s="2" t="s">
        <v>224</v>
      </c>
      <c r="B448" s="2" t="s">
        <v>225</v>
      </c>
      <c r="C448" s="2" t="s">
        <v>263</v>
      </c>
      <c r="D448" s="2" t="s">
        <v>277</v>
      </c>
    </row>
    <row r="449" spans="1:4">
      <c r="A449" s="2" t="s">
        <v>224</v>
      </c>
      <c r="B449" s="2" t="s">
        <v>225</v>
      </c>
      <c r="C449" s="2" t="s">
        <v>264</v>
      </c>
      <c r="D449" s="2" t="s">
        <v>262</v>
      </c>
    </row>
    <row r="450" spans="1:4">
      <c r="A450" s="2" t="s">
        <v>224</v>
      </c>
      <c r="B450" s="2" t="s">
        <v>225</v>
      </c>
      <c r="C450" s="2" t="s">
        <v>265</v>
      </c>
      <c r="D450" s="2" t="s">
        <v>266</v>
      </c>
    </row>
    <row r="451" spans="1:4">
      <c r="A451" s="2" t="s">
        <v>224</v>
      </c>
      <c r="B451" s="2" t="s">
        <v>225</v>
      </c>
      <c r="C451" s="2" t="s">
        <v>267</v>
      </c>
      <c r="D451" s="2" t="s">
        <v>268</v>
      </c>
    </row>
    <row r="452" spans="1:4">
      <c r="A452" s="2" t="s">
        <v>224</v>
      </c>
      <c r="B452" s="2" t="s">
        <v>225</v>
      </c>
      <c r="C452" s="2" t="s">
        <v>269</v>
      </c>
      <c r="D452" s="2" t="s">
        <v>270</v>
      </c>
    </row>
    <row r="453" spans="1:4">
      <c r="A453" s="2" t="s">
        <v>224</v>
      </c>
      <c r="B453" s="2" t="s">
        <v>225</v>
      </c>
      <c r="C453" s="2" t="s">
        <v>271</v>
      </c>
      <c r="D453" s="2" t="s">
        <v>274</v>
      </c>
    </row>
    <row r="454" spans="1:4">
      <c r="A454" s="2" t="s">
        <v>224</v>
      </c>
      <c r="B454" s="2" t="s">
        <v>225</v>
      </c>
      <c r="C454" s="2" t="s">
        <v>273</v>
      </c>
      <c r="D454" s="2" t="s">
        <v>281</v>
      </c>
    </row>
    <row r="455" spans="1:4">
      <c r="A455" s="2" t="s">
        <v>224</v>
      </c>
      <c r="B455" s="2" t="s">
        <v>225</v>
      </c>
      <c r="C455" s="2" t="s">
        <v>275</v>
      </c>
      <c r="D455" s="2" t="s">
        <v>348</v>
      </c>
    </row>
    <row r="456" spans="1:4">
      <c r="A456" s="2" t="s">
        <v>224</v>
      </c>
      <c r="B456" s="2" t="s">
        <v>225</v>
      </c>
      <c r="C456" s="2" t="s">
        <v>276</v>
      </c>
      <c r="D456" s="2" t="s">
        <v>277</v>
      </c>
    </row>
    <row r="457" spans="1:4">
      <c r="A457" s="2" t="s">
        <v>224</v>
      </c>
      <c r="B457" s="2" t="s">
        <v>225</v>
      </c>
      <c r="C457" s="2" t="s">
        <v>278</v>
      </c>
      <c r="D457" s="2" t="s">
        <v>279</v>
      </c>
    </row>
    <row r="458" spans="1:4">
      <c r="A458" s="2" t="s">
        <v>224</v>
      </c>
      <c r="B458" s="2" t="s">
        <v>225</v>
      </c>
      <c r="C458" s="2" t="s">
        <v>280</v>
      </c>
      <c r="D458" s="2" t="s">
        <v>281</v>
      </c>
    </row>
    <row r="459" spans="1:4">
      <c r="A459" s="2" t="s">
        <v>224</v>
      </c>
      <c r="B459" s="2" t="s">
        <v>225</v>
      </c>
      <c r="C459" s="2" t="s">
        <v>282</v>
      </c>
      <c r="D459" s="2" t="s">
        <v>283</v>
      </c>
    </row>
    <row r="460" spans="1:4">
      <c r="A460" s="2" t="s">
        <v>224</v>
      </c>
      <c r="B460" s="2" t="s">
        <v>225</v>
      </c>
      <c r="C460" s="2" t="s">
        <v>284</v>
      </c>
      <c r="D460" s="2" t="s">
        <v>285</v>
      </c>
    </row>
    <row r="461" spans="1:4">
      <c r="A461" s="2" t="s">
        <v>224</v>
      </c>
      <c r="B461" s="2" t="s">
        <v>225</v>
      </c>
      <c r="C461" s="2" t="s">
        <v>286</v>
      </c>
      <c r="D461" s="2" t="s">
        <v>287</v>
      </c>
    </row>
    <row r="462" spans="1:4">
      <c r="A462" s="2" t="s">
        <v>224</v>
      </c>
      <c r="B462" s="2" t="s">
        <v>225</v>
      </c>
      <c r="C462" s="2" t="s">
        <v>288</v>
      </c>
      <c r="D462" s="2" t="s">
        <v>289</v>
      </c>
    </row>
    <row r="463" spans="1:4">
      <c r="A463" s="2" t="s">
        <v>224</v>
      </c>
      <c r="B463" s="2" t="s">
        <v>225</v>
      </c>
      <c r="C463" s="2" t="s">
        <v>290</v>
      </c>
      <c r="D463" s="2" t="s">
        <v>262</v>
      </c>
    </row>
    <row r="464" spans="1:4">
      <c r="A464" s="2" t="s">
        <v>224</v>
      </c>
      <c r="B464" s="2" t="s">
        <v>225</v>
      </c>
      <c r="C464" s="2" t="s">
        <v>291</v>
      </c>
      <c r="D464" s="2" t="s">
        <v>256</v>
      </c>
    </row>
    <row r="465" spans="1:4">
      <c r="A465" s="2" t="s">
        <v>224</v>
      </c>
      <c r="B465" s="2" t="s">
        <v>225</v>
      </c>
      <c r="C465" s="2" t="s">
        <v>292</v>
      </c>
      <c r="D465" s="2" t="s">
        <v>270</v>
      </c>
    </row>
    <row r="466" spans="1:4">
      <c r="A466" s="2" t="s">
        <v>224</v>
      </c>
      <c r="B466" s="2" t="s">
        <v>225</v>
      </c>
      <c r="C466" s="2" t="s">
        <v>293</v>
      </c>
      <c r="D466" s="2" t="s">
        <v>294</v>
      </c>
    </row>
    <row r="467" spans="1:4">
      <c r="A467" s="2" t="s">
        <v>224</v>
      </c>
      <c r="B467" s="2" t="s">
        <v>225</v>
      </c>
      <c r="C467" s="2" t="s">
        <v>295</v>
      </c>
      <c r="D467" s="2" t="s">
        <v>296</v>
      </c>
    </row>
    <row r="468" spans="1:4">
      <c r="A468" s="2" t="s">
        <v>224</v>
      </c>
      <c r="B468" s="2" t="s">
        <v>225</v>
      </c>
      <c r="C468" s="2" t="s">
        <v>297</v>
      </c>
      <c r="D468" s="2" t="s">
        <v>256</v>
      </c>
    </row>
    <row r="469" spans="1:4">
      <c r="A469" s="2" t="s">
        <v>224</v>
      </c>
      <c r="B469" s="2" t="s">
        <v>225</v>
      </c>
      <c r="C469" s="2" t="s">
        <v>298</v>
      </c>
      <c r="D469" s="2" t="s">
        <v>299</v>
      </c>
    </row>
    <row r="470" spans="1:4">
      <c r="A470" s="2" t="s">
        <v>224</v>
      </c>
      <c r="B470" s="2" t="s">
        <v>225</v>
      </c>
      <c r="C470" s="2" t="s">
        <v>300</v>
      </c>
      <c r="D470" s="2" t="s">
        <v>299</v>
      </c>
    </row>
    <row r="471" spans="1:4">
      <c r="A471" s="2" t="s">
        <v>224</v>
      </c>
      <c r="B471" s="2" t="s">
        <v>225</v>
      </c>
      <c r="C471" s="2" t="s">
        <v>301</v>
      </c>
      <c r="D471" s="2" t="s">
        <v>270</v>
      </c>
    </row>
    <row r="472" spans="1:4">
      <c r="A472" s="2" t="s">
        <v>224</v>
      </c>
      <c r="B472" s="2" t="s">
        <v>225</v>
      </c>
      <c r="C472" s="2" t="s">
        <v>302</v>
      </c>
      <c r="D472" s="2" t="s">
        <v>299</v>
      </c>
    </row>
    <row r="473" spans="1:4">
      <c r="A473" s="2" t="s">
        <v>224</v>
      </c>
      <c r="B473" s="2" t="s">
        <v>225</v>
      </c>
      <c r="C473" s="2" t="s">
        <v>303</v>
      </c>
      <c r="D473" s="2" t="s">
        <v>258</v>
      </c>
    </row>
    <row r="474" spans="1:4">
      <c r="A474" s="2" t="s">
        <v>224</v>
      </c>
      <c r="B474" s="2" t="s">
        <v>225</v>
      </c>
      <c r="C474" s="2" t="s">
        <v>304</v>
      </c>
      <c r="D474" s="2" t="s">
        <v>262</v>
      </c>
    </row>
    <row r="475" spans="1:4">
      <c r="A475" s="2" t="s">
        <v>224</v>
      </c>
      <c r="B475" s="2" t="s">
        <v>225</v>
      </c>
      <c r="C475" s="2" t="s">
        <v>305</v>
      </c>
      <c r="D475" s="2" t="s">
        <v>262</v>
      </c>
    </row>
    <row r="476" spans="1:4">
      <c r="A476" s="2" t="s">
        <v>224</v>
      </c>
      <c r="B476" s="2" t="s">
        <v>225</v>
      </c>
      <c r="C476" s="2" t="s">
        <v>306</v>
      </c>
      <c r="D476" s="2" t="s">
        <v>256</v>
      </c>
    </row>
    <row r="477" spans="1:4">
      <c r="A477" s="2" t="s">
        <v>224</v>
      </c>
      <c r="B477" s="2" t="s">
        <v>225</v>
      </c>
      <c r="C477" s="2" t="s">
        <v>307</v>
      </c>
      <c r="D477" s="2" t="s">
        <v>299</v>
      </c>
    </row>
    <row r="478" spans="1:4">
      <c r="A478" s="2" t="s">
        <v>224</v>
      </c>
      <c r="B478" s="2" t="s">
        <v>225</v>
      </c>
      <c r="C478" s="2" t="s">
        <v>308</v>
      </c>
      <c r="D478" s="2" t="s">
        <v>309</v>
      </c>
    </row>
    <row r="479" spans="1:4">
      <c r="A479" s="2" t="s">
        <v>224</v>
      </c>
      <c r="B479" s="2" t="s">
        <v>225</v>
      </c>
      <c r="C479" s="2" t="s">
        <v>310</v>
      </c>
      <c r="D479" s="2" t="s">
        <v>309</v>
      </c>
    </row>
    <row r="480" spans="1:4">
      <c r="A480" s="2" t="s">
        <v>224</v>
      </c>
      <c r="B480" s="2" t="s">
        <v>225</v>
      </c>
      <c r="C480" s="2" t="s">
        <v>311</v>
      </c>
      <c r="D480" s="2" t="s">
        <v>270</v>
      </c>
    </row>
    <row r="481" spans="1:4">
      <c r="A481" s="2" t="s">
        <v>224</v>
      </c>
      <c r="B481" s="2" t="s">
        <v>225</v>
      </c>
      <c r="C481" s="2" t="s">
        <v>312</v>
      </c>
      <c r="D481" s="2" t="s">
        <v>335</v>
      </c>
    </row>
    <row r="482" spans="1:4">
      <c r="A482" s="2" t="s">
        <v>224</v>
      </c>
      <c r="B482" s="2" t="s">
        <v>225</v>
      </c>
      <c r="C482" s="2" t="s">
        <v>313</v>
      </c>
      <c r="D482" s="2" t="s">
        <v>299</v>
      </c>
    </row>
    <row r="483" spans="1:4">
      <c r="A483" s="2" t="s">
        <v>224</v>
      </c>
      <c r="B483" s="2" t="s">
        <v>225</v>
      </c>
      <c r="C483" s="2" t="s">
        <v>314</v>
      </c>
      <c r="D483" s="2" t="s">
        <v>309</v>
      </c>
    </row>
    <row r="484" spans="1:4">
      <c r="A484" s="2" t="s">
        <v>224</v>
      </c>
      <c r="B484" s="2" t="s">
        <v>225</v>
      </c>
      <c r="C484" s="2" t="s">
        <v>315</v>
      </c>
      <c r="D484" s="2" t="s">
        <v>270</v>
      </c>
    </row>
    <row r="485" spans="1:4">
      <c r="A485" s="2" t="s">
        <v>224</v>
      </c>
      <c r="B485" s="2" t="s">
        <v>225</v>
      </c>
      <c r="C485" s="2" t="s">
        <v>316</v>
      </c>
      <c r="D485" s="2" t="s">
        <v>299</v>
      </c>
    </row>
    <row r="486" spans="1:4">
      <c r="A486" s="2" t="s">
        <v>224</v>
      </c>
      <c r="B486" s="2" t="s">
        <v>225</v>
      </c>
      <c r="C486" s="2" t="s">
        <v>317</v>
      </c>
      <c r="D486" s="2" t="s">
        <v>299</v>
      </c>
    </row>
    <row r="487" spans="1:4">
      <c r="A487" s="2" t="s">
        <v>224</v>
      </c>
      <c r="B487" s="2" t="s">
        <v>225</v>
      </c>
      <c r="C487" s="2" t="s">
        <v>318</v>
      </c>
      <c r="D487" s="2" t="s">
        <v>262</v>
      </c>
    </row>
    <row r="488" spans="1:4">
      <c r="A488" s="2" t="s">
        <v>224</v>
      </c>
      <c r="B488" s="2" t="s">
        <v>225</v>
      </c>
      <c r="C488" s="2" t="s">
        <v>319</v>
      </c>
      <c r="D488" s="2" t="s">
        <v>270</v>
      </c>
    </row>
    <row r="489" spans="1:4">
      <c r="A489" s="2" t="s">
        <v>224</v>
      </c>
      <c r="B489" s="2" t="s">
        <v>225</v>
      </c>
      <c r="C489" s="2" t="s">
        <v>320</v>
      </c>
      <c r="D489" s="2" t="s">
        <v>262</v>
      </c>
    </row>
    <row r="490" spans="1:4">
      <c r="A490" s="2" t="s">
        <v>224</v>
      </c>
      <c r="B490" s="2" t="s">
        <v>225</v>
      </c>
      <c r="C490" s="2" t="s">
        <v>321</v>
      </c>
      <c r="D490" s="2" t="s">
        <v>262</v>
      </c>
    </row>
    <row r="491" spans="1:4">
      <c r="A491" s="2" t="s">
        <v>224</v>
      </c>
      <c r="B491" s="2" t="s">
        <v>225</v>
      </c>
      <c r="C491" s="2" t="s">
        <v>322</v>
      </c>
      <c r="D491" s="2" t="s">
        <v>262</v>
      </c>
    </row>
    <row r="492" spans="1:4">
      <c r="A492" s="2" t="s">
        <v>224</v>
      </c>
      <c r="B492" s="2" t="s">
        <v>225</v>
      </c>
      <c r="C492" s="2" t="s">
        <v>323</v>
      </c>
      <c r="D492" s="2" t="s">
        <v>299</v>
      </c>
    </row>
    <row r="493" spans="1:4">
      <c r="A493" s="2" t="s">
        <v>224</v>
      </c>
      <c r="B493" s="2" t="s">
        <v>225</v>
      </c>
      <c r="C493" s="2" t="s">
        <v>324</v>
      </c>
      <c r="D493" s="2" t="s">
        <v>262</v>
      </c>
    </row>
    <row r="494" spans="1:4">
      <c r="A494" s="2" t="s">
        <v>224</v>
      </c>
      <c r="B494" s="2" t="s">
        <v>225</v>
      </c>
      <c r="C494" s="2" t="s">
        <v>325</v>
      </c>
      <c r="D494" s="2" t="s">
        <v>262</v>
      </c>
    </row>
    <row r="495" spans="1:4">
      <c r="A495" s="2" t="s">
        <v>224</v>
      </c>
      <c r="B495" s="2" t="s">
        <v>225</v>
      </c>
      <c r="C495" s="2" t="s">
        <v>326</v>
      </c>
      <c r="D495" s="2" t="s">
        <v>262</v>
      </c>
    </row>
    <row r="496" spans="1:4">
      <c r="A496" s="2" t="s">
        <v>224</v>
      </c>
      <c r="B496" s="2" t="s">
        <v>225</v>
      </c>
      <c r="C496" s="2" t="s">
        <v>327</v>
      </c>
      <c r="D496" s="2" t="s">
        <v>262</v>
      </c>
    </row>
    <row r="497" spans="1:4">
      <c r="A497" s="2" t="s">
        <v>224</v>
      </c>
      <c r="B497" s="2" t="s">
        <v>225</v>
      </c>
      <c r="C497" s="2" t="s">
        <v>328</v>
      </c>
      <c r="D497" s="2" t="s">
        <v>334</v>
      </c>
    </row>
    <row r="498" spans="1:4">
      <c r="A498" s="2" t="s">
        <v>224</v>
      </c>
      <c r="B498" s="2" t="s">
        <v>225</v>
      </c>
      <c r="C498" s="2" t="s">
        <v>329</v>
      </c>
      <c r="D498" s="2" t="s">
        <v>287</v>
      </c>
    </row>
    <row r="499" spans="1:4">
      <c r="A499" s="2" t="s">
        <v>224</v>
      </c>
      <c r="B499" s="2" t="s">
        <v>225</v>
      </c>
      <c r="C499" s="2" t="s">
        <v>330</v>
      </c>
      <c r="D499" s="2" t="s">
        <v>336</v>
      </c>
    </row>
    <row r="500" spans="1:4">
      <c r="A500" s="2" t="s">
        <v>224</v>
      </c>
      <c r="B500" s="2" t="s">
        <v>225</v>
      </c>
      <c r="C500" s="2" t="s">
        <v>331</v>
      </c>
      <c r="D500" s="2" t="s">
        <v>309</v>
      </c>
    </row>
    <row r="501" spans="1:4">
      <c r="A501" s="2" t="s">
        <v>226</v>
      </c>
      <c r="B501" s="2" t="s">
        <v>227</v>
      </c>
      <c r="C501" s="2" t="s">
        <v>245</v>
      </c>
      <c r="D501" s="2" t="s">
        <v>349</v>
      </c>
    </row>
    <row r="502" spans="1:4">
      <c r="A502" s="2" t="s">
        <v>226</v>
      </c>
      <c r="B502" s="2" t="s">
        <v>227</v>
      </c>
      <c r="C502" s="2" t="s">
        <v>247</v>
      </c>
      <c r="D502" s="2" t="s">
        <v>347</v>
      </c>
    </row>
    <row r="503" spans="1:4">
      <c r="A503" s="2" t="s">
        <v>226</v>
      </c>
      <c r="B503" s="2" t="s">
        <v>227</v>
      </c>
      <c r="C503" s="2" t="s">
        <v>249</v>
      </c>
      <c r="D503" s="2" t="s">
        <v>250</v>
      </c>
    </row>
    <row r="504" spans="1:4">
      <c r="A504" s="2" t="s">
        <v>226</v>
      </c>
      <c r="B504" s="2" t="s">
        <v>227</v>
      </c>
      <c r="C504" s="2" t="s">
        <v>251</v>
      </c>
      <c r="D504" s="2" t="s">
        <v>252</v>
      </c>
    </row>
    <row r="505" spans="1:4">
      <c r="A505" s="2" t="s">
        <v>226</v>
      </c>
      <c r="B505" s="2" t="s">
        <v>227</v>
      </c>
      <c r="C505" s="2" t="s">
        <v>253</v>
      </c>
      <c r="D505" s="2" t="s">
        <v>254</v>
      </c>
    </row>
    <row r="506" spans="1:4">
      <c r="A506" s="2" t="s">
        <v>226</v>
      </c>
      <c r="B506" s="2" t="s">
        <v>227</v>
      </c>
      <c r="C506" s="2" t="s">
        <v>255</v>
      </c>
      <c r="D506" s="2" t="s">
        <v>256</v>
      </c>
    </row>
    <row r="507" spans="1:4">
      <c r="A507" s="2" t="s">
        <v>226</v>
      </c>
      <c r="B507" s="2" t="s">
        <v>227</v>
      </c>
      <c r="C507" s="2" t="s">
        <v>257</v>
      </c>
      <c r="D507" s="2" t="s">
        <v>258</v>
      </c>
    </row>
    <row r="508" spans="1:4">
      <c r="A508" s="2" t="s">
        <v>226</v>
      </c>
      <c r="B508" s="2" t="s">
        <v>227</v>
      </c>
      <c r="C508" s="2" t="s">
        <v>259</v>
      </c>
      <c r="D508" s="2" t="s">
        <v>339</v>
      </c>
    </row>
    <row r="509" spans="1:4">
      <c r="A509" s="2" t="s">
        <v>226</v>
      </c>
      <c r="B509" s="2" t="s">
        <v>227</v>
      </c>
      <c r="C509" s="2" t="s">
        <v>261</v>
      </c>
      <c r="D509" s="2" t="s">
        <v>345</v>
      </c>
    </row>
    <row r="510" spans="1:4">
      <c r="A510" s="2" t="s">
        <v>226</v>
      </c>
      <c r="B510" s="2" t="s">
        <v>227</v>
      </c>
      <c r="C510" s="2" t="s">
        <v>263</v>
      </c>
      <c r="D510" s="2" t="s">
        <v>277</v>
      </c>
    </row>
    <row r="511" spans="1:4">
      <c r="A511" s="2" t="s">
        <v>226</v>
      </c>
      <c r="B511" s="2" t="s">
        <v>227</v>
      </c>
      <c r="C511" s="2" t="s">
        <v>264</v>
      </c>
      <c r="D511" s="2" t="s">
        <v>262</v>
      </c>
    </row>
    <row r="512" spans="1:4">
      <c r="A512" s="2" t="s">
        <v>226</v>
      </c>
      <c r="B512" s="2" t="s">
        <v>227</v>
      </c>
      <c r="C512" s="2" t="s">
        <v>265</v>
      </c>
      <c r="D512" s="2" t="s">
        <v>266</v>
      </c>
    </row>
    <row r="513" spans="1:4">
      <c r="A513" s="2" t="s">
        <v>226</v>
      </c>
      <c r="B513" s="2" t="s">
        <v>227</v>
      </c>
      <c r="C513" s="2" t="s">
        <v>267</v>
      </c>
      <c r="D513" s="2" t="s">
        <v>268</v>
      </c>
    </row>
    <row r="514" spans="1:4">
      <c r="A514" s="2" t="s">
        <v>226</v>
      </c>
      <c r="B514" s="2" t="s">
        <v>227</v>
      </c>
      <c r="C514" s="2" t="s">
        <v>269</v>
      </c>
      <c r="D514" s="2" t="s">
        <v>270</v>
      </c>
    </row>
    <row r="515" spans="1:4">
      <c r="A515" s="2" t="s">
        <v>226</v>
      </c>
      <c r="B515" s="2" t="s">
        <v>227</v>
      </c>
      <c r="C515" s="2" t="s">
        <v>271</v>
      </c>
      <c r="D515" s="2" t="s">
        <v>274</v>
      </c>
    </row>
    <row r="516" spans="1:4">
      <c r="A516" s="2" t="s">
        <v>226</v>
      </c>
      <c r="B516" s="2" t="s">
        <v>227</v>
      </c>
      <c r="C516" s="2" t="s">
        <v>273</v>
      </c>
      <c r="D516" s="2" t="s">
        <v>281</v>
      </c>
    </row>
    <row r="517" spans="1:4">
      <c r="A517" s="2" t="s">
        <v>226</v>
      </c>
      <c r="B517" s="2" t="s">
        <v>227</v>
      </c>
      <c r="C517" s="2" t="s">
        <v>275</v>
      </c>
      <c r="D517" s="2" t="s">
        <v>350</v>
      </c>
    </row>
    <row r="518" spans="1:4">
      <c r="A518" s="2" t="s">
        <v>226</v>
      </c>
      <c r="B518" s="2" t="s">
        <v>227</v>
      </c>
      <c r="C518" s="2" t="s">
        <v>276</v>
      </c>
      <c r="D518" s="2" t="s">
        <v>277</v>
      </c>
    </row>
    <row r="519" spans="1:4">
      <c r="A519" s="2" t="s">
        <v>226</v>
      </c>
      <c r="B519" s="2" t="s">
        <v>227</v>
      </c>
      <c r="C519" s="2" t="s">
        <v>278</v>
      </c>
      <c r="D519" s="2" t="s">
        <v>279</v>
      </c>
    </row>
    <row r="520" spans="1:4">
      <c r="A520" s="2" t="s">
        <v>226</v>
      </c>
      <c r="B520" s="2" t="s">
        <v>227</v>
      </c>
      <c r="C520" s="2" t="s">
        <v>280</v>
      </c>
      <c r="D520" s="2" t="s">
        <v>281</v>
      </c>
    </row>
    <row r="521" spans="1:4">
      <c r="A521" s="2" t="s">
        <v>226</v>
      </c>
      <c r="B521" s="2" t="s">
        <v>227</v>
      </c>
      <c r="C521" s="2" t="s">
        <v>282</v>
      </c>
      <c r="D521" s="2" t="s">
        <v>283</v>
      </c>
    </row>
    <row r="522" spans="1:4">
      <c r="A522" s="2" t="s">
        <v>226</v>
      </c>
      <c r="B522" s="2" t="s">
        <v>227</v>
      </c>
      <c r="C522" s="2" t="s">
        <v>284</v>
      </c>
      <c r="D522" s="2" t="s">
        <v>285</v>
      </c>
    </row>
    <row r="523" spans="1:4">
      <c r="A523" s="2" t="s">
        <v>226</v>
      </c>
      <c r="B523" s="2" t="s">
        <v>227</v>
      </c>
      <c r="C523" s="2" t="s">
        <v>286</v>
      </c>
      <c r="D523" s="2" t="s">
        <v>287</v>
      </c>
    </row>
    <row r="524" spans="1:4">
      <c r="A524" s="2" t="s">
        <v>226</v>
      </c>
      <c r="B524" s="2" t="s">
        <v>227</v>
      </c>
      <c r="C524" s="2" t="s">
        <v>288</v>
      </c>
      <c r="D524" s="2" t="s">
        <v>289</v>
      </c>
    </row>
    <row r="525" spans="1:4">
      <c r="A525" s="2" t="s">
        <v>226</v>
      </c>
      <c r="B525" s="2" t="s">
        <v>227</v>
      </c>
      <c r="C525" s="2" t="s">
        <v>290</v>
      </c>
      <c r="D525" s="2" t="s">
        <v>262</v>
      </c>
    </row>
    <row r="526" spans="1:4">
      <c r="A526" s="2" t="s">
        <v>226</v>
      </c>
      <c r="B526" s="2" t="s">
        <v>227</v>
      </c>
      <c r="C526" s="2" t="s">
        <v>291</v>
      </c>
      <c r="D526" s="2" t="s">
        <v>256</v>
      </c>
    </row>
    <row r="527" spans="1:4">
      <c r="A527" s="2" t="s">
        <v>226</v>
      </c>
      <c r="B527" s="2" t="s">
        <v>227</v>
      </c>
      <c r="C527" s="2" t="s">
        <v>292</v>
      </c>
      <c r="D527" s="2" t="s">
        <v>270</v>
      </c>
    </row>
    <row r="528" spans="1:4">
      <c r="A528" s="2" t="s">
        <v>226</v>
      </c>
      <c r="B528" s="2" t="s">
        <v>227</v>
      </c>
      <c r="C528" s="2" t="s">
        <v>293</v>
      </c>
      <c r="D528" s="2" t="s">
        <v>294</v>
      </c>
    </row>
    <row r="529" spans="1:4">
      <c r="A529" s="2" t="s">
        <v>226</v>
      </c>
      <c r="B529" s="2" t="s">
        <v>227</v>
      </c>
      <c r="C529" s="2" t="s">
        <v>295</v>
      </c>
      <c r="D529" s="2" t="s">
        <v>296</v>
      </c>
    </row>
    <row r="530" spans="1:4">
      <c r="A530" s="2" t="s">
        <v>226</v>
      </c>
      <c r="B530" s="2" t="s">
        <v>227</v>
      </c>
      <c r="C530" s="2" t="s">
        <v>297</v>
      </c>
      <c r="D530" s="2" t="s">
        <v>256</v>
      </c>
    </row>
    <row r="531" spans="1:4">
      <c r="A531" s="2" t="s">
        <v>226</v>
      </c>
      <c r="B531" s="2" t="s">
        <v>227</v>
      </c>
      <c r="C531" s="2" t="s">
        <v>298</v>
      </c>
      <c r="D531" s="2" t="s">
        <v>299</v>
      </c>
    </row>
    <row r="532" spans="1:4">
      <c r="A532" s="2" t="s">
        <v>226</v>
      </c>
      <c r="B532" s="2" t="s">
        <v>227</v>
      </c>
      <c r="C532" s="2" t="s">
        <v>300</v>
      </c>
      <c r="D532" s="2" t="s">
        <v>299</v>
      </c>
    </row>
    <row r="533" spans="1:4">
      <c r="A533" s="2" t="s">
        <v>226</v>
      </c>
      <c r="B533" s="2" t="s">
        <v>227</v>
      </c>
      <c r="C533" s="2" t="s">
        <v>301</v>
      </c>
      <c r="D533" s="2" t="s">
        <v>270</v>
      </c>
    </row>
    <row r="534" spans="1:4">
      <c r="A534" s="2" t="s">
        <v>226</v>
      </c>
      <c r="B534" s="2" t="s">
        <v>227</v>
      </c>
      <c r="C534" s="2" t="s">
        <v>302</v>
      </c>
      <c r="D534" s="2" t="s">
        <v>299</v>
      </c>
    </row>
    <row r="535" spans="1:4">
      <c r="A535" s="2" t="s">
        <v>226</v>
      </c>
      <c r="B535" s="2" t="s">
        <v>227</v>
      </c>
      <c r="C535" s="2" t="s">
        <v>303</v>
      </c>
      <c r="D535" s="2" t="s">
        <v>258</v>
      </c>
    </row>
    <row r="536" spans="1:4">
      <c r="A536" s="2" t="s">
        <v>226</v>
      </c>
      <c r="B536" s="2" t="s">
        <v>227</v>
      </c>
      <c r="C536" s="2" t="s">
        <v>304</v>
      </c>
      <c r="D536" s="2" t="s">
        <v>262</v>
      </c>
    </row>
    <row r="537" spans="1:4">
      <c r="A537" s="2" t="s">
        <v>226</v>
      </c>
      <c r="B537" s="2" t="s">
        <v>227</v>
      </c>
      <c r="C537" s="2" t="s">
        <v>305</v>
      </c>
      <c r="D537" s="2" t="s">
        <v>262</v>
      </c>
    </row>
    <row r="538" spans="1:4">
      <c r="A538" s="2" t="s">
        <v>226</v>
      </c>
      <c r="B538" s="2" t="s">
        <v>227</v>
      </c>
      <c r="C538" s="2" t="s">
        <v>306</v>
      </c>
      <c r="D538" s="2" t="s">
        <v>256</v>
      </c>
    </row>
    <row r="539" spans="1:4">
      <c r="A539" s="2" t="s">
        <v>226</v>
      </c>
      <c r="B539" s="2" t="s">
        <v>227</v>
      </c>
      <c r="C539" s="2" t="s">
        <v>307</v>
      </c>
      <c r="D539" s="2" t="s">
        <v>299</v>
      </c>
    </row>
    <row r="540" spans="1:4">
      <c r="A540" s="2" t="s">
        <v>226</v>
      </c>
      <c r="B540" s="2" t="s">
        <v>227</v>
      </c>
      <c r="C540" s="2" t="s">
        <v>308</v>
      </c>
      <c r="D540" s="2" t="s">
        <v>309</v>
      </c>
    </row>
    <row r="541" spans="1:4">
      <c r="A541" s="2" t="s">
        <v>226</v>
      </c>
      <c r="B541" s="2" t="s">
        <v>227</v>
      </c>
      <c r="C541" s="2" t="s">
        <v>310</v>
      </c>
      <c r="D541" s="2" t="s">
        <v>309</v>
      </c>
    </row>
    <row r="542" spans="1:4">
      <c r="A542" s="2" t="s">
        <v>226</v>
      </c>
      <c r="B542" s="2" t="s">
        <v>227</v>
      </c>
      <c r="C542" s="2" t="s">
        <v>311</v>
      </c>
      <c r="D542" s="2" t="s">
        <v>270</v>
      </c>
    </row>
    <row r="543" spans="1:4">
      <c r="A543" s="2" t="s">
        <v>226</v>
      </c>
      <c r="B543" s="2" t="s">
        <v>227</v>
      </c>
      <c r="C543" s="2" t="s">
        <v>312</v>
      </c>
      <c r="D543" s="2" t="s">
        <v>335</v>
      </c>
    </row>
    <row r="544" spans="1:4">
      <c r="A544" s="2" t="s">
        <v>226</v>
      </c>
      <c r="B544" s="2" t="s">
        <v>227</v>
      </c>
      <c r="C544" s="2" t="s">
        <v>313</v>
      </c>
      <c r="D544" s="2" t="s">
        <v>299</v>
      </c>
    </row>
    <row r="545" spans="1:4">
      <c r="A545" s="2" t="s">
        <v>226</v>
      </c>
      <c r="B545" s="2" t="s">
        <v>227</v>
      </c>
      <c r="C545" s="2" t="s">
        <v>314</v>
      </c>
      <c r="D545" s="2" t="s">
        <v>309</v>
      </c>
    </row>
    <row r="546" spans="1:4">
      <c r="A546" s="2" t="s">
        <v>226</v>
      </c>
      <c r="B546" s="2" t="s">
        <v>227</v>
      </c>
      <c r="C546" s="2" t="s">
        <v>315</v>
      </c>
      <c r="D546" s="2" t="s">
        <v>270</v>
      </c>
    </row>
    <row r="547" spans="1:4">
      <c r="A547" s="2" t="s">
        <v>226</v>
      </c>
      <c r="B547" s="2" t="s">
        <v>227</v>
      </c>
      <c r="C547" s="2" t="s">
        <v>316</v>
      </c>
      <c r="D547" s="2" t="s">
        <v>299</v>
      </c>
    </row>
    <row r="548" spans="1:4">
      <c r="A548" s="2" t="s">
        <v>226</v>
      </c>
      <c r="B548" s="2" t="s">
        <v>227</v>
      </c>
      <c r="C548" s="2" t="s">
        <v>317</v>
      </c>
      <c r="D548" s="2" t="s">
        <v>299</v>
      </c>
    </row>
    <row r="549" spans="1:4">
      <c r="A549" s="2" t="s">
        <v>226</v>
      </c>
      <c r="B549" s="2" t="s">
        <v>227</v>
      </c>
      <c r="C549" s="2" t="s">
        <v>318</v>
      </c>
      <c r="D549" s="2" t="s">
        <v>262</v>
      </c>
    </row>
    <row r="550" spans="1:4">
      <c r="A550" s="2" t="s">
        <v>226</v>
      </c>
      <c r="B550" s="2" t="s">
        <v>227</v>
      </c>
      <c r="C550" s="2" t="s">
        <v>319</v>
      </c>
      <c r="D550" s="2" t="s">
        <v>270</v>
      </c>
    </row>
    <row r="551" spans="1:4">
      <c r="A551" s="2" t="s">
        <v>226</v>
      </c>
      <c r="B551" s="2" t="s">
        <v>227</v>
      </c>
      <c r="C551" s="2" t="s">
        <v>320</v>
      </c>
      <c r="D551" s="2" t="s">
        <v>262</v>
      </c>
    </row>
    <row r="552" spans="1:4">
      <c r="A552" s="2" t="s">
        <v>226</v>
      </c>
      <c r="B552" s="2" t="s">
        <v>227</v>
      </c>
      <c r="C552" s="2" t="s">
        <v>321</v>
      </c>
      <c r="D552" s="2" t="s">
        <v>262</v>
      </c>
    </row>
    <row r="553" spans="1:4">
      <c r="A553" s="2" t="s">
        <v>226</v>
      </c>
      <c r="B553" s="2" t="s">
        <v>227</v>
      </c>
      <c r="C553" s="2" t="s">
        <v>322</v>
      </c>
      <c r="D553" s="2" t="s">
        <v>262</v>
      </c>
    </row>
    <row r="554" spans="1:4">
      <c r="A554" s="2" t="s">
        <v>226</v>
      </c>
      <c r="B554" s="2" t="s">
        <v>227</v>
      </c>
      <c r="C554" s="2" t="s">
        <v>323</v>
      </c>
      <c r="D554" s="2" t="s">
        <v>299</v>
      </c>
    </row>
    <row r="555" spans="1:4">
      <c r="A555" s="2" t="s">
        <v>226</v>
      </c>
      <c r="B555" s="2" t="s">
        <v>227</v>
      </c>
      <c r="C555" s="2" t="s">
        <v>324</v>
      </c>
      <c r="D555" s="2" t="s">
        <v>262</v>
      </c>
    </row>
    <row r="556" spans="1:4">
      <c r="A556" s="2" t="s">
        <v>226</v>
      </c>
      <c r="B556" s="2" t="s">
        <v>227</v>
      </c>
      <c r="C556" s="2" t="s">
        <v>325</v>
      </c>
      <c r="D556" s="2" t="s">
        <v>262</v>
      </c>
    </row>
    <row r="557" spans="1:4">
      <c r="A557" s="2" t="s">
        <v>226</v>
      </c>
      <c r="B557" s="2" t="s">
        <v>227</v>
      </c>
      <c r="C557" s="2" t="s">
        <v>326</v>
      </c>
      <c r="D557" s="2" t="s">
        <v>262</v>
      </c>
    </row>
    <row r="558" spans="1:4">
      <c r="A558" s="2" t="s">
        <v>226</v>
      </c>
      <c r="B558" s="2" t="s">
        <v>227</v>
      </c>
      <c r="C558" s="2" t="s">
        <v>327</v>
      </c>
      <c r="D558" s="2" t="s">
        <v>262</v>
      </c>
    </row>
    <row r="559" spans="1:4">
      <c r="A559" s="2" t="s">
        <v>226</v>
      </c>
      <c r="B559" s="2" t="s">
        <v>227</v>
      </c>
      <c r="C559" s="2" t="s">
        <v>328</v>
      </c>
      <c r="D559" s="2" t="s">
        <v>334</v>
      </c>
    </row>
    <row r="560" spans="1:4">
      <c r="A560" s="2" t="s">
        <v>226</v>
      </c>
      <c r="B560" s="2" t="s">
        <v>227</v>
      </c>
      <c r="C560" s="2" t="s">
        <v>329</v>
      </c>
      <c r="D560" s="2" t="s">
        <v>287</v>
      </c>
    </row>
    <row r="561" spans="1:4">
      <c r="A561" s="2" t="s">
        <v>226</v>
      </c>
      <c r="B561" s="2" t="s">
        <v>227</v>
      </c>
      <c r="C561" s="2" t="s">
        <v>330</v>
      </c>
      <c r="D561" s="2" t="s">
        <v>336</v>
      </c>
    </row>
    <row r="562" spans="1:4">
      <c r="A562" s="2" t="s">
        <v>226</v>
      </c>
      <c r="B562" s="2" t="s">
        <v>227</v>
      </c>
      <c r="C562" s="2" t="s">
        <v>331</v>
      </c>
      <c r="D562" s="2" t="s">
        <v>309</v>
      </c>
    </row>
    <row r="563" spans="1:4">
      <c r="A563" s="2" t="s">
        <v>228</v>
      </c>
      <c r="B563" s="2" t="s">
        <v>229</v>
      </c>
      <c r="C563" s="2" t="s">
        <v>245</v>
      </c>
      <c r="D563" s="2" t="s">
        <v>351</v>
      </c>
    </row>
    <row r="564" spans="1:4">
      <c r="A564" s="2" t="s">
        <v>228</v>
      </c>
      <c r="B564" s="2" t="s">
        <v>229</v>
      </c>
      <c r="C564" s="2" t="s">
        <v>247</v>
      </c>
      <c r="D564" s="2" t="s">
        <v>248</v>
      </c>
    </row>
    <row r="565" spans="1:4">
      <c r="A565" s="2" t="s">
        <v>228</v>
      </c>
      <c r="B565" s="2" t="s">
        <v>229</v>
      </c>
      <c r="C565" s="2" t="s">
        <v>249</v>
      </c>
      <c r="D565" s="2" t="s">
        <v>250</v>
      </c>
    </row>
    <row r="566" spans="1:4">
      <c r="A566" s="2" t="s">
        <v>228</v>
      </c>
      <c r="B566" s="2" t="s">
        <v>229</v>
      </c>
      <c r="C566" s="2" t="s">
        <v>251</v>
      </c>
      <c r="D566" s="2" t="s">
        <v>252</v>
      </c>
    </row>
    <row r="567" spans="1:4">
      <c r="A567" s="2" t="s">
        <v>228</v>
      </c>
      <c r="B567" s="2" t="s">
        <v>229</v>
      </c>
      <c r="C567" s="2" t="s">
        <v>253</v>
      </c>
      <c r="D567" s="2" t="s">
        <v>254</v>
      </c>
    </row>
    <row r="568" spans="1:4">
      <c r="A568" s="2" t="s">
        <v>228</v>
      </c>
      <c r="B568" s="2" t="s">
        <v>229</v>
      </c>
      <c r="C568" s="2" t="s">
        <v>255</v>
      </c>
      <c r="D568" s="2" t="s">
        <v>256</v>
      </c>
    </row>
    <row r="569" spans="1:4">
      <c r="A569" s="2" t="s">
        <v>228</v>
      </c>
      <c r="B569" s="2" t="s">
        <v>229</v>
      </c>
      <c r="C569" s="2" t="s">
        <v>257</v>
      </c>
      <c r="D569" s="2" t="s">
        <v>270</v>
      </c>
    </row>
    <row r="570" spans="1:4">
      <c r="A570" s="2" t="s">
        <v>228</v>
      </c>
      <c r="B570" s="2" t="s">
        <v>229</v>
      </c>
      <c r="C570" s="2" t="s">
        <v>259</v>
      </c>
      <c r="D570" s="2" t="s">
        <v>260</v>
      </c>
    </row>
    <row r="571" spans="1:4">
      <c r="A571" s="2" t="s">
        <v>228</v>
      </c>
      <c r="B571" s="2" t="s">
        <v>229</v>
      </c>
      <c r="C571" s="2" t="s">
        <v>261</v>
      </c>
      <c r="D571" s="2" t="s">
        <v>262</v>
      </c>
    </row>
    <row r="572" spans="1:4">
      <c r="A572" s="2" t="s">
        <v>228</v>
      </c>
      <c r="B572" s="2" t="s">
        <v>229</v>
      </c>
      <c r="C572" s="2" t="s">
        <v>263</v>
      </c>
      <c r="D572" s="2" t="s">
        <v>262</v>
      </c>
    </row>
    <row r="573" spans="1:4">
      <c r="A573" s="2" t="s">
        <v>228</v>
      </c>
      <c r="B573" s="2" t="s">
        <v>229</v>
      </c>
      <c r="C573" s="2" t="s">
        <v>264</v>
      </c>
      <c r="D573" s="2" t="s">
        <v>262</v>
      </c>
    </row>
    <row r="574" spans="1:4">
      <c r="A574" s="2" t="s">
        <v>228</v>
      </c>
      <c r="B574" s="2" t="s">
        <v>229</v>
      </c>
      <c r="C574" s="2" t="s">
        <v>265</v>
      </c>
      <c r="D574" s="2" t="s">
        <v>266</v>
      </c>
    </row>
    <row r="575" spans="1:4">
      <c r="A575" s="2" t="s">
        <v>228</v>
      </c>
      <c r="B575" s="2" t="s">
        <v>229</v>
      </c>
      <c r="C575" s="2" t="s">
        <v>267</v>
      </c>
      <c r="D575" s="2" t="s">
        <v>268</v>
      </c>
    </row>
    <row r="576" spans="1:4">
      <c r="A576" s="2" t="s">
        <v>228</v>
      </c>
      <c r="B576" s="2" t="s">
        <v>229</v>
      </c>
      <c r="C576" s="2" t="s">
        <v>269</v>
      </c>
      <c r="D576" s="2" t="s">
        <v>270</v>
      </c>
    </row>
    <row r="577" spans="1:4">
      <c r="A577" s="2" t="s">
        <v>228</v>
      </c>
      <c r="B577" s="2" t="s">
        <v>229</v>
      </c>
      <c r="C577" s="2" t="s">
        <v>271</v>
      </c>
      <c r="D577" s="2" t="s">
        <v>272</v>
      </c>
    </row>
    <row r="578" spans="1:4">
      <c r="A578" s="2" t="s">
        <v>228</v>
      </c>
      <c r="B578" s="2" t="s">
        <v>229</v>
      </c>
      <c r="C578" s="2" t="s">
        <v>273</v>
      </c>
      <c r="D578" s="2" t="s">
        <v>274</v>
      </c>
    </row>
    <row r="579" spans="1:4">
      <c r="A579" s="2" t="s">
        <v>228</v>
      </c>
      <c r="B579" s="2" t="s">
        <v>229</v>
      </c>
      <c r="C579" s="2" t="s">
        <v>275</v>
      </c>
      <c r="D579" s="2" t="s">
        <v>262</v>
      </c>
    </row>
    <row r="580" spans="1:4">
      <c r="A580" s="2" t="s">
        <v>228</v>
      </c>
      <c r="B580" s="2" t="s">
        <v>229</v>
      </c>
      <c r="C580" s="2" t="s">
        <v>276</v>
      </c>
      <c r="D580" s="2" t="s">
        <v>277</v>
      </c>
    </row>
    <row r="581" spans="1:4">
      <c r="A581" s="2" t="s">
        <v>228</v>
      </c>
      <c r="B581" s="2" t="s">
        <v>229</v>
      </c>
      <c r="C581" s="2" t="s">
        <v>278</v>
      </c>
      <c r="D581" s="2" t="s">
        <v>279</v>
      </c>
    </row>
    <row r="582" spans="1:4">
      <c r="A582" s="2" t="s">
        <v>228</v>
      </c>
      <c r="B582" s="2" t="s">
        <v>229</v>
      </c>
      <c r="C582" s="2" t="s">
        <v>280</v>
      </c>
      <c r="D582" s="2" t="s">
        <v>281</v>
      </c>
    </row>
    <row r="583" spans="1:4">
      <c r="A583" s="2" t="s">
        <v>228</v>
      </c>
      <c r="B583" s="2" t="s">
        <v>229</v>
      </c>
      <c r="C583" s="2" t="s">
        <v>282</v>
      </c>
      <c r="D583" s="2" t="s">
        <v>283</v>
      </c>
    </row>
    <row r="584" spans="1:4">
      <c r="A584" s="2" t="s">
        <v>228</v>
      </c>
      <c r="B584" s="2" t="s">
        <v>229</v>
      </c>
      <c r="C584" s="2" t="s">
        <v>284</v>
      </c>
      <c r="D584" s="2" t="s">
        <v>285</v>
      </c>
    </row>
    <row r="585" spans="1:4">
      <c r="A585" s="2" t="s">
        <v>228</v>
      </c>
      <c r="B585" s="2" t="s">
        <v>229</v>
      </c>
      <c r="C585" s="2" t="s">
        <v>286</v>
      </c>
      <c r="D585" s="2" t="s">
        <v>287</v>
      </c>
    </row>
    <row r="586" spans="1:4">
      <c r="A586" s="2" t="s">
        <v>228</v>
      </c>
      <c r="B586" s="2" t="s">
        <v>229</v>
      </c>
      <c r="C586" s="2" t="s">
        <v>288</v>
      </c>
      <c r="D586" s="2" t="s">
        <v>289</v>
      </c>
    </row>
    <row r="587" spans="1:4">
      <c r="A587" s="2" t="s">
        <v>228</v>
      </c>
      <c r="B587" s="2" t="s">
        <v>229</v>
      </c>
      <c r="C587" s="2" t="s">
        <v>290</v>
      </c>
      <c r="D587" s="2" t="s">
        <v>262</v>
      </c>
    </row>
    <row r="588" spans="1:4">
      <c r="A588" s="2" t="s">
        <v>228</v>
      </c>
      <c r="B588" s="2" t="s">
        <v>229</v>
      </c>
      <c r="C588" s="2" t="s">
        <v>291</v>
      </c>
      <c r="D588" s="2" t="s">
        <v>256</v>
      </c>
    </row>
    <row r="589" spans="1:4">
      <c r="A589" s="2" t="s">
        <v>228</v>
      </c>
      <c r="B589" s="2" t="s">
        <v>229</v>
      </c>
      <c r="C589" s="2" t="s">
        <v>292</v>
      </c>
      <c r="D589" s="2" t="s">
        <v>270</v>
      </c>
    </row>
    <row r="590" spans="1:4">
      <c r="A590" s="2" t="s">
        <v>228</v>
      </c>
      <c r="B590" s="2" t="s">
        <v>229</v>
      </c>
      <c r="C590" s="2" t="s">
        <v>293</v>
      </c>
      <c r="D590" s="2" t="s">
        <v>294</v>
      </c>
    </row>
    <row r="591" spans="1:4">
      <c r="A591" s="2" t="s">
        <v>228</v>
      </c>
      <c r="B591" s="2" t="s">
        <v>229</v>
      </c>
      <c r="C591" s="2" t="s">
        <v>295</v>
      </c>
      <c r="D591" s="2" t="s">
        <v>296</v>
      </c>
    </row>
    <row r="592" spans="1:4">
      <c r="A592" s="2" t="s">
        <v>228</v>
      </c>
      <c r="B592" s="2" t="s">
        <v>229</v>
      </c>
      <c r="C592" s="2" t="s">
        <v>297</v>
      </c>
      <c r="D592" s="2" t="s">
        <v>333</v>
      </c>
    </row>
    <row r="593" spans="1:4">
      <c r="A593" s="2" t="s">
        <v>228</v>
      </c>
      <c r="B593" s="2" t="s">
        <v>229</v>
      </c>
      <c r="C593" s="2" t="s">
        <v>298</v>
      </c>
      <c r="D593" s="2" t="s">
        <v>299</v>
      </c>
    </row>
    <row r="594" spans="1:4">
      <c r="A594" s="2" t="s">
        <v>228</v>
      </c>
      <c r="B594" s="2" t="s">
        <v>229</v>
      </c>
      <c r="C594" s="2" t="s">
        <v>300</v>
      </c>
      <c r="D594" s="2" t="s">
        <v>299</v>
      </c>
    </row>
    <row r="595" spans="1:4">
      <c r="A595" s="2" t="s">
        <v>228</v>
      </c>
      <c r="B595" s="2" t="s">
        <v>229</v>
      </c>
      <c r="C595" s="2" t="s">
        <v>301</v>
      </c>
      <c r="D595" s="2" t="s">
        <v>270</v>
      </c>
    </row>
    <row r="596" spans="1:4">
      <c r="A596" s="2" t="s">
        <v>228</v>
      </c>
      <c r="B596" s="2" t="s">
        <v>229</v>
      </c>
      <c r="C596" s="2" t="s">
        <v>302</v>
      </c>
      <c r="D596" s="2" t="s">
        <v>299</v>
      </c>
    </row>
    <row r="597" spans="1:4">
      <c r="A597" s="2" t="s">
        <v>228</v>
      </c>
      <c r="B597" s="2" t="s">
        <v>229</v>
      </c>
      <c r="C597" s="2" t="s">
        <v>303</v>
      </c>
      <c r="D597" s="2" t="s">
        <v>270</v>
      </c>
    </row>
    <row r="598" spans="1:4">
      <c r="A598" s="2" t="s">
        <v>228</v>
      </c>
      <c r="B598" s="2" t="s">
        <v>229</v>
      </c>
      <c r="C598" s="2" t="s">
        <v>304</v>
      </c>
      <c r="D598" s="2" t="s">
        <v>262</v>
      </c>
    </row>
    <row r="599" spans="1:4">
      <c r="A599" s="2" t="s">
        <v>228</v>
      </c>
      <c r="B599" s="2" t="s">
        <v>229</v>
      </c>
      <c r="C599" s="2" t="s">
        <v>305</v>
      </c>
      <c r="D599" s="2" t="s">
        <v>262</v>
      </c>
    </row>
    <row r="600" spans="1:4">
      <c r="A600" s="2" t="s">
        <v>228</v>
      </c>
      <c r="B600" s="2" t="s">
        <v>229</v>
      </c>
      <c r="C600" s="2" t="s">
        <v>306</v>
      </c>
      <c r="D600" s="2" t="s">
        <v>256</v>
      </c>
    </row>
    <row r="601" spans="1:4">
      <c r="A601" s="2" t="s">
        <v>228</v>
      </c>
      <c r="B601" s="2" t="s">
        <v>229</v>
      </c>
      <c r="C601" s="2" t="s">
        <v>307</v>
      </c>
      <c r="D601" s="2" t="s">
        <v>299</v>
      </c>
    </row>
    <row r="602" spans="1:4">
      <c r="A602" s="2" t="s">
        <v>228</v>
      </c>
      <c r="B602" s="2" t="s">
        <v>229</v>
      </c>
      <c r="C602" s="2" t="s">
        <v>308</v>
      </c>
      <c r="D602" s="2" t="s">
        <v>309</v>
      </c>
    </row>
    <row r="603" spans="1:4">
      <c r="A603" s="2" t="s">
        <v>228</v>
      </c>
      <c r="B603" s="2" t="s">
        <v>229</v>
      </c>
      <c r="C603" s="2" t="s">
        <v>310</v>
      </c>
      <c r="D603" s="2" t="s">
        <v>309</v>
      </c>
    </row>
    <row r="604" spans="1:4">
      <c r="A604" s="2" t="s">
        <v>228</v>
      </c>
      <c r="B604" s="2" t="s">
        <v>229</v>
      </c>
      <c r="C604" s="2" t="s">
        <v>311</v>
      </c>
      <c r="D604" s="2" t="s">
        <v>270</v>
      </c>
    </row>
    <row r="605" spans="1:4">
      <c r="A605" s="2" t="s">
        <v>228</v>
      </c>
      <c r="B605" s="2" t="s">
        <v>229</v>
      </c>
      <c r="C605" s="2" t="s">
        <v>312</v>
      </c>
      <c r="D605" s="2" t="s">
        <v>299</v>
      </c>
    </row>
    <row r="606" spans="1:4">
      <c r="A606" s="2" t="s">
        <v>228</v>
      </c>
      <c r="B606" s="2" t="s">
        <v>229</v>
      </c>
      <c r="C606" s="2" t="s">
        <v>313</v>
      </c>
      <c r="D606" s="2" t="s">
        <v>299</v>
      </c>
    </row>
    <row r="607" spans="1:4">
      <c r="A607" s="2" t="s">
        <v>228</v>
      </c>
      <c r="B607" s="2" t="s">
        <v>229</v>
      </c>
      <c r="C607" s="2" t="s">
        <v>314</v>
      </c>
      <c r="D607" s="2" t="s">
        <v>309</v>
      </c>
    </row>
    <row r="608" spans="1:4">
      <c r="A608" s="2" t="s">
        <v>228</v>
      </c>
      <c r="B608" s="2" t="s">
        <v>229</v>
      </c>
      <c r="C608" s="2" t="s">
        <v>315</v>
      </c>
      <c r="D608" s="2" t="s">
        <v>270</v>
      </c>
    </row>
    <row r="609" spans="1:4">
      <c r="A609" s="2" t="s">
        <v>228</v>
      </c>
      <c r="B609" s="2" t="s">
        <v>229</v>
      </c>
      <c r="C609" s="2" t="s">
        <v>316</v>
      </c>
      <c r="D609" s="2" t="s">
        <v>299</v>
      </c>
    </row>
    <row r="610" spans="1:4">
      <c r="A610" s="2" t="s">
        <v>228</v>
      </c>
      <c r="B610" s="2" t="s">
        <v>229</v>
      </c>
      <c r="C610" s="2" t="s">
        <v>317</v>
      </c>
      <c r="D610" s="2" t="s">
        <v>299</v>
      </c>
    </row>
    <row r="611" spans="1:4">
      <c r="A611" s="2" t="s">
        <v>228</v>
      </c>
      <c r="B611" s="2" t="s">
        <v>229</v>
      </c>
      <c r="C611" s="2" t="s">
        <v>318</v>
      </c>
      <c r="D611" s="2" t="s">
        <v>262</v>
      </c>
    </row>
    <row r="612" spans="1:4">
      <c r="A612" s="2" t="s">
        <v>228</v>
      </c>
      <c r="B612" s="2" t="s">
        <v>229</v>
      </c>
      <c r="C612" s="2" t="s">
        <v>319</v>
      </c>
      <c r="D612" s="2" t="s">
        <v>270</v>
      </c>
    </row>
    <row r="613" spans="1:4">
      <c r="A613" s="2" t="s">
        <v>228</v>
      </c>
      <c r="B613" s="2" t="s">
        <v>229</v>
      </c>
      <c r="C613" s="2" t="s">
        <v>320</v>
      </c>
      <c r="D613" s="2" t="s">
        <v>262</v>
      </c>
    </row>
    <row r="614" spans="1:4">
      <c r="A614" s="2" t="s">
        <v>228</v>
      </c>
      <c r="B614" s="2" t="s">
        <v>229</v>
      </c>
      <c r="C614" s="2" t="s">
        <v>321</v>
      </c>
      <c r="D614" s="2" t="s">
        <v>262</v>
      </c>
    </row>
    <row r="615" spans="1:4">
      <c r="A615" s="2" t="s">
        <v>228</v>
      </c>
      <c r="B615" s="2" t="s">
        <v>229</v>
      </c>
      <c r="C615" s="2" t="s">
        <v>322</v>
      </c>
      <c r="D615" s="2" t="s">
        <v>262</v>
      </c>
    </row>
    <row r="616" spans="1:4">
      <c r="A616" s="2" t="s">
        <v>228</v>
      </c>
      <c r="B616" s="2" t="s">
        <v>229</v>
      </c>
      <c r="C616" s="2" t="s">
        <v>323</v>
      </c>
      <c r="D616" s="2" t="s">
        <v>299</v>
      </c>
    </row>
    <row r="617" spans="1:4">
      <c r="A617" s="2" t="s">
        <v>228</v>
      </c>
      <c r="B617" s="2" t="s">
        <v>229</v>
      </c>
      <c r="C617" s="2" t="s">
        <v>324</v>
      </c>
      <c r="D617" s="2" t="s">
        <v>262</v>
      </c>
    </row>
    <row r="618" spans="1:4">
      <c r="A618" s="2" t="s">
        <v>228</v>
      </c>
      <c r="B618" s="2" t="s">
        <v>229</v>
      </c>
      <c r="C618" s="2" t="s">
        <v>325</v>
      </c>
      <c r="D618" s="2" t="s">
        <v>262</v>
      </c>
    </row>
    <row r="619" spans="1:4">
      <c r="A619" s="2" t="s">
        <v>228</v>
      </c>
      <c r="B619" s="2" t="s">
        <v>229</v>
      </c>
      <c r="C619" s="2" t="s">
        <v>326</v>
      </c>
      <c r="D619" s="2" t="s">
        <v>262</v>
      </c>
    </row>
    <row r="620" spans="1:4">
      <c r="A620" s="2" t="s">
        <v>228</v>
      </c>
      <c r="B620" s="2" t="s">
        <v>229</v>
      </c>
      <c r="C620" s="2" t="s">
        <v>327</v>
      </c>
      <c r="D620" s="2" t="s">
        <v>262</v>
      </c>
    </row>
    <row r="621" spans="1:4">
      <c r="A621" s="2" t="s">
        <v>228</v>
      </c>
      <c r="B621" s="2" t="s">
        <v>229</v>
      </c>
      <c r="C621" s="2" t="s">
        <v>328</v>
      </c>
      <c r="D621" s="2" t="s">
        <v>309</v>
      </c>
    </row>
    <row r="622" spans="1:4">
      <c r="A622" s="2" t="s">
        <v>228</v>
      </c>
      <c r="B622" s="2" t="s">
        <v>229</v>
      </c>
      <c r="C622" s="2" t="s">
        <v>329</v>
      </c>
      <c r="D622" s="2" t="s">
        <v>287</v>
      </c>
    </row>
    <row r="623" spans="1:4">
      <c r="A623" s="2" t="s">
        <v>228</v>
      </c>
      <c r="B623" s="2" t="s">
        <v>229</v>
      </c>
      <c r="C623" s="2" t="s">
        <v>330</v>
      </c>
      <c r="D623" s="2" t="s">
        <v>262</v>
      </c>
    </row>
    <row r="624" spans="1:4">
      <c r="A624" s="2" t="s">
        <v>228</v>
      </c>
      <c r="B624" s="2" t="s">
        <v>229</v>
      </c>
      <c r="C624" s="2" t="s">
        <v>331</v>
      </c>
      <c r="D624" s="2" t="s">
        <v>309</v>
      </c>
    </row>
    <row r="625" spans="1:4">
      <c r="A625" s="2" t="s">
        <v>230</v>
      </c>
      <c r="B625" s="2" t="s">
        <v>231</v>
      </c>
      <c r="C625" s="2" t="s">
        <v>245</v>
      </c>
      <c r="D625" s="2" t="s">
        <v>352</v>
      </c>
    </row>
    <row r="626" spans="1:4">
      <c r="A626" s="2" t="s">
        <v>230</v>
      </c>
      <c r="B626" s="2" t="s">
        <v>231</v>
      </c>
      <c r="C626" s="2" t="s">
        <v>247</v>
      </c>
      <c r="D626" s="2" t="s">
        <v>248</v>
      </c>
    </row>
    <row r="627" spans="1:4">
      <c r="A627" s="2" t="s">
        <v>230</v>
      </c>
      <c r="B627" s="2" t="s">
        <v>231</v>
      </c>
      <c r="C627" s="2" t="s">
        <v>249</v>
      </c>
      <c r="D627" s="2" t="s">
        <v>250</v>
      </c>
    </row>
    <row r="628" spans="1:4">
      <c r="A628" s="2" t="s">
        <v>230</v>
      </c>
      <c r="B628" s="2" t="s">
        <v>231</v>
      </c>
      <c r="C628" s="2" t="s">
        <v>251</v>
      </c>
      <c r="D628" s="2" t="s">
        <v>252</v>
      </c>
    </row>
    <row r="629" spans="1:4">
      <c r="A629" s="2" t="s">
        <v>230</v>
      </c>
      <c r="B629" s="2" t="s">
        <v>231</v>
      </c>
      <c r="C629" s="2" t="s">
        <v>253</v>
      </c>
      <c r="D629" s="2" t="s">
        <v>254</v>
      </c>
    </row>
    <row r="630" spans="1:4">
      <c r="A630" s="2" t="s">
        <v>230</v>
      </c>
      <c r="B630" s="2" t="s">
        <v>231</v>
      </c>
      <c r="C630" s="2" t="s">
        <v>255</v>
      </c>
      <c r="D630" s="2" t="s">
        <v>256</v>
      </c>
    </row>
    <row r="631" spans="1:4">
      <c r="A631" s="2" t="s">
        <v>230</v>
      </c>
      <c r="B631" s="2" t="s">
        <v>231</v>
      </c>
      <c r="C631" s="2" t="s">
        <v>257</v>
      </c>
      <c r="D631" s="2" t="s">
        <v>270</v>
      </c>
    </row>
    <row r="632" spans="1:4">
      <c r="A632" s="2" t="s">
        <v>230</v>
      </c>
      <c r="B632" s="2" t="s">
        <v>231</v>
      </c>
      <c r="C632" s="2" t="s">
        <v>259</v>
      </c>
      <c r="D632" s="2" t="s">
        <v>260</v>
      </c>
    </row>
    <row r="633" spans="1:4">
      <c r="A633" s="2" t="s">
        <v>230</v>
      </c>
      <c r="B633" s="2" t="s">
        <v>231</v>
      </c>
      <c r="C633" s="2" t="s">
        <v>261</v>
      </c>
      <c r="D633" s="2" t="s">
        <v>262</v>
      </c>
    </row>
    <row r="634" spans="1:4">
      <c r="A634" s="2" t="s">
        <v>230</v>
      </c>
      <c r="B634" s="2" t="s">
        <v>231</v>
      </c>
      <c r="C634" s="2" t="s">
        <v>263</v>
      </c>
      <c r="D634" s="2" t="s">
        <v>262</v>
      </c>
    </row>
    <row r="635" spans="1:4">
      <c r="A635" s="2" t="s">
        <v>230</v>
      </c>
      <c r="B635" s="2" t="s">
        <v>231</v>
      </c>
      <c r="C635" s="2" t="s">
        <v>264</v>
      </c>
      <c r="D635" s="2" t="s">
        <v>262</v>
      </c>
    </row>
    <row r="636" spans="1:4">
      <c r="A636" s="2" t="s">
        <v>230</v>
      </c>
      <c r="B636" s="2" t="s">
        <v>231</v>
      </c>
      <c r="C636" s="2" t="s">
        <v>265</v>
      </c>
      <c r="D636" s="2" t="s">
        <v>266</v>
      </c>
    </row>
    <row r="637" spans="1:4">
      <c r="A637" s="2" t="s">
        <v>230</v>
      </c>
      <c r="B637" s="2" t="s">
        <v>231</v>
      </c>
      <c r="C637" s="2" t="s">
        <v>267</v>
      </c>
      <c r="D637" s="2" t="s">
        <v>268</v>
      </c>
    </row>
    <row r="638" spans="1:4">
      <c r="A638" s="2" t="s">
        <v>230</v>
      </c>
      <c r="B638" s="2" t="s">
        <v>231</v>
      </c>
      <c r="C638" s="2" t="s">
        <v>269</v>
      </c>
      <c r="D638" s="2" t="s">
        <v>270</v>
      </c>
    </row>
    <row r="639" spans="1:4">
      <c r="A639" s="2" t="s">
        <v>230</v>
      </c>
      <c r="B639" s="2" t="s">
        <v>231</v>
      </c>
      <c r="C639" s="2" t="s">
        <v>271</v>
      </c>
      <c r="D639" s="2" t="s">
        <v>272</v>
      </c>
    </row>
    <row r="640" spans="1:4">
      <c r="A640" s="2" t="s">
        <v>230</v>
      </c>
      <c r="B640" s="2" t="s">
        <v>231</v>
      </c>
      <c r="C640" s="2" t="s">
        <v>273</v>
      </c>
      <c r="D640" s="2" t="s">
        <v>274</v>
      </c>
    </row>
    <row r="641" spans="1:4">
      <c r="A641" s="2" t="s">
        <v>230</v>
      </c>
      <c r="B641" s="2" t="s">
        <v>231</v>
      </c>
      <c r="C641" s="2" t="s">
        <v>275</v>
      </c>
      <c r="D641" s="2" t="s">
        <v>262</v>
      </c>
    </row>
    <row r="642" spans="1:4">
      <c r="A642" s="2" t="s">
        <v>230</v>
      </c>
      <c r="B642" s="2" t="s">
        <v>231</v>
      </c>
      <c r="C642" s="2" t="s">
        <v>276</v>
      </c>
      <c r="D642" s="2" t="s">
        <v>277</v>
      </c>
    </row>
    <row r="643" spans="1:4">
      <c r="A643" s="2" t="s">
        <v>230</v>
      </c>
      <c r="B643" s="2" t="s">
        <v>231</v>
      </c>
      <c r="C643" s="2" t="s">
        <v>278</v>
      </c>
      <c r="D643" s="2" t="s">
        <v>279</v>
      </c>
    </row>
    <row r="644" spans="1:4">
      <c r="A644" s="2" t="s">
        <v>230</v>
      </c>
      <c r="B644" s="2" t="s">
        <v>231</v>
      </c>
      <c r="C644" s="2" t="s">
        <v>280</v>
      </c>
      <c r="D644" s="2" t="s">
        <v>281</v>
      </c>
    </row>
    <row r="645" spans="1:4">
      <c r="A645" s="2" t="s">
        <v>230</v>
      </c>
      <c r="B645" s="2" t="s">
        <v>231</v>
      </c>
      <c r="C645" s="2" t="s">
        <v>282</v>
      </c>
      <c r="D645" s="2" t="s">
        <v>283</v>
      </c>
    </row>
    <row r="646" spans="1:4">
      <c r="A646" s="2" t="s">
        <v>230</v>
      </c>
      <c r="B646" s="2" t="s">
        <v>231</v>
      </c>
      <c r="C646" s="2" t="s">
        <v>284</v>
      </c>
      <c r="D646" s="2" t="s">
        <v>285</v>
      </c>
    </row>
    <row r="647" spans="1:4">
      <c r="A647" s="2" t="s">
        <v>230</v>
      </c>
      <c r="B647" s="2" t="s">
        <v>231</v>
      </c>
      <c r="C647" s="2" t="s">
        <v>286</v>
      </c>
      <c r="D647" s="2" t="s">
        <v>287</v>
      </c>
    </row>
    <row r="648" spans="1:4">
      <c r="A648" s="2" t="s">
        <v>230</v>
      </c>
      <c r="B648" s="2" t="s">
        <v>231</v>
      </c>
      <c r="C648" s="2" t="s">
        <v>288</v>
      </c>
      <c r="D648" s="2" t="s">
        <v>289</v>
      </c>
    </row>
    <row r="649" spans="1:4">
      <c r="A649" s="2" t="s">
        <v>230</v>
      </c>
      <c r="B649" s="2" t="s">
        <v>231</v>
      </c>
      <c r="C649" s="2" t="s">
        <v>290</v>
      </c>
      <c r="D649" s="2" t="s">
        <v>262</v>
      </c>
    </row>
    <row r="650" spans="1:4">
      <c r="A650" s="2" t="s">
        <v>230</v>
      </c>
      <c r="B650" s="2" t="s">
        <v>231</v>
      </c>
      <c r="C650" s="2" t="s">
        <v>291</v>
      </c>
      <c r="D650" s="2" t="s">
        <v>256</v>
      </c>
    </row>
    <row r="651" spans="1:4">
      <c r="A651" s="2" t="s">
        <v>230</v>
      </c>
      <c r="B651" s="2" t="s">
        <v>231</v>
      </c>
      <c r="C651" s="2" t="s">
        <v>292</v>
      </c>
      <c r="D651" s="2" t="s">
        <v>270</v>
      </c>
    </row>
    <row r="652" spans="1:4">
      <c r="A652" s="2" t="s">
        <v>230</v>
      </c>
      <c r="B652" s="2" t="s">
        <v>231</v>
      </c>
      <c r="C652" s="2" t="s">
        <v>293</v>
      </c>
      <c r="D652" s="2" t="s">
        <v>294</v>
      </c>
    </row>
    <row r="653" spans="1:4">
      <c r="A653" s="2" t="s">
        <v>230</v>
      </c>
      <c r="B653" s="2" t="s">
        <v>231</v>
      </c>
      <c r="C653" s="2" t="s">
        <v>295</v>
      </c>
      <c r="D653" s="2" t="s">
        <v>296</v>
      </c>
    </row>
    <row r="654" spans="1:4">
      <c r="A654" s="2" t="s">
        <v>230</v>
      </c>
      <c r="B654" s="2" t="s">
        <v>231</v>
      </c>
      <c r="C654" s="2" t="s">
        <v>297</v>
      </c>
      <c r="D654" s="2" t="s">
        <v>256</v>
      </c>
    </row>
    <row r="655" spans="1:4">
      <c r="A655" s="2" t="s">
        <v>230</v>
      </c>
      <c r="B655" s="2" t="s">
        <v>231</v>
      </c>
      <c r="C655" s="2" t="s">
        <v>298</v>
      </c>
      <c r="D655" s="2" t="s">
        <v>299</v>
      </c>
    </row>
    <row r="656" spans="1:4">
      <c r="A656" s="2" t="s">
        <v>230</v>
      </c>
      <c r="B656" s="2" t="s">
        <v>231</v>
      </c>
      <c r="C656" s="2" t="s">
        <v>300</v>
      </c>
      <c r="D656" s="2" t="s">
        <v>299</v>
      </c>
    </row>
    <row r="657" spans="1:4">
      <c r="A657" s="2" t="s">
        <v>230</v>
      </c>
      <c r="B657" s="2" t="s">
        <v>231</v>
      </c>
      <c r="C657" s="2" t="s">
        <v>301</v>
      </c>
      <c r="D657" s="2" t="s">
        <v>270</v>
      </c>
    </row>
    <row r="658" spans="1:4">
      <c r="A658" s="2" t="s">
        <v>230</v>
      </c>
      <c r="B658" s="2" t="s">
        <v>231</v>
      </c>
      <c r="C658" s="2" t="s">
        <v>302</v>
      </c>
      <c r="D658" s="2" t="s">
        <v>299</v>
      </c>
    </row>
    <row r="659" spans="1:4">
      <c r="A659" s="2" t="s">
        <v>230</v>
      </c>
      <c r="B659" s="2" t="s">
        <v>231</v>
      </c>
      <c r="C659" s="2" t="s">
        <v>303</v>
      </c>
      <c r="D659" s="2" t="s">
        <v>270</v>
      </c>
    </row>
    <row r="660" spans="1:4">
      <c r="A660" s="2" t="s">
        <v>230</v>
      </c>
      <c r="B660" s="2" t="s">
        <v>231</v>
      </c>
      <c r="C660" s="2" t="s">
        <v>304</v>
      </c>
      <c r="D660" s="2" t="s">
        <v>262</v>
      </c>
    </row>
    <row r="661" spans="1:4">
      <c r="A661" s="2" t="s">
        <v>230</v>
      </c>
      <c r="B661" s="2" t="s">
        <v>231</v>
      </c>
      <c r="C661" s="2" t="s">
        <v>305</v>
      </c>
      <c r="D661" s="2" t="s">
        <v>281</v>
      </c>
    </row>
    <row r="662" spans="1:4">
      <c r="A662" s="2" t="s">
        <v>230</v>
      </c>
      <c r="B662" s="2" t="s">
        <v>231</v>
      </c>
      <c r="C662" s="2" t="s">
        <v>306</v>
      </c>
      <c r="D662" s="2" t="s">
        <v>256</v>
      </c>
    </row>
    <row r="663" spans="1:4">
      <c r="A663" s="2" t="s">
        <v>230</v>
      </c>
      <c r="B663" s="2" t="s">
        <v>231</v>
      </c>
      <c r="C663" s="2" t="s">
        <v>307</v>
      </c>
      <c r="D663" s="2" t="s">
        <v>299</v>
      </c>
    </row>
    <row r="664" spans="1:4">
      <c r="A664" s="2" t="s">
        <v>230</v>
      </c>
      <c r="B664" s="2" t="s">
        <v>231</v>
      </c>
      <c r="C664" s="2" t="s">
        <v>308</v>
      </c>
      <c r="D664" s="2" t="s">
        <v>309</v>
      </c>
    </row>
    <row r="665" spans="1:4">
      <c r="A665" s="2" t="s">
        <v>230</v>
      </c>
      <c r="B665" s="2" t="s">
        <v>231</v>
      </c>
      <c r="C665" s="2" t="s">
        <v>310</v>
      </c>
      <c r="D665" s="2" t="s">
        <v>309</v>
      </c>
    </row>
    <row r="666" spans="1:4">
      <c r="A666" s="2" t="s">
        <v>230</v>
      </c>
      <c r="B666" s="2" t="s">
        <v>231</v>
      </c>
      <c r="C666" s="2" t="s">
        <v>311</v>
      </c>
      <c r="D666" s="2" t="s">
        <v>270</v>
      </c>
    </row>
    <row r="667" spans="1:4">
      <c r="A667" s="2" t="s">
        <v>230</v>
      </c>
      <c r="B667" s="2" t="s">
        <v>231</v>
      </c>
      <c r="C667" s="2" t="s">
        <v>312</v>
      </c>
      <c r="D667" s="2" t="s">
        <v>299</v>
      </c>
    </row>
    <row r="668" spans="1:4">
      <c r="A668" s="2" t="s">
        <v>230</v>
      </c>
      <c r="B668" s="2" t="s">
        <v>231</v>
      </c>
      <c r="C668" s="2" t="s">
        <v>313</v>
      </c>
      <c r="D668" s="2" t="s">
        <v>299</v>
      </c>
    </row>
    <row r="669" spans="1:4">
      <c r="A669" s="2" t="s">
        <v>230</v>
      </c>
      <c r="B669" s="2" t="s">
        <v>231</v>
      </c>
      <c r="C669" s="2" t="s">
        <v>314</v>
      </c>
      <c r="D669" s="2" t="s">
        <v>309</v>
      </c>
    </row>
    <row r="670" spans="1:4">
      <c r="A670" s="2" t="s">
        <v>230</v>
      </c>
      <c r="B670" s="2" t="s">
        <v>231</v>
      </c>
      <c r="C670" s="2" t="s">
        <v>315</v>
      </c>
      <c r="D670" s="2" t="s">
        <v>270</v>
      </c>
    </row>
    <row r="671" spans="1:4">
      <c r="A671" s="2" t="s">
        <v>230</v>
      </c>
      <c r="B671" s="2" t="s">
        <v>231</v>
      </c>
      <c r="C671" s="2" t="s">
        <v>316</v>
      </c>
      <c r="D671" s="2" t="s">
        <v>299</v>
      </c>
    </row>
    <row r="672" spans="1:4">
      <c r="A672" s="2" t="s">
        <v>230</v>
      </c>
      <c r="B672" s="2" t="s">
        <v>231</v>
      </c>
      <c r="C672" s="2" t="s">
        <v>317</v>
      </c>
      <c r="D672" s="2" t="s">
        <v>299</v>
      </c>
    </row>
    <row r="673" spans="1:4">
      <c r="A673" s="2" t="s">
        <v>230</v>
      </c>
      <c r="B673" s="2" t="s">
        <v>231</v>
      </c>
      <c r="C673" s="2" t="s">
        <v>318</v>
      </c>
      <c r="D673" s="2" t="s">
        <v>262</v>
      </c>
    </row>
    <row r="674" spans="1:4">
      <c r="A674" s="2" t="s">
        <v>230</v>
      </c>
      <c r="B674" s="2" t="s">
        <v>231</v>
      </c>
      <c r="C674" s="2" t="s">
        <v>319</v>
      </c>
      <c r="D674" s="2" t="s">
        <v>270</v>
      </c>
    </row>
    <row r="675" spans="1:4">
      <c r="A675" s="2" t="s">
        <v>230</v>
      </c>
      <c r="B675" s="2" t="s">
        <v>231</v>
      </c>
      <c r="C675" s="2" t="s">
        <v>320</v>
      </c>
      <c r="D675" s="2" t="s">
        <v>262</v>
      </c>
    </row>
    <row r="676" spans="1:4">
      <c r="A676" s="2" t="s">
        <v>230</v>
      </c>
      <c r="B676" s="2" t="s">
        <v>231</v>
      </c>
      <c r="C676" s="2" t="s">
        <v>321</v>
      </c>
      <c r="D676" s="2" t="s">
        <v>262</v>
      </c>
    </row>
    <row r="677" spans="1:4">
      <c r="A677" s="2" t="s">
        <v>230</v>
      </c>
      <c r="B677" s="2" t="s">
        <v>231</v>
      </c>
      <c r="C677" s="2" t="s">
        <v>322</v>
      </c>
      <c r="D677" s="2" t="s">
        <v>262</v>
      </c>
    </row>
    <row r="678" spans="1:4">
      <c r="A678" s="2" t="s">
        <v>230</v>
      </c>
      <c r="B678" s="2" t="s">
        <v>231</v>
      </c>
      <c r="C678" s="2" t="s">
        <v>323</v>
      </c>
      <c r="D678" s="2" t="s">
        <v>299</v>
      </c>
    </row>
    <row r="679" spans="1:4">
      <c r="A679" s="2" t="s">
        <v>230</v>
      </c>
      <c r="B679" s="2" t="s">
        <v>231</v>
      </c>
      <c r="C679" s="2" t="s">
        <v>324</v>
      </c>
      <c r="D679" s="2" t="s">
        <v>262</v>
      </c>
    </row>
    <row r="680" spans="1:4">
      <c r="A680" s="2" t="s">
        <v>230</v>
      </c>
      <c r="B680" s="2" t="s">
        <v>231</v>
      </c>
      <c r="C680" s="2" t="s">
        <v>325</v>
      </c>
      <c r="D680" s="2" t="s">
        <v>262</v>
      </c>
    </row>
    <row r="681" spans="1:4">
      <c r="A681" s="2" t="s">
        <v>230</v>
      </c>
      <c r="B681" s="2" t="s">
        <v>231</v>
      </c>
      <c r="C681" s="2" t="s">
        <v>326</v>
      </c>
      <c r="D681" s="2" t="s">
        <v>262</v>
      </c>
    </row>
    <row r="682" spans="1:4">
      <c r="A682" s="2" t="s">
        <v>230</v>
      </c>
      <c r="B682" s="2" t="s">
        <v>231</v>
      </c>
      <c r="C682" s="2" t="s">
        <v>327</v>
      </c>
      <c r="D682" s="2" t="s">
        <v>262</v>
      </c>
    </row>
    <row r="683" spans="1:4">
      <c r="A683" s="2" t="s">
        <v>230</v>
      </c>
      <c r="B683" s="2" t="s">
        <v>231</v>
      </c>
      <c r="C683" s="2" t="s">
        <v>328</v>
      </c>
      <c r="D683" s="2" t="s">
        <v>309</v>
      </c>
    </row>
    <row r="684" spans="1:4">
      <c r="A684" s="2" t="s">
        <v>230</v>
      </c>
      <c r="B684" s="2" t="s">
        <v>231</v>
      </c>
      <c r="C684" s="2" t="s">
        <v>329</v>
      </c>
      <c r="D684" s="2" t="s">
        <v>287</v>
      </c>
    </row>
    <row r="685" spans="1:4">
      <c r="A685" s="2" t="s">
        <v>230</v>
      </c>
      <c r="B685" s="2" t="s">
        <v>231</v>
      </c>
      <c r="C685" s="2" t="s">
        <v>330</v>
      </c>
      <c r="D685" s="2" t="s">
        <v>262</v>
      </c>
    </row>
    <row r="686" spans="1:4">
      <c r="A686" s="2" t="s">
        <v>230</v>
      </c>
      <c r="B686" s="2" t="s">
        <v>231</v>
      </c>
      <c r="C686" s="2" t="s">
        <v>331</v>
      </c>
      <c r="D686" s="2" t="s">
        <v>309</v>
      </c>
    </row>
    <row r="687" spans="1:4">
      <c r="A687" s="2" t="s">
        <v>232</v>
      </c>
      <c r="B687" s="2" t="s">
        <v>233</v>
      </c>
      <c r="C687" s="2" t="s">
        <v>245</v>
      </c>
      <c r="D687" s="2" t="s">
        <v>353</v>
      </c>
    </row>
    <row r="688" spans="1:4">
      <c r="A688" s="2" t="s">
        <v>232</v>
      </c>
      <c r="B688" s="2" t="s">
        <v>233</v>
      </c>
      <c r="C688" s="2" t="s">
        <v>247</v>
      </c>
      <c r="D688" s="2" t="s">
        <v>248</v>
      </c>
    </row>
    <row r="689" spans="1:4">
      <c r="A689" s="2" t="s">
        <v>232</v>
      </c>
      <c r="B689" s="2" t="s">
        <v>233</v>
      </c>
      <c r="C689" s="2" t="s">
        <v>249</v>
      </c>
      <c r="D689" s="2" t="s">
        <v>250</v>
      </c>
    </row>
    <row r="690" spans="1:4">
      <c r="A690" s="2" t="s">
        <v>232</v>
      </c>
      <c r="B690" s="2" t="s">
        <v>233</v>
      </c>
      <c r="C690" s="2" t="s">
        <v>251</v>
      </c>
      <c r="D690" s="2" t="s">
        <v>252</v>
      </c>
    </row>
    <row r="691" spans="1:4">
      <c r="A691" s="2" t="s">
        <v>232</v>
      </c>
      <c r="B691" s="2" t="s">
        <v>233</v>
      </c>
      <c r="C691" s="2" t="s">
        <v>253</v>
      </c>
      <c r="D691" s="2" t="s">
        <v>254</v>
      </c>
    </row>
    <row r="692" spans="1:4">
      <c r="A692" s="2" t="s">
        <v>232</v>
      </c>
      <c r="B692" s="2" t="s">
        <v>233</v>
      </c>
      <c r="C692" s="2" t="s">
        <v>255</v>
      </c>
      <c r="D692" s="2" t="s">
        <v>256</v>
      </c>
    </row>
    <row r="693" spans="1:4">
      <c r="A693" s="2" t="s">
        <v>232</v>
      </c>
      <c r="B693" s="2" t="s">
        <v>233</v>
      </c>
      <c r="C693" s="2" t="s">
        <v>257</v>
      </c>
      <c r="D693" s="2" t="s">
        <v>270</v>
      </c>
    </row>
    <row r="694" spans="1:4">
      <c r="A694" s="2" t="s">
        <v>232</v>
      </c>
      <c r="B694" s="2" t="s">
        <v>233</v>
      </c>
      <c r="C694" s="2" t="s">
        <v>259</v>
      </c>
      <c r="D694" s="2" t="s">
        <v>260</v>
      </c>
    </row>
    <row r="695" spans="1:4">
      <c r="A695" s="2" t="s">
        <v>232</v>
      </c>
      <c r="B695" s="2" t="s">
        <v>233</v>
      </c>
      <c r="C695" s="2" t="s">
        <v>261</v>
      </c>
      <c r="D695" s="2" t="s">
        <v>262</v>
      </c>
    </row>
    <row r="696" spans="1:4">
      <c r="A696" s="2" t="s">
        <v>232</v>
      </c>
      <c r="B696" s="2" t="s">
        <v>233</v>
      </c>
      <c r="C696" s="2" t="s">
        <v>263</v>
      </c>
      <c r="D696" s="2" t="s">
        <v>262</v>
      </c>
    </row>
    <row r="697" spans="1:4">
      <c r="A697" s="2" t="s">
        <v>232</v>
      </c>
      <c r="B697" s="2" t="s">
        <v>233</v>
      </c>
      <c r="C697" s="2" t="s">
        <v>264</v>
      </c>
      <c r="D697" s="2" t="s">
        <v>262</v>
      </c>
    </row>
    <row r="698" spans="1:4">
      <c r="A698" s="2" t="s">
        <v>232</v>
      </c>
      <c r="B698" s="2" t="s">
        <v>233</v>
      </c>
      <c r="C698" s="2" t="s">
        <v>265</v>
      </c>
      <c r="D698" s="2" t="s">
        <v>266</v>
      </c>
    </row>
    <row r="699" spans="1:4">
      <c r="A699" s="2" t="s">
        <v>232</v>
      </c>
      <c r="B699" s="2" t="s">
        <v>233</v>
      </c>
      <c r="C699" s="2" t="s">
        <v>267</v>
      </c>
      <c r="D699" s="2" t="s">
        <v>268</v>
      </c>
    </row>
    <row r="700" spans="1:4">
      <c r="A700" s="2" t="s">
        <v>232</v>
      </c>
      <c r="B700" s="2" t="s">
        <v>233</v>
      </c>
      <c r="C700" s="2" t="s">
        <v>269</v>
      </c>
      <c r="D700" s="2" t="s">
        <v>270</v>
      </c>
    </row>
    <row r="701" spans="1:4">
      <c r="A701" s="2" t="s">
        <v>232</v>
      </c>
      <c r="B701" s="2" t="s">
        <v>233</v>
      </c>
      <c r="C701" s="2" t="s">
        <v>271</v>
      </c>
      <c r="D701" s="2" t="s">
        <v>272</v>
      </c>
    </row>
    <row r="702" spans="1:4">
      <c r="A702" s="2" t="s">
        <v>232</v>
      </c>
      <c r="B702" s="2" t="s">
        <v>233</v>
      </c>
      <c r="C702" s="2" t="s">
        <v>273</v>
      </c>
      <c r="D702" s="2" t="s">
        <v>274</v>
      </c>
    </row>
    <row r="703" spans="1:4">
      <c r="A703" s="2" t="s">
        <v>232</v>
      </c>
      <c r="B703" s="2" t="s">
        <v>233</v>
      </c>
      <c r="C703" s="2" t="s">
        <v>275</v>
      </c>
      <c r="D703" s="2" t="s">
        <v>262</v>
      </c>
    </row>
    <row r="704" spans="1:4">
      <c r="A704" s="2" t="s">
        <v>232</v>
      </c>
      <c r="B704" s="2" t="s">
        <v>233</v>
      </c>
      <c r="C704" s="2" t="s">
        <v>276</v>
      </c>
      <c r="D704" s="2" t="s">
        <v>277</v>
      </c>
    </row>
    <row r="705" spans="1:4">
      <c r="A705" s="2" t="s">
        <v>232</v>
      </c>
      <c r="B705" s="2" t="s">
        <v>233</v>
      </c>
      <c r="C705" s="2" t="s">
        <v>278</v>
      </c>
      <c r="D705" s="2" t="s">
        <v>279</v>
      </c>
    </row>
    <row r="706" spans="1:4">
      <c r="A706" s="2" t="s">
        <v>232</v>
      </c>
      <c r="B706" s="2" t="s">
        <v>233</v>
      </c>
      <c r="C706" s="2" t="s">
        <v>280</v>
      </c>
      <c r="D706" s="2" t="s">
        <v>281</v>
      </c>
    </row>
    <row r="707" spans="1:4">
      <c r="A707" s="2" t="s">
        <v>232</v>
      </c>
      <c r="B707" s="2" t="s">
        <v>233</v>
      </c>
      <c r="C707" s="2" t="s">
        <v>282</v>
      </c>
      <c r="D707" s="2" t="s">
        <v>283</v>
      </c>
    </row>
    <row r="708" spans="1:4">
      <c r="A708" s="2" t="s">
        <v>232</v>
      </c>
      <c r="B708" s="2" t="s">
        <v>233</v>
      </c>
      <c r="C708" s="2" t="s">
        <v>284</v>
      </c>
      <c r="D708" s="2" t="s">
        <v>285</v>
      </c>
    </row>
    <row r="709" spans="1:4">
      <c r="A709" s="2" t="s">
        <v>232</v>
      </c>
      <c r="B709" s="2" t="s">
        <v>233</v>
      </c>
      <c r="C709" s="2" t="s">
        <v>286</v>
      </c>
      <c r="D709" s="2" t="s">
        <v>287</v>
      </c>
    </row>
    <row r="710" spans="1:4">
      <c r="A710" s="2" t="s">
        <v>232</v>
      </c>
      <c r="B710" s="2" t="s">
        <v>233</v>
      </c>
      <c r="C710" s="2" t="s">
        <v>288</v>
      </c>
      <c r="D710" s="2" t="s">
        <v>289</v>
      </c>
    </row>
    <row r="711" spans="1:4">
      <c r="A711" s="2" t="s">
        <v>232</v>
      </c>
      <c r="B711" s="2" t="s">
        <v>233</v>
      </c>
      <c r="C711" s="2" t="s">
        <v>290</v>
      </c>
      <c r="D711" s="2" t="s">
        <v>262</v>
      </c>
    </row>
    <row r="712" spans="1:4">
      <c r="A712" s="2" t="s">
        <v>232</v>
      </c>
      <c r="B712" s="2" t="s">
        <v>233</v>
      </c>
      <c r="C712" s="2" t="s">
        <v>291</v>
      </c>
      <c r="D712" s="2" t="s">
        <v>256</v>
      </c>
    </row>
    <row r="713" spans="1:4">
      <c r="A713" s="2" t="s">
        <v>232</v>
      </c>
      <c r="B713" s="2" t="s">
        <v>233</v>
      </c>
      <c r="C713" s="2" t="s">
        <v>292</v>
      </c>
      <c r="D713" s="2" t="s">
        <v>270</v>
      </c>
    </row>
    <row r="714" spans="1:4">
      <c r="A714" s="2" t="s">
        <v>232</v>
      </c>
      <c r="B714" s="2" t="s">
        <v>233</v>
      </c>
      <c r="C714" s="2" t="s">
        <v>293</v>
      </c>
      <c r="D714" s="2" t="s">
        <v>294</v>
      </c>
    </row>
    <row r="715" spans="1:4">
      <c r="A715" s="2" t="s">
        <v>232</v>
      </c>
      <c r="B715" s="2" t="s">
        <v>233</v>
      </c>
      <c r="C715" s="2" t="s">
        <v>295</v>
      </c>
      <c r="D715" s="2" t="s">
        <v>296</v>
      </c>
    </row>
    <row r="716" spans="1:4">
      <c r="A716" s="2" t="s">
        <v>232</v>
      </c>
      <c r="B716" s="2" t="s">
        <v>233</v>
      </c>
      <c r="C716" s="2" t="s">
        <v>297</v>
      </c>
      <c r="D716" s="2" t="s">
        <v>333</v>
      </c>
    </row>
    <row r="717" spans="1:4">
      <c r="A717" s="2" t="s">
        <v>232</v>
      </c>
      <c r="B717" s="2" t="s">
        <v>233</v>
      </c>
      <c r="C717" s="2" t="s">
        <v>298</v>
      </c>
      <c r="D717" s="2" t="s">
        <v>299</v>
      </c>
    </row>
    <row r="718" spans="1:4">
      <c r="A718" s="2" t="s">
        <v>232</v>
      </c>
      <c r="B718" s="2" t="s">
        <v>233</v>
      </c>
      <c r="C718" s="2" t="s">
        <v>300</v>
      </c>
      <c r="D718" s="2" t="s">
        <v>299</v>
      </c>
    </row>
    <row r="719" spans="1:4">
      <c r="A719" s="2" t="s">
        <v>232</v>
      </c>
      <c r="B719" s="2" t="s">
        <v>233</v>
      </c>
      <c r="C719" s="2" t="s">
        <v>301</v>
      </c>
      <c r="D719" s="2" t="s">
        <v>270</v>
      </c>
    </row>
    <row r="720" spans="1:4">
      <c r="A720" s="2" t="s">
        <v>232</v>
      </c>
      <c r="B720" s="2" t="s">
        <v>233</v>
      </c>
      <c r="C720" s="2" t="s">
        <v>302</v>
      </c>
      <c r="D720" s="2" t="s">
        <v>299</v>
      </c>
    </row>
    <row r="721" spans="1:4">
      <c r="A721" s="2" t="s">
        <v>232</v>
      </c>
      <c r="B721" s="2" t="s">
        <v>233</v>
      </c>
      <c r="C721" s="2" t="s">
        <v>303</v>
      </c>
      <c r="D721" s="2" t="s">
        <v>270</v>
      </c>
    </row>
    <row r="722" spans="1:4">
      <c r="A722" s="2" t="s">
        <v>232</v>
      </c>
      <c r="B722" s="2" t="s">
        <v>233</v>
      </c>
      <c r="C722" s="2" t="s">
        <v>304</v>
      </c>
      <c r="D722" s="2" t="s">
        <v>262</v>
      </c>
    </row>
    <row r="723" spans="1:4">
      <c r="A723" s="2" t="s">
        <v>232</v>
      </c>
      <c r="B723" s="2" t="s">
        <v>233</v>
      </c>
      <c r="C723" s="2" t="s">
        <v>305</v>
      </c>
      <c r="D723" s="2" t="s">
        <v>281</v>
      </c>
    </row>
    <row r="724" spans="1:4">
      <c r="A724" s="2" t="s">
        <v>232</v>
      </c>
      <c r="B724" s="2" t="s">
        <v>233</v>
      </c>
      <c r="C724" s="2" t="s">
        <v>306</v>
      </c>
      <c r="D724" s="2" t="s">
        <v>256</v>
      </c>
    </row>
    <row r="725" spans="1:4">
      <c r="A725" s="2" t="s">
        <v>232</v>
      </c>
      <c r="B725" s="2" t="s">
        <v>233</v>
      </c>
      <c r="C725" s="2" t="s">
        <v>307</v>
      </c>
      <c r="D725" s="2" t="s">
        <v>299</v>
      </c>
    </row>
    <row r="726" spans="1:4">
      <c r="A726" s="2" t="s">
        <v>232</v>
      </c>
      <c r="B726" s="2" t="s">
        <v>233</v>
      </c>
      <c r="C726" s="2" t="s">
        <v>308</v>
      </c>
      <c r="D726" s="2" t="s">
        <v>309</v>
      </c>
    </row>
    <row r="727" spans="1:4">
      <c r="A727" s="2" t="s">
        <v>232</v>
      </c>
      <c r="B727" s="2" t="s">
        <v>233</v>
      </c>
      <c r="C727" s="2" t="s">
        <v>310</v>
      </c>
      <c r="D727" s="2" t="s">
        <v>309</v>
      </c>
    </row>
    <row r="728" spans="1:4">
      <c r="A728" s="2" t="s">
        <v>232</v>
      </c>
      <c r="B728" s="2" t="s">
        <v>233</v>
      </c>
      <c r="C728" s="2" t="s">
        <v>311</v>
      </c>
      <c r="D728" s="2" t="s">
        <v>270</v>
      </c>
    </row>
    <row r="729" spans="1:4">
      <c r="A729" s="2" t="s">
        <v>232</v>
      </c>
      <c r="B729" s="2" t="s">
        <v>233</v>
      </c>
      <c r="C729" s="2" t="s">
        <v>312</v>
      </c>
      <c r="D729" s="2" t="s">
        <v>299</v>
      </c>
    </row>
    <row r="730" spans="1:4">
      <c r="A730" s="2" t="s">
        <v>232</v>
      </c>
      <c r="B730" s="2" t="s">
        <v>233</v>
      </c>
      <c r="C730" s="2" t="s">
        <v>313</v>
      </c>
      <c r="D730" s="2" t="s">
        <v>299</v>
      </c>
    </row>
    <row r="731" spans="1:4">
      <c r="A731" s="2" t="s">
        <v>232</v>
      </c>
      <c r="B731" s="2" t="s">
        <v>233</v>
      </c>
      <c r="C731" s="2" t="s">
        <v>314</v>
      </c>
      <c r="D731" s="2" t="s">
        <v>309</v>
      </c>
    </row>
    <row r="732" spans="1:4">
      <c r="A732" s="2" t="s">
        <v>232</v>
      </c>
      <c r="B732" s="2" t="s">
        <v>233</v>
      </c>
      <c r="C732" s="2" t="s">
        <v>315</v>
      </c>
      <c r="D732" s="2" t="s">
        <v>270</v>
      </c>
    </row>
    <row r="733" spans="1:4">
      <c r="A733" s="2" t="s">
        <v>232</v>
      </c>
      <c r="B733" s="2" t="s">
        <v>233</v>
      </c>
      <c r="C733" s="2" t="s">
        <v>316</v>
      </c>
      <c r="D733" s="2" t="s">
        <v>299</v>
      </c>
    </row>
    <row r="734" spans="1:4">
      <c r="A734" s="2" t="s">
        <v>232</v>
      </c>
      <c r="B734" s="2" t="s">
        <v>233</v>
      </c>
      <c r="C734" s="2" t="s">
        <v>317</v>
      </c>
      <c r="D734" s="2" t="s">
        <v>299</v>
      </c>
    </row>
    <row r="735" spans="1:4">
      <c r="A735" s="2" t="s">
        <v>232</v>
      </c>
      <c r="B735" s="2" t="s">
        <v>233</v>
      </c>
      <c r="C735" s="2" t="s">
        <v>318</v>
      </c>
      <c r="D735" s="2" t="s">
        <v>262</v>
      </c>
    </row>
    <row r="736" spans="1:4">
      <c r="A736" s="2" t="s">
        <v>232</v>
      </c>
      <c r="B736" s="2" t="s">
        <v>233</v>
      </c>
      <c r="C736" s="2" t="s">
        <v>319</v>
      </c>
      <c r="D736" s="2" t="s">
        <v>270</v>
      </c>
    </row>
    <row r="737" spans="1:4">
      <c r="A737" s="2" t="s">
        <v>232</v>
      </c>
      <c r="B737" s="2" t="s">
        <v>233</v>
      </c>
      <c r="C737" s="2" t="s">
        <v>320</v>
      </c>
      <c r="D737" s="2" t="s">
        <v>262</v>
      </c>
    </row>
    <row r="738" spans="1:4">
      <c r="A738" s="2" t="s">
        <v>232</v>
      </c>
      <c r="B738" s="2" t="s">
        <v>233</v>
      </c>
      <c r="C738" s="2" t="s">
        <v>321</v>
      </c>
      <c r="D738" s="2" t="s">
        <v>262</v>
      </c>
    </row>
    <row r="739" spans="1:4">
      <c r="A739" s="2" t="s">
        <v>232</v>
      </c>
      <c r="B739" s="2" t="s">
        <v>233</v>
      </c>
      <c r="C739" s="2" t="s">
        <v>322</v>
      </c>
      <c r="D739" s="2" t="s">
        <v>262</v>
      </c>
    </row>
    <row r="740" spans="1:4">
      <c r="A740" s="2" t="s">
        <v>232</v>
      </c>
      <c r="B740" s="2" t="s">
        <v>233</v>
      </c>
      <c r="C740" s="2" t="s">
        <v>323</v>
      </c>
      <c r="D740" s="2" t="s">
        <v>299</v>
      </c>
    </row>
    <row r="741" spans="1:4">
      <c r="A741" s="2" t="s">
        <v>232</v>
      </c>
      <c r="B741" s="2" t="s">
        <v>233</v>
      </c>
      <c r="C741" s="2" t="s">
        <v>324</v>
      </c>
      <c r="D741" s="2" t="s">
        <v>262</v>
      </c>
    </row>
    <row r="742" spans="1:4">
      <c r="A742" s="2" t="s">
        <v>232</v>
      </c>
      <c r="B742" s="2" t="s">
        <v>233</v>
      </c>
      <c r="C742" s="2" t="s">
        <v>325</v>
      </c>
      <c r="D742" s="2" t="s">
        <v>262</v>
      </c>
    </row>
    <row r="743" spans="1:4">
      <c r="A743" s="2" t="s">
        <v>232</v>
      </c>
      <c r="B743" s="2" t="s">
        <v>233</v>
      </c>
      <c r="C743" s="2" t="s">
        <v>326</v>
      </c>
      <c r="D743" s="2" t="s">
        <v>262</v>
      </c>
    </row>
    <row r="744" spans="1:4">
      <c r="A744" s="2" t="s">
        <v>232</v>
      </c>
      <c r="B744" s="2" t="s">
        <v>233</v>
      </c>
      <c r="C744" s="2" t="s">
        <v>327</v>
      </c>
      <c r="D744" s="2" t="s">
        <v>262</v>
      </c>
    </row>
    <row r="745" spans="1:4">
      <c r="A745" s="2" t="s">
        <v>232</v>
      </c>
      <c r="B745" s="2" t="s">
        <v>233</v>
      </c>
      <c r="C745" s="2" t="s">
        <v>328</v>
      </c>
      <c r="D745" s="2" t="s">
        <v>309</v>
      </c>
    </row>
    <row r="746" spans="1:4">
      <c r="A746" s="2" t="s">
        <v>232</v>
      </c>
      <c r="B746" s="2" t="s">
        <v>233</v>
      </c>
      <c r="C746" s="2" t="s">
        <v>329</v>
      </c>
      <c r="D746" s="2" t="s">
        <v>287</v>
      </c>
    </row>
    <row r="747" spans="1:4">
      <c r="A747" s="2" t="s">
        <v>232</v>
      </c>
      <c r="B747" s="2" t="s">
        <v>233</v>
      </c>
      <c r="C747" s="2" t="s">
        <v>330</v>
      </c>
      <c r="D747" s="2" t="s">
        <v>262</v>
      </c>
    </row>
    <row r="748" spans="1:4">
      <c r="A748" s="2" t="s">
        <v>232</v>
      </c>
      <c r="B748" s="2" t="s">
        <v>233</v>
      </c>
      <c r="C748" s="2" t="s">
        <v>331</v>
      </c>
      <c r="D748" s="2" t="s">
        <v>309</v>
      </c>
    </row>
    <row r="749" spans="1:4">
      <c r="A749" s="2" t="s">
        <v>234</v>
      </c>
      <c r="B749" s="2" t="s">
        <v>235</v>
      </c>
      <c r="C749" s="2" t="s">
        <v>245</v>
      </c>
      <c r="D749" s="2" t="s">
        <v>354</v>
      </c>
    </row>
    <row r="750" spans="1:4">
      <c r="A750" s="2" t="s">
        <v>234</v>
      </c>
      <c r="B750" s="2" t="s">
        <v>235</v>
      </c>
      <c r="C750" s="2" t="s">
        <v>247</v>
      </c>
      <c r="D750" s="2" t="s">
        <v>355</v>
      </c>
    </row>
    <row r="751" spans="1:4">
      <c r="A751" s="2" t="s">
        <v>234</v>
      </c>
      <c r="B751" s="2" t="s">
        <v>235</v>
      </c>
      <c r="C751" s="2" t="s">
        <v>249</v>
      </c>
      <c r="D751" s="2" t="s">
        <v>250</v>
      </c>
    </row>
    <row r="752" spans="1:4">
      <c r="A752" s="2" t="s">
        <v>234</v>
      </c>
      <c r="B752" s="2" t="s">
        <v>235</v>
      </c>
      <c r="C752" s="2" t="s">
        <v>251</v>
      </c>
      <c r="D752" s="2" t="s">
        <v>356</v>
      </c>
    </row>
    <row r="753" spans="1:4">
      <c r="A753" s="2" t="s">
        <v>234</v>
      </c>
      <c r="B753" s="2" t="s">
        <v>235</v>
      </c>
      <c r="C753" s="2" t="s">
        <v>253</v>
      </c>
      <c r="D753" s="2" t="s">
        <v>254</v>
      </c>
    </row>
    <row r="754" spans="1:4">
      <c r="A754" s="2" t="s">
        <v>234</v>
      </c>
      <c r="B754" s="2" t="s">
        <v>235</v>
      </c>
      <c r="C754" s="2" t="s">
        <v>255</v>
      </c>
      <c r="D754" s="2" t="s">
        <v>256</v>
      </c>
    </row>
    <row r="755" spans="1:4">
      <c r="A755" s="2" t="s">
        <v>234</v>
      </c>
      <c r="B755" s="2" t="s">
        <v>235</v>
      </c>
      <c r="C755" s="2" t="s">
        <v>257</v>
      </c>
      <c r="D755" s="2" t="s">
        <v>258</v>
      </c>
    </row>
    <row r="756" spans="1:4">
      <c r="A756" s="2" t="s">
        <v>234</v>
      </c>
      <c r="B756" s="2" t="s">
        <v>235</v>
      </c>
      <c r="C756" s="2" t="s">
        <v>259</v>
      </c>
      <c r="D756" s="2" t="s">
        <v>260</v>
      </c>
    </row>
    <row r="757" spans="1:4">
      <c r="A757" s="2" t="s">
        <v>234</v>
      </c>
      <c r="B757" s="2" t="s">
        <v>235</v>
      </c>
      <c r="C757" s="2" t="s">
        <v>261</v>
      </c>
      <c r="D757" s="2" t="s">
        <v>262</v>
      </c>
    </row>
    <row r="758" spans="1:4">
      <c r="A758" s="2" t="s">
        <v>234</v>
      </c>
      <c r="B758" s="2" t="s">
        <v>235</v>
      </c>
      <c r="C758" s="2" t="s">
        <v>263</v>
      </c>
      <c r="D758" s="2" t="s">
        <v>262</v>
      </c>
    </row>
    <row r="759" spans="1:4">
      <c r="A759" s="2" t="s">
        <v>234</v>
      </c>
      <c r="B759" s="2" t="s">
        <v>235</v>
      </c>
      <c r="C759" s="2" t="s">
        <v>264</v>
      </c>
      <c r="D759" s="2" t="s">
        <v>262</v>
      </c>
    </row>
    <row r="760" spans="1:4">
      <c r="A760" s="2" t="s">
        <v>234</v>
      </c>
      <c r="B760" s="2" t="s">
        <v>235</v>
      </c>
      <c r="C760" s="2" t="s">
        <v>265</v>
      </c>
      <c r="D760" s="2" t="s">
        <v>357</v>
      </c>
    </row>
    <row r="761" spans="1:4">
      <c r="A761" s="2" t="s">
        <v>234</v>
      </c>
      <c r="B761" s="2" t="s">
        <v>235</v>
      </c>
      <c r="C761" s="2" t="s">
        <v>267</v>
      </c>
      <c r="D761" s="2" t="s">
        <v>262</v>
      </c>
    </row>
    <row r="762" spans="1:4">
      <c r="A762" s="2" t="s">
        <v>234</v>
      </c>
      <c r="B762" s="2" t="s">
        <v>235</v>
      </c>
      <c r="C762" s="2" t="s">
        <v>269</v>
      </c>
      <c r="D762" s="2" t="s">
        <v>270</v>
      </c>
    </row>
    <row r="763" spans="1:4">
      <c r="A763" s="2" t="s">
        <v>234</v>
      </c>
      <c r="B763" s="2" t="s">
        <v>235</v>
      </c>
      <c r="C763" s="2" t="s">
        <v>271</v>
      </c>
      <c r="D763" s="2" t="s">
        <v>272</v>
      </c>
    </row>
    <row r="764" spans="1:4">
      <c r="A764" s="2" t="s">
        <v>234</v>
      </c>
      <c r="B764" s="2" t="s">
        <v>235</v>
      </c>
      <c r="C764" s="2" t="s">
        <v>273</v>
      </c>
      <c r="D764" s="2" t="s">
        <v>274</v>
      </c>
    </row>
    <row r="765" spans="1:4">
      <c r="A765" s="2" t="s">
        <v>234</v>
      </c>
      <c r="B765" s="2" t="s">
        <v>235</v>
      </c>
      <c r="C765" s="2" t="s">
        <v>275</v>
      </c>
      <c r="D765" s="2" t="s">
        <v>262</v>
      </c>
    </row>
    <row r="766" spans="1:4">
      <c r="A766" s="2" t="s">
        <v>234</v>
      </c>
      <c r="B766" s="2" t="s">
        <v>235</v>
      </c>
      <c r="C766" s="2" t="s">
        <v>276</v>
      </c>
      <c r="D766" s="2" t="s">
        <v>277</v>
      </c>
    </row>
    <row r="767" spans="1:4">
      <c r="A767" s="2" t="s">
        <v>234</v>
      </c>
      <c r="B767" s="2" t="s">
        <v>235</v>
      </c>
      <c r="C767" s="2" t="s">
        <v>278</v>
      </c>
      <c r="D767" s="2" t="s">
        <v>279</v>
      </c>
    </row>
    <row r="768" spans="1:4">
      <c r="A768" s="2" t="s">
        <v>234</v>
      </c>
      <c r="B768" s="2" t="s">
        <v>235</v>
      </c>
      <c r="C768" s="2" t="s">
        <v>280</v>
      </c>
      <c r="D768" s="2" t="s">
        <v>281</v>
      </c>
    </row>
    <row r="769" spans="1:4">
      <c r="A769" s="2" t="s">
        <v>234</v>
      </c>
      <c r="B769" s="2" t="s">
        <v>235</v>
      </c>
      <c r="C769" s="2" t="s">
        <v>282</v>
      </c>
      <c r="D769" s="2" t="s">
        <v>358</v>
      </c>
    </row>
    <row r="770" spans="1:4">
      <c r="A770" s="2" t="s">
        <v>234</v>
      </c>
      <c r="B770" s="2" t="s">
        <v>235</v>
      </c>
      <c r="C770" s="2" t="s">
        <v>284</v>
      </c>
      <c r="D770" s="2" t="s">
        <v>285</v>
      </c>
    </row>
    <row r="771" spans="1:4">
      <c r="A771" s="2" t="s">
        <v>234</v>
      </c>
      <c r="B771" s="2" t="s">
        <v>235</v>
      </c>
      <c r="C771" s="2" t="s">
        <v>286</v>
      </c>
      <c r="D771" s="2" t="s">
        <v>287</v>
      </c>
    </row>
    <row r="772" spans="1:4">
      <c r="A772" s="2" t="s">
        <v>234</v>
      </c>
      <c r="B772" s="2" t="s">
        <v>235</v>
      </c>
      <c r="C772" s="2" t="s">
        <v>288</v>
      </c>
      <c r="D772" s="2" t="s">
        <v>289</v>
      </c>
    </row>
    <row r="773" spans="1:4">
      <c r="A773" s="2" t="s">
        <v>234</v>
      </c>
      <c r="B773" s="2" t="s">
        <v>235</v>
      </c>
      <c r="C773" s="2" t="s">
        <v>290</v>
      </c>
      <c r="D773" s="2" t="s">
        <v>260</v>
      </c>
    </row>
    <row r="774" spans="1:4">
      <c r="A774" s="2" t="s">
        <v>234</v>
      </c>
      <c r="B774" s="2" t="s">
        <v>235</v>
      </c>
      <c r="C774" s="2" t="s">
        <v>291</v>
      </c>
      <c r="D774" s="2" t="s">
        <v>256</v>
      </c>
    </row>
    <row r="775" spans="1:4">
      <c r="A775" s="2" t="s">
        <v>234</v>
      </c>
      <c r="B775" s="2" t="s">
        <v>235</v>
      </c>
      <c r="C775" s="2" t="s">
        <v>292</v>
      </c>
      <c r="D775" s="2" t="s">
        <v>270</v>
      </c>
    </row>
    <row r="776" spans="1:4">
      <c r="A776" s="2" t="s">
        <v>234</v>
      </c>
      <c r="B776" s="2" t="s">
        <v>235</v>
      </c>
      <c r="C776" s="2" t="s">
        <v>293</v>
      </c>
      <c r="D776" s="2" t="s">
        <v>294</v>
      </c>
    </row>
    <row r="777" spans="1:4">
      <c r="A777" s="2" t="s">
        <v>234</v>
      </c>
      <c r="B777" s="2" t="s">
        <v>235</v>
      </c>
      <c r="C777" s="2" t="s">
        <v>295</v>
      </c>
      <c r="D777" s="2" t="s">
        <v>296</v>
      </c>
    </row>
    <row r="778" spans="1:4">
      <c r="A778" s="2" t="s">
        <v>234</v>
      </c>
      <c r="B778" s="2" t="s">
        <v>235</v>
      </c>
      <c r="C778" s="2" t="s">
        <v>297</v>
      </c>
      <c r="D778" s="2" t="s">
        <v>256</v>
      </c>
    </row>
    <row r="779" spans="1:4">
      <c r="A779" s="2" t="s">
        <v>234</v>
      </c>
      <c r="B779" s="2" t="s">
        <v>235</v>
      </c>
      <c r="C779" s="2" t="s">
        <v>298</v>
      </c>
      <c r="D779" s="2" t="s">
        <v>299</v>
      </c>
    </row>
    <row r="780" spans="1:4">
      <c r="A780" s="2" t="s">
        <v>234</v>
      </c>
      <c r="B780" s="2" t="s">
        <v>235</v>
      </c>
      <c r="C780" s="2" t="s">
        <v>300</v>
      </c>
      <c r="D780" s="2" t="s">
        <v>299</v>
      </c>
    </row>
    <row r="781" spans="1:4">
      <c r="A781" s="2" t="s">
        <v>234</v>
      </c>
      <c r="B781" s="2" t="s">
        <v>235</v>
      </c>
      <c r="C781" s="2" t="s">
        <v>301</v>
      </c>
      <c r="D781" s="2" t="s">
        <v>270</v>
      </c>
    </row>
    <row r="782" spans="1:4">
      <c r="A782" s="2" t="s">
        <v>234</v>
      </c>
      <c r="B782" s="2" t="s">
        <v>235</v>
      </c>
      <c r="C782" s="2" t="s">
        <v>302</v>
      </c>
      <c r="D782" s="2" t="s">
        <v>299</v>
      </c>
    </row>
    <row r="783" spans="1:4">
      <c r="A783" s="2" t="s">
        <v>234</v>
      </c>
      <c r="B783" s="2" t="s">
        <v>235</v>
      </c>
      <c r="C783" s="2" t="s">
        <v>303</v>
      </c>
      <c r="D783" s="2" t="s">
        <v>258</v>
      </c>
    </row>
    <row r="784" spans="1:4">
      <c r="A784" s="2" t="s">
        <v>234</v>
      </c>
      <c r="B784" s="2" t="s">
        <v>235</v>
      </c>
      <c r="C784" s="2" t="s">
        <v>304</v>
      </c>
      <c r="D784" s="2" t="s">
        <v>262</v>
      </c>
    </row>
    <row r="785" spans="1:4">
      <c r="A785" s="2" t="s">
        <v>234</v>
      </c>
      <c r="B785" s="2" t="s">
        <v>235</v>
      </c>
      <c r="C785" s="2" t="s">
        <v>305</v>
      </c>
      <c r="D785" s="2" t="s">
        <v>262</v>
      </c>
    </row>
    <row r="786" spans="1:4">
      <c r="A786" s="2" t="s">
        <v>234</v>
      </c>
      <c r="B786" s="2" t="s">
        <v>235</v>
      </c>
      <c r="C786" s="2" t="s">
        <v>306</v>
      </c>
      <c r="D786" s="2" t="s">
        <v>256</v>
      </c>
    </row>
    <row r="787" spans="1:4">
      <c r="A787" s="2" t="s">
        <v>234</v>
      </c>
      <c r="B787" s="2" t="s">
        <v>235</v>
      </c>
      <c r="C787" s="2" t="s">
        <v>307</v>
      </c>
      <c r="D787" s="2" t="s">
        <v>299</v>
      </c>
    </row>
    <row r="788" spans="1:4">
      <c r="A788" s="2" t="s">
        <v>234</v>
      </c>
      <c r="B788" s="2" t="s">
        <v>235</v>
      </c>
      <c r="C788" s="2" t="s">
        <v>308</v>
      </c>
      <c r="D788" s="2" t="s">
        <v>309</v>
      </c>
    </row>
    <row r="789" spans="1:4">
      <c r="A789" s="2" t="s">
        <v>234</v>
      </c>
      <c r="B789" s="2" t="s">
        <v>235</v>
      </c>
      <c r="C789" s="2" t="s">
        <v>310</v>
      </c>
      <c r="D789" s="2" t="s">
        <v>309</v>
      </c>
    </row>
    <row r="790" spans="1:4">
      <c r="A790" s="2" t="s">
        <v>234</v>
      </c>
      <c r="B790" s="2" t="s">
        <v>235</v>
      </c>
      <c r="C790" s="2" t="s">
        <v>311</v>
      </c>
      <c r="D790" s="2" t="s">
        <v>270</v>
      </c>
    </row>
    <row r="791" spans="1:4">
      <c r="A791" s="2" t="s">
        <v>234</v>
      </c>
      <c r="B791" s="2" t="s">
        <v>235</v>
      </c>
      <c r="C791" s="2" t="s">
        <v>312</v>
      </c>
      <c r="D791" s="2" t="s">
        <v>359</v>
      </c>
    </row>
    <row r="792" spans="1:4">
      <c r="A792" s="2" t="s">
        <v>234</v>
      </c>
      <c r="B792" s="2" t="s">
        <v>235</v>
      </c>
      <c r="C792" s="2" t="s">
        <v>313</v>
      </c>
      <c r="D792" s="2" t="s">
        <v>299</v>
      </c>
    </row>
    <row r="793" spans="1:4">
      <c r="A793" s="2" t="s">
        <v>234</v>
      </c>
      <c r="B793" s="2" t="s">
        <v>235</v>
      </c>
      <c r="C793" s="2" t="s">
        <v>314</v>
      </c>
      <c r="D793" s="2" t="s">
        <v>309</v>
      </c>
    </row>
    <row r="794" spans="1:4">
      <c r="A794" s="2" t="s">
        <v>234</v>
      </c>
      <c r="B794" s="2" t="s">
        <v>235</v>
      </c>
      <c r="C794" s="2" t="s">
        <v>315</v>
      </c>
      <c r="D794" s="2" t="s">
        <v>270</v>
      </c>
    </row>
    <row r="795" spans="1:4">
      <c r="A795" s="2" t="s">
        <v>234</v>
      </c>
      <c r="B795" s="2" t="s">
        <v>235</v>
      </c>
      <c r="C795" s="2" t="s">
        <v>316</v>
      </c>
      <c r="D795" s="2" t="s">
        <v>299</v>
      </c>
    </row>
    <row r="796" spans="1:4">
      <c r="A796" s="2" t="s">
        <v>234</v>
      </c>
      <c r="B796" s="2" t="s">
        <v>235</v>
      </c>
      <c r="C796" s="2" t="s">
        <v>317</v>
      </c>
      <c r="D796" s="2" t="s">
        <v>299</v>
      </c>
    </row>
    <row r="797" spans="1:4">
      <c r="A797" s="2" t="s">
        <v>234</v>
      </c>
      <c r="B797" s="2" t="s">
        <v>235</v>
      </c>
      <c r="C797" s="2" t="s">
        <v>318</v>
      </c>
      <c r="D797" s="2" t="s">
        <v>262</v>
      </c>
    </row>
    <row r="798" spans="1:4">
      <c r="A798" s="2" t="s">
        <v>234</v>
      </c>
      <c r="B798" s="2" t="s">
        <v>235</v>
      </c>
      <c r="C798" s="2" t="s">
        <v>319</v>
      </c>
      <c r="D798" s="2" t="s">
        <v>270</v>
      </c>
    </row>
    <row r="799" spans="1:4">
      <c r="A799" s="2" t="s">
        <v>234</v>
      </c>
      <c r="B799" s="2" t="s">
        <v>235</v>
      </c>
      <c r="C799" s="2" t="s">
        <v>320</v>
      </c>
      <c r="D799" s="2" t="s">
        <v>270</v>
      </c>
    </row>
    <row r="800" spans="1:4">
      <c r="A800" s="2" t="s">
        <v>234</v>
      </c>
      <c r="B800" s="2" t="s">
        <v>235</v>
      </c>
      <c r="C800" s="2" t="s">
        <v>321</v>
      </c>
      <c r="D800" s="2" t="s">
        <v>270</v>
      </c>
    </row>
    <row r="801" spans="1:4">
      <c r="A801" s="2" t="s">
        <v>234</v>
      </c>
      <c r="B801" s="2" t="s">
        <v>235</v>
      </c>
      <c r="C801" s="2" t="s">
        <v>322</v>
      </c>
      <c r="D801" s="2" t="s">
        <v>262</v>
      </c>
    </row>
    <row r="802" spans="1:4">
      <c r="A802" s="2" t="s">
        <v>234</v>
      </c>
      <c r="B802" s="2" t="s">
        <v>235</v>
      </c>
      <c r="C802" s="2" t="s">
        <v>323</v>
      </c>
      <c r="D802" s="2" t="s">
        <v>359</v>
      </c>
    </row>
    <row r="803" spans="1:4">
      <c r="A803" s="2" t="s">
        <v>234</v>
      </c>
      <c r="B803" s="2" t="s">
        <v>235</v>
      </c>
      <c r="C803" s="2" t="s">
        <v>324</v>
      </c>
      <c r="D803" s="2" t="s">
        <v>262</v>
      </c>
    </row>
    <row r="804" spans="1:4">
      <c r="A804" s="2" t="s">
        <v>234</v>
      </c>
      <c r="B804" s="2" t="s">
        <v>235</v>
      </c>
      <c r="C804" s="2" t="s">
        <v>325</v>
      </c>
      <c r="D804" s="2" t="s">
        <v>262</v>
      </c>
    </row>
    <row r="805" spans="1:4">
      <c r="A805" s="2" t="s">
        <v>234</v>
      </c>
      <c r="B805" s="2" t="s">
        <v>235</v>
      </c>
      <c r="C805" s="2" t="s">
        <v>326</v>
      </c>
      <c r="D805" s="2" t="s">
        <v>294</v>
      </c>
    </row>
    <row r="806" spans="1:4">
      <c r="A806" s="2" t="s">
        <v>234</v>
      </c>
      <c r="B806" s="2" t="s">
        <v>235</v>
      </c>
      <c r="C806" s="2" t="s">
        <v>327</v>
      </c>
      <c r="D806" s="2" t="s">
        <v>272</v>
      </c>
    </row>
    <row r="807" spans="1:4">
      <c r="A807" s="2" t="s">
        <v>234</v>
      </c>
      <c r="B807" s="2" t="s">
        <v>235</v>
      </c>
      <c r="C807" s="2" t="s">
        <v>328</v>
      </c>
      <c r="D807" s="2" t="s">
        <v>270</v>
      </c>
    </row>
    <row r="808" spans="1:4">
      <c r="A808" s="2" t="s">
        <v>234</v>
      </c>
      <c r="B808" s="2" t="s">
        <v>235</v>
      </c>
      <c r="C808" s="2" t="s">
        <v>329</v>
      </c>
      <c r="D808" s="2" t="s">
        <v>287</v>
      </c>
    </row>
    <row r="809" spans="1:4">
      <c r="A809" s="2" t="s">
        <v>234</v>
      </c>
      <c r="B809" s="2" t="s">
        <v>235</v>
      </c>
      <c r="C809" s="2" t="s">
        <v>330</v>
      </c>
      <c r="D809" s="2" t="s">
        <v>287</v>
      </c>
    </row>
    <row r="810" spans="1:4">
      <c r="A810" s="2" t="s">
        <v>234</v>
      </c>
      <c r="B810" s="2" t="s">
        <v>235</v>
      </c>
      <c r="C810" s="2" t="s">
        <v>331</v>
      </c>
      <c r="D810" s="2" t="s">
        <v>309</v>
      </c>
    </row>
    <row r="811" spans="1:4">
      <c r="A811" s="2" t="s">
        <v>236</v>
      </c>
      <c r="B811" s="2" t="s">
        <v>237</v>
      </c>
      <c r="C811" s="2" t="s">
        <v>245</v>
      </c>
      <c r="D811" s="2" t="s">
        <v>360</v>
      </c>
    </row>
    <row r="812" spans="1:4">
      <c r="A812" s="2" t="s">
        <v>236</v>
      </c>
      <c r="B812" s="2" t="s">
        <v>237</v>
      </c>
      <c r="C812" s="2" t="s">
        <v>247</v>
      </c>
      <c r="D812" s="2" t="s">
        <v>248</v>
      </c>
    </row>
    <row r="813" spans="1:4">
      <c r="A813" s="2" t="s">
        <v>236</v>
      </c>
      <c r="B813" s="2" t="s">
        <v>237</v>
      </c>
      <c r="C813" s="2" t="s">
        <v>249</v>
      </c>
      <c r="D813" s="2" t="s">
        <v>250</v>
      </c>
    </row>
    <row r="814" spans="1:4">
      <c r="A814" s="2" t="s">
        <v>236</v>
      </c>
      <c r="B814" s="2" t="s">
        <v>237</v>
      </c>
      <c r="C814" s="2" t="s">
        <v>251</v>
      </c>
      <c r="D814" s="2" t="s">
        <v>252</v>
      </c>
    </row>
    <row r="815" spans="1:4">
      <c r="A815" s="2" t="s">
        <v>236</v>
      </c>
      <c r="B815" s="2" t="s">
        <v>237</v>
      </c>
      <c r="C815" s="2" t="s">
        <v>253</v>
      </c>
      <c r="D815" s="2" t="s">
        <v>254</v>
      </c>
    </row>
    <row r="816" spans="1:4">
      <c r="A816" s="2" t="s">
        <v>236</v>
      </c>
      <c r="B816" s="2" t="s">
        <v>237</v>
      </c>
      <c r="C816" s="2" t="s">
        <v>255</v>
      </c>
      <c r="D816" s="2" t="s">
        <v>256</v>
      </c>
    </row>
    <row r="817" spans="1:4">
      <c r="A817" s="2" t="s">
        <v>236</v>
      </c>
      <c r="B817" s="2" t="s">
        <v>237</v>
      </c>
      <c r="C817" s="2" t="s">
        <v>257</v>
      </c>
      <c r="D817" s="2" t="s">
        <v>258</v>
      </c>
    </row>
    <row r="818" spans="1:4">
      <c r="A818" s="2" t="s">
        <v>236</v>
      </c>
      <c r="B818" s="2" t="s">
        <v>237</v>
      </c>
      <c r="C818" s="2" t="s">
        <v>259</v>
      </c>
      <c r="D818" s="2" t="s">
        <v>260</v>
      </c>
    </row>
    <row r="819" spans="1:4">
      <c r="A819" s="2" t="s">
        <v>236</v>
      </c>
      <c r="B819" s="2" t="s">
        <v>237</v>
      </c>
      <c r="C819" s="2" t="s">
        <v>261</v>
      </c>
      <c r="D819" s="2" t="s">
        <v>262</v>
      </c>
    </row>
    <row r="820" spans="1:4">
      <c r="A820" s="2" t="s">
        <v>236</v>
      </c>
      <c r="B820" s="2" t="s">
        <v>237</v>
      </c>
      <c r="C820" s="2" t="s">
        <v>263</v>
      </c>
      <c r="D820" s="2" t="s">
        <v>262</v>
      </c>
    </row>
    <row r="821" spans="1:4">
      <c r="A821" s="2" t="s">
        <v>236</v>
      </c>
      <c r="B821" s="2" t="s">
        <v>237</v>
      </c>
      <c r="C821" s="2" t="s">
        <v>264</v>
      </c>
      <c r="D821" s="2" t="s">
        <v>262</v>
      </c>
    </row>
    <row r="822" spans="1:4">
      <c r="A822" s="2" t="s">
        <v>236</v>
      </c>
      <c r="B822" s="2" t="s">
        <v>237</v>
      </c>
      <c r="C822" s="2" t="s">
        <v>265</v>
      </c>
      <c r="D822" s="2" t="s">
        <v>266</v>
      </c>
    </row>
    <row r="823" spans="1:4">
      <c r="A823" s="2" t="s">
        <v>236</v>
      </c>
      <c r="B823" s="2" t="s">
        <v>237</v>
      </c>
      <c r="C823" s="2" t="s">
        <v>267</v>
      </c>
      <c r="D823" s="2" t="s">
        <v>268</v>
      </c>
    </row>
    <row r="824" spans="1:4">
      <c r="A824" s="2" t="s">
        <v>236</v>
      </c>
      <c r="B824" s="2" t="s">
        <v>237</v>
      </c>
      <c r="C824" s="2" t="s">
        <v>269</v>
      </c>
      <c r="D824" s="2" t="s">
        <v>270</v>
      </c>
    </row>
    <row r="825" spans="1:4">
      <c r="A825" s="2" t="s">
        <v>236</v>
      </c>
      <c r="B825" s="2" t="s">
        <v>237</v>
      </c>
      <c r="C825" s="2" t="s">
        <v>271</v>
      </c>
      <c r="D825" s="2" t="s">
        <v>272</v>
      </c>
    </row>
    <row r="826" spans="1:4">
      <c r="A826" s="2" t="s">
        <v>236</v>
      </c>
      <c r="B826" s="2" t="s">
        <v>237</v>
      </c>
      <c r="C826" s="2" t="s">
        <v>273</v>
      </c>
      <c r="D826" s="2" t="s">
        <v>274</v>
      </c>
    </row>
    <row r="827" spans="1:4">
      <c r="A827" s="2" t="s">
        <v>236</v>
      </c>
      <c r="B827" s="2" t="s">
        <v>237</v>
      </c>
      <c r="C827" s="2" t="s">
        <v>275</v>
      </c>
      <c r="D827" s="2" t="s">
        <v>262</v>
      </c>
    </row>
    <row r="828" spans="1:4">
      <c r="A828" s="2" t="s">
        <v>236</v>
      </c>
      <c r="B828" s="2" t="s">
        <v>237</v>
      </c>
      <c r="C828" s="2" t="s">
        <v>276</v>
      </c>
      <c r="D828" s="2" t="s">
        <v>277</v>
      </c>
    </row>
    <row r="829" spans="1:4">
      <c r="A829" s="2" t="s">
        <v>236</v>
      </c>
      <c r="B829" s="2" t="s">
        <v>237</v>
      </c>
      <c r="C829" s="2" t="s">
        <v>278</v>
      </c>
      <c r="D829" s="2" t="s">
        <v>279</v>
      </c>
    </row>
    <row r="830" spans="1:4">
      <c r="A830" s="2" t="s">
        <v>236</v>
      </c>
      <c r="B830" s="2" t="s">
        <v>237</v>
      </c>
      <c r="C830" s="2" t="s">
        <v>280</v>
      </c>
      <c r="D830" s="2" t="s">
        <v>281</v>
      </c>
    </row>
    <row r="831" spans="1:4">
      <c r="A831" s="2" t="s">
        <v>236</v>
      </c>
      <c r="B831" s="2" t="s">
        <v>237</v>
      </c>
      <c r="C831" s="2" t="s">
        <v>282</v>
      </c>
      <c r="D831" s="2" t="s">
        <v>283</v>
      </c>
    </row>
    <row r="832" spans="1:4">
      <c r="A832" s="2" t="s">
        <v>236</v>
      </c>
      <c r="B832" s="2" t="s">
        <v>237</v>
      </c>
      <c r="C832" s="2" t="s">
        <v>284</v>
      </c>
      <c r="D832" s="2" t="s">
        <v>285</v>
      </c>
    </row>
    <row r="833" spans="1:4">
      <c r="A833" s="2" t="s">
        <v>236</v>
      </c>
      <c r="B833" s="2" t="s">
        <v>237</v>
      </c>
      <c r="C833" s="2" t="s">
        <v>286</v>
      </c>
      <c r="D833" s="2" t="s">
        <v>287</v>
      </c>
    </row>
    <row r="834" spans="1:4">
      <c r="A834" s="2" t="s">
        <v>236</v>
      </c>
      <c r="B834" s="2" t="s">
        <v>237</v>
      </c>
      <c r="C834" s="2" t="s">
        <v>288</v>
      </c>
      <c r="D834" s="2" t="s">
        <v>289</v>
      </c>
    </row>
    <row r="835" spans="1:4">
      <c r="A835" s="2" t="s">
        <v>236</v>
      </c>
      <c r="B835" s="2" t="s">
        <v>237</v>
      </c>
      <c r="C835" s="2" t="s">
        <v>290</v>
      </c>
      <c r="D835" s="2" t="s">
        <v>262</v>
      </c>
    </row>
    <row r="836" spans="1:4">
      <c r="A836" s="2" t="s">
        <v>236</v>
      </c>
      <c r="B836" s="2" t="s">
        <v>237</v>
      </c>
      <c r="C836" s="2" t="s">
        <v>291</v>
      </c>
      <c r="D836" s="2" t="s">
        <v>256</v>
      </c>
    </row>
    <row r="837" spans="1:4">
      <c r="A837" s="2" t="s">
        <v>236</v>
      </c>
      <c r="B837" s="2" t="s">
        <v>237</v>
      </c>
      <c r="C837" s="2" t="s">
        <v>292</v>
      </c>
      <c r="D837" s="2" t="s">
        <v>270</v>
      </c>
    </row>
    <row r="838" spans="1:4">
      <c r="A838" s="2" t="s">
        <v>236</v>
      </c>
      <c r="B838" s="2" t="s">
        <v>237</v>
      </c>
      <c r="C838" s="2" t="s">
        <v>293</v>
      </c>
      <c r="D838" s="2" t="s">
        <v>294</v>
      </c>
    </row>
    <row r="839" spans="1:4">
      <c r="A839" s="2" t="s">
        <v>236</v>
      </c>
      <c r="B839" s="2" t="s">
        <v>237</v>
      </c>
      <c r="C839" s="2" t="s">
        <v>295</v>
      </c>
      <c r="D839" s="2" t="s">
        <v>296</v>
      </c>
    </row>
    <row r="840" spans="1:4">
      <c r="A840" s="2" t="s">
        <v>236</v>
      </c>
      <c r="B840" s="2" t="s">
        <v>237</v>
      </c>
      <c r="C840" s="2" t="s">
        <v>297</v>
      </c>
      <c r="D840" s="2" t="s">
        <v>256</v>
      </c>
    </row>
    <row r="841" spans="1:4">
      <c r="A841" s="2" t="s">
        <v>236</v>
      </c>
      <c r="B841" s="2" t="s">
        <v>237</v>
      </c>
      <c r="C841" s="2" t="s">
        <v>298</v>
      </c>
      <c r="D841" s="2" t="s">
        <v>299</v>
      </c>
    </row>
    <row r="842" spans="1:4">
      <c r="A842" s="2" t="s">
        <v>236</v>
      </c>
      <c r="B842" s="2" t="s">
        <v>237</v>
      </c>
      <c r="C842" s="2" t="s">
        <v>300</v>
      </c>
      <c r="D842" s="2" t="s">
        <v>299</v>
      </c>
    </row>
    <row r="843" spans="1:4">
      <c r="A843" s="2" t="s">
        <v>236</v>
      </c>
      <c r="B843" s="2" t="s">
        <v>237</v>
      </c>
      <c r="C843" s="2" t="s">
        <v>301</v>
      </c>
      <c r="D843" s="2" t="s">
        <v>270</v>
      </c>
    </row>
    <row r="844" spans="1:4">
      <c r="A844" s="2" t="s">
        <v>236</v>
      </c>
      <c r="B844" s="2" t="s">
        <v>237</v>
      </c>
      <c r="C844" s="2" t="s">
        <v>302</v>
      </c>
      <c r="D844" s="2" t="s">
        <v>299</v>
      </c>
    </row>
    <row r="845" spans="1:4">
      <c r="A845" s="2" t="s">
        <v>236</v>
      </c>
      <c r="B845" s="2" t="s">
        <v>237</v>
      </c>
      <c r="C845" s="2" t="s">
        <v>303</v>
      </c>
      <c r="D845" s="2" t="s">
        <v>258</v>
      </c>
    </row>
    <row r="846" spans="1:4">
      <c r="A846" s="2" t="s">
        <v>236</v>
      </c>
      <c r="B846" s="2" t="s">
        <v>237</v>
      </c>
      <c r="C846" s="2" t="s">
        <v>304</v>
      </c>
      <c r="D846" s="2" t="s">
        <v>262</v>
      </c>
    </row>
    <row r="847" spans="1:4">
      <c r="A847" s="2" t="s">
        <v>236</v>
      </c>
      <c r="B847" s="2" t="s">
        <v>237</v>
      </c>
      <c r="C847" s="2" t="s">
        <v>305</v>
      </c>
      <c r="D847" s="2" t="s">
        <v>262</v>
      </c>
    </row>
    <row r="848" spans="1:4">
      <c r="A848" s="2" t="s">
        <v>236</v>
      </c>
      <c r="B848" s="2" t="s">
        <v>237</v>
      </c>
      <c r="C848" s="2" t="s">
        <v>306</v>
      </c>
      <c r="D848" s="2" t="s">
        <v>256</v>
      </c>
    </row>
    <row r="849" spans="1:4">
      <c r="A849" s="2" t="s">
        <v>236</v>
      </c>
      <c r="B849" s="2" t="s">
        <v>237</v>
      </c>
      <c r="C849" s="2" t="s">
        <v>307</v>
      </c>
      <c r="D849" s="2" t="s">
        <v>299</v>
      </c>
    </row>
    <row r="850" spans="1:4">
      <c r="A850" s="2" t="s">
        <v>236</v>
      </c>
      <c r="B850" s="2" t="s">
        <v>237</v>
      </c>
      <c r="C850" s="2" t="s">
        <v>308</v>
      </c>
      <c r="D850" s="2" t="s">
        <v>309</v>
      </c>
    </row>
    <row r="851" spans="1:4">
      <c r="A851" s="2" t="s">
        <v>236</v>
      </c>
      <c r="B851" s="2" t="s">
        <v>237</v>
      </c>
      <c r="C851" s="2" t="s">
        <v>310</v>
      </c>
      <c r="D851" s="2" t="s">
        <v>309</v>
      </c>
    </row>
    <row r="852" spans="1:4">
      <c r="A852" s="2" t="s">
        <v>236</v>
      </c>
      <c r="B852" s="2" t="s">
        <v>237</v>
      </c>
      <c r="C852" s="2" t="s">
        <v>311</v>
      </c>
      <c r="D852" s="2" t="s">
        <v>270</v>
      </c>
    </row>
    <row r="853" spans="1:4">
      <c r="A853" s="2" t="s">
        <v>236</v>
      </c>
      <c r="B853" s="2" t="s">
        <v>237</v>
      </c>
      <c r="C853" s="2" t="s">
        <v>312</v>
      </c>
      <c r="D853" s="2" t="s">
        <v>299</v>
      </c>
    </row>
    <row r="854" spans="1:4">
      <c r="A854" s="2" t="s">
        <v>236</v>
      </c>
      <c r="B854" s="2" t="s">
        <v>237</v>
      </c>
      <c r="C854" s="2" t="s">
        <v>313</v>
      </c>
      <c r="D854" s="2" t="s">
        <v>299</v>
      </c>
    </row>
    <row r="855" spans="1:4">
      <c r="A855" s="2" t="s">
        <v>236</v>
      </c>
      <c r="B855" s="2" t="s">
        <v>237</v>
      </c>
      <c r="C855" s="2" t="s">
        <v>314</v>
      </c>
      <c r="D855" s="2" t="s">
        <v>281</v>
      </c>
    </row>
    <row r="856" spans="1:4">
      <c r="A856" s="2" t="s">
        <v>236</v>
      </c>
      <c r="B856" s="2" t="s">
        <v>237</v>
      </c>
      <c r="C856" s="2" t="s">
        <v>315</v>
      </c>
      <c r="D856" s="2" t="s">
        <v>272</v>
      </c>
    </row>
    <row r="857" spans="1:4">
      <c r="A857" s="2" t="s">
        <v>236</v>
      </c>
      <c r="B857" s="2" t="s">
        <v>237</v>
      </c>
      <c r="C857" s="2" t="s">
        <v>316</v>
      </c>
      <c r="D857" s="2" t="s">
        <v>299</v>
      </c>
    </row>
    <row r="858" spans="1:4">
      <c r="A858" s="2" t="s">
        <v>236</v>
      </c>
      <c r="B858" s="2" t="s">
        <v>237</v>
      </c>
      <c r="C858" s="2" t="s">
        <v>317</v>
      </c>
      <c r="D858" s="2" t="s">
        <v>299</v>
      </c>
    </row>
    <row r="859" spans="1:4">
      <c r="A859" s="2" t="s">
        <v>236</v>
      </c>
      <c r="B859" s="2" t="s">
        <v>237</v>
      </c>
      <c r="C859" s="2" t="s">
        <v>318</v>
      </c>
      <c r="D859" s="2" t="s">
        <v>260</v>
      </c>
    </row>
    <row r="860" spans="1:4">
      <c r="A860" s="2" t="s">
        <v>236</v>
      </c>
      <c r="B860" s="2" t="s">
        <v>237</v>
      </c>
      <c r="C860" s="2" t="s">
        <v>319</v>
      </c>
      <c r="D860" s="2" t="s">
        <v>270</v>
      </c>
    </row>
    <row r="861" spans="1:4">
      <c r="A861" s="2" t="s">
        <v>236</v>
      </c>
      <c r="B861" s="2" t="s">
        <v>237</v>
      </c>
      <c r="C861" s="2" t="s">
        <v>320</v>
      </c>
      <c r="D861" s="2" t="s">
        <v>262</v>
      </c>
    </row>
    <row r="862" spans="1:4">
      <c r="A862" s="2" t="s">
        <v>236</v>
      </c>
      <c r="B862" s="2" t="s">
        <v>237</v>
      </c>
      <c r="C862" s="2" t="s">
        <v>321</v>
      </c>
      <c r="D862" s="2" t="s">
        <v>262</v>
      </c>
    </row>
    <row r="863" spans="1:4">
      <c r="A863" s="2" t="s">
        <v>236</v>
      </c>
      <c r="B863" s="2" t="s">
        <v>237</v>
      </c>
      <c r="C863" s="2" t="s">
        <v>322</v>
      </c>
      <c r="D863" s="2" t="s">
        <v>262</v>
      </c>
    </row>
    <row r="864" spans="1:4">
      <c r="A864" s="2" t="s">
        <v>236</v>
      </c>
      <c r="B864" s="2" t="s">
        <v>237</v>
      </c>
      <c r="C864" s="2" t="s">
        <v>323</v>
      </c>
      <c r="D864" s="2" t="s">
        <v>299</v>
      </c>
    </row>
    <row r="865" spans="1:4">
      <c r="A865" s="2" t="s">
        <v>236</v>
      </c>
      <c r="B865" s="2" t="s">
        <v>237</v>
      </c>
      <c r="C865" s="2" t="s">
        <v>324</v>
      </c>
      <c r="D865" s="2" t="s">
        <v>262</v>
      </c>
    </row>
    <row r="866" spans="1:4">
      <c r="A866" s="2" t="s">
        <v>236</v>
      </c>
      <c r="B866" s="2" t="s">
        <v>237</v>
      </c>
      <c r="C866" s="2" t="s">
        <v>325</v>
      </c>
      <c r="D866" s="2" t="s">
        <v>262</v>
      </c>
    </row>
    <row r="867" spans="1:4">
      <c r="A867" s="2" t="s">
        <v>236</v>
      </c>
      <c r="B867" s="2" t="s">
        <v>237</v>
      </c>
      <c r="C867" s="2" t="s">
        <v>326</v>
      </c>
      <c r="D867" s="2" t="s">
        <v>262</v>
      </c>
    </row>
    <row r="868" spans="1:4">
      <c r="A868" s="2" t="s">
        <v>236</v>
      </c>
      <c r="B868" s="2" t="s">
        <v>237</v>
      </c>
      <c r="C868" s="2" t="s">
        <v>327</v>
      </c>
      <c r="D868" s="2" t="s">
        <v>262</v>
      </c>
    </row>
    <row r="869" spans="1:4">
      <c r="A869" s="2" t="s">
        <v>236</v>
      </c>
      <c r="B869" s="2" t="s">
        <v>237</v>
      </c>
      <c r="C869" s="2" t="s">
        <v>328</v>
      </c>
      <c r="D869" s="2" t="s">
        <v>309</v>
      </c>
    </row>
    <row r="870" spans="1:4">
      <c r="A870" s="2" t="s">
        <v>236</v>
      </c>
      <c r="B870" s="2" t="s">
        <v>237</v>
      </c>
      <c r="C870" s="2" t="s">
        <v>329</v>
      </c>
      <c r="D870" s="2" t="s">
        <v>287</v>
      </c>
    </row>
    <row r="871" spans="1:4">
      <c r="A871" s="2" t="s">
        <v>236</v>
      </c>
      <c r="B871" s="2" t="s">
        <v>237</v>
      </c>
      <c r="C871" s="2" t="s">
        <v>330</v>
      </c>
      <c r="D871" s="2" t="s">
        <v>262</v>
      </c>
    </row>
    <row r="872" spans="1:4">
      <c r="A872" s="2" t="s">
        <v>236</v>
      </c>
      <c r="B872" s="2" t="s">
        <v>237</v>
      </c>
      <c r="C872" s="2" t="s">
        <v>331</v>
      </c>
      <c r="D872" s="2" t="s">
        <v>361</v>
      </c>
    </row>
    <row r="873" spans="1:4">
      <c r="A873" s="2" t="s">
        <v>238</v>
      </c>
      <c r="B873" s="2" t="s">
        <v>239</v>
      </c>
      <c r="C873" s="2" t="s">
        <v>245</v>
      </c>
      <c r="D873" s="2" t="s">
        <v>362</v>
      </c>
    </row>
    <row r="874" spans="1:4">
      <c r="A874" s="2" t="s">
        <v>238</v>
      </c>
      <c r="B874" s="2" t="s">
        <v>239</v>
      </c>
      <c r="C874" s="2" t="s">
        <v>247</v>
      </c>
      <c r="D874" s="2" t="s">
        <v>248</v>
      </c>
    </row>
    <row r="875" spans="1:4">
      <c r="A875" s="2" t="s">
        <v>238</v>
      </c>
      <c r="B875" s="2" t="s">
        <v>239</v>
      </c>
      <c r="C875" s="2" t="s">
        <v>249</v>
      </c>
      <c r="D875" s="2" t="s">
        <v>250</v>
      </c>
    </row>
    <row r="876" spans="1:4">
      <c r="A876" s="2" t="s">
        <v>238</v>
      </c>
      <c r="B876" s="2" t="s">
        <v>239</v>
      </c>
      <c r="C876" s="2" t="s">
        <v>251</v>
      </c>
      <c r="D876" s="2" t="s">
        <v>252</v>
      </c>
    </row>
    <row r="877" spans="1:4">
      <c r="A877" s="2" t="s">
        <v>238</v>
      </c>
      <c r="B877" s="2" t="s">
        <v>239</v>
      </c>
      <c r="C877" s="2" t="s">
        <v>253</v>
      </c>
      <c r="D877" s="2" t="s">
        <v>254</v>
      </c>
    </row>
    <row r="878" spans="1:4">
      <c r="A878" s="2" t="s">
        <v>238</v>
      </c>
      <c r="B878" s="2" t="s">
        <v>239</v>
      </c>
      <c r="C878" s="2" t="s">
        <v>255</v>
      </c>
      <c r="D878" s="2" t="s">
        <v>256</v>
      </c>
    </row>
    <row r="879" spans="1:4">
      <c r="A879" s="2" t="s">
        <v>238</v>
      </c>
      <c r="B879" s="2" t="s">
        <v>239</v>
      </c>
      <c r="C879" s="2" t="s">
        <v>257</v>
      </c>
      <c r="D879" s="2" t="s">
        <v>258</v>
      </c>
    </row>
    <row r="880" spans="1:4">
      <c r="A880" s="2" t="s">
        <v>238</v>
      </c>
      <c r="B880" s="2" t="s">
        <v>239</v>
      </c>
      <c r="C880" s="2" t="s">
        <v>259</v>
      </c>
      <c r="D880" s="2" t="s">
        <v>260</v>
      </c>
    </row>
    <row r="881" spans="1:4">
      <c r="A881" s="2" t="s">
        <v>238</v>
      </c>
      <c r="B881" s="2" t="s">
        <v>239</v>
      </c>
      <c r="C881" s="2" t="s">
        <v>261</v>
      </c>
      <c r="D881" s="2" t="s">
        <v>262</v>
      </c>
    </row>
    <row r="882" spans="1:4">
      <c r="A882" s="2" t="s">
        <v>238</v>
      </c>
      <c r="B882" s="2" t="s">
        <v>239</v>
      </c>
      <c r="C882" s="2" t="s">
        <v>263</v>
      </c>
      <c r="D882" s="2" t="s">
        <v>262</v>
      </c>
    </row>
    <row r="883" spans="1:4">
      <c r="A883" s="2" t="s">
        <v>238</v>
      </c>
      <c r="B883" s="2" t="s">
        <v>239</v>
      </c>
      <c r="C883" s="2" t="s">
        <v>264</v>
      </c>
      <c r="D883" s="2" t="s">
        <v>262</v>
      </c>
    </row>
    <row r="884" spans="1:4">
      <c r="A884" s="2" t="s">
        <v>238</v>
      </c>
      <c r="B884" s="2" t="s">
        <v>239</v>
      </c>
      <c r="C884" s="2" t="s">
        <v>265</v>
      </c>
      <c r="D884" s="2" t="s">
        <v>266</v>
      </c>
    </row>
    <row r="885" spans="1:4">
      <c r="A885" s="2" t="s">
        <v>238</v>
      </c>
      <c r="B885" s="2" t="s">
        <v>239</v>
      </c>
      <c r="C885" s="2" t="s">
        <v>267</v>
      </c>
      <c r="D885" s="2" t="s">
        <v>268</v>
      </c>
    </row>
    <row r="886" spans="1:4">
      <c r="A886" s="2" t="s">
        <v>238</v>
      </c>
      <c r="B886" s="2" t="s">
        <v>239</v>
      </c>
      <c r="C886" s="2" t="s">
        <v>269</v>
      </c>
      <c r="D886" s="2" t="s">
        <v>270</v>
      </c>
    </row>
    <row r="887" spans="1:4">
      <c r="A887" s="2" t="s">
        <v>238</v>
      </c>
      <c r="B887" s="2" t="s">
        <v>239</v>
      </c>
      <c r="C887" s="2" t="s">
        <v>271</v>
      </c>
      <c r="D887" s="2" t="s">
        <v>272</v>
      </c>
    </row>
    <row r="888" spans="1:4">
      <c r="A888" s="2" t="s">
        <v>238</v>
      </c>
      <c r="B888" s="2" t="s">
        <v>239</v>
      </c>
      <c r="C888" s="2" t="s">
        <v>273</v>
      </c>
      <c r="D888" s="2" t="s">
        <v>274</v>
      </c>
    </row>
    <row r="889" spans="1:4">
      <c r="A889" s="2" t="s">
        <v>238</v>
      </c>
      <c r="B889" s="2" t="s">
        <v>239</v>
      </c>
      <c r="C889" s="2" t="s">
        <v>275</v>
      </c>
      <c r="D889" s="2" t="s">
        <v>262</v>
      </c>
    </row>
    <row r="890" spans="1:4">
      <c r="A890" s="2" t="s">
        <v>238</v>
      </c>
      <c r="B890" s="2" t="s">
        <v>239</v>
      </c>
      <c r="C890" s="2" t="s">
        <v>276</v>
      </c>
      <c r="D890" s="2" t="s">
        <v>277</v>
      </c>
    </row>
    <row r="891" spans="1:4">
      <c r="A891" s="2" t="s">
        <v>238</v>
      </c>
      <c r="B891" s="2" t="s">
        <v>239</v>
      </c>
      <c r="C891" s="2" t="s">
        <v>278</v>
      </c>
      <c r="D891" s="2" t="s">
        <v>279</v>
      </c>
    </row>
    <row r="892" spans="1:4">
      <c r="A892" s="2" t="s">
        <v>238</v>
      </c>
      <c r="B892" s="2" t="s">
        <v>239</v>
      </c>
      <c r="C892" s="2" t="s">
        <v>280</v>
      </c>
      <c r="D892" s="2" t="s">
        <v>281</v>
      </c>
    </row>
    <row r="893" spans="1:4">
      <c r="A893" s="2" t="s">
        <v>238</v>
      </c>
      <c r="B893" s="2" t="s">
        <v>239</v>
      </c>
      <c r="C893" s="2" t="s">
        <v>282</v>
      </c>
      <c r="D893" s="2" t="s">
        <v>283</v>
      </c>
    </row>
    <row r="894" spans="1:4">
      <c r="A894" s="2" t="s">
        <v>238</v>
      </c>
      <c r="B894" s="2" t="s">
        <v>239</v>
      </c>
      <c r="C894" s="2" t="s">
        <v>284</v>
      </c>
      <c r="D894" s="2" t="s">
        <v>285</v>
      </c>
    </row>
    <row r="895" spans="1:4">
      <c r="A895" s="2" t="s">
        <v>238</v>
      </c>
      <c r="B895" s="2" t="s">
        <v>239</v>
      </c>
      <c r="C895" s="2" t="s">
        <v>286</v>
      </c>
      <c r="D895" s="2" t="s">
        <v>287</v>
      </c>
    </row>
    <row r="896" spans="1:4">
      <c r="A896" s="2" t="s">
        <v>238</v>
      </c>
      <c r="B896" s="2" t="s">
        <v>239</v>
      </c>
      <c r="C896" s="2" t="s">
        <v>288</v>
      </c>
      <c r="D896" s="2" t="s">
        <v>289</v>
      </c>
    </row>
    <row r="897" spans="1:4">
      <c r="A897" s="2" t="s">
        <v>238</v>
      </c>
      <c r="B897" s="2" t="s">
        <v>239</v>
      </c>
      <c r="C897" s="2" t="s">
        <v>290</v>
      </c>
      <c r="D897" s="2" t="s">
        <v>262</v>
      </c>
    </row>
    <row r="898" spans="1:4">
      <c r="A898" s="2" t="s">
        <v>238</v>
      </c>
      <c r="B898" s="2" t="s">
        <v>239</v>
      </c>
      <c r="C898" s="2" t="s">
        <v>291</v>
      </c>
      <c r="D898" s="2" t="s">
        <v>256</v>
      </c>
    </row>
    <row r="899" spans="1:4">
      <c r="A899" s="2" t="s">
        <v>238</v>
      </c>
      <c r="B899" s="2" t="s">
        <v>239</v>
      </c>
      <c r="C899" s="2" t="s">
        <v>292</v>
      </c>
      <c r="D899" s="2" t="s">
        <v>270</v>
      </c>
    </row>
    <row r="900" spans="1:4">
      <c r="A900" s="2" t="s">
        <v>238</v>
      </c>
      <c r="B900" s="2" t="s">
        <v>239</v>
      </c>
      <c r="C900" s="2" t="s">
        <v>293</v>
      </c>
      <c r="D900" s="2" t="s">
        <v>294</v>
      </c>
    </row>
    <row r="901" spans="1:4">
      <c r="A901" s="2" t="s">
        <v>238</v>
      </c>
      <c r="B901" s="2" t="s">
        <v>239</v>
      </c>
      <c r="C901" s="2" t="s">
        <v>295</v>
      </c>
      <c r="D901" s="2" t="s">
        <v>296</v>
      </c>
    </row>
    <row r="902" spans="1:4">
      <c r="A902" s="2" t="s">
        <v>238</v>
      </c>
      <c r="B902" s="2" t="s">
        <v>239</v>
      </c>
      <c r="C902" s="2" t="s">
        <v>297</v>
      </c>
      <c r="D902" s="2" t="s">
        <v>262</v>
      </c>
    </row>
    <row r="903" spans="1:4">
      <c r="A903" s="2" t="s">
        <v>238</v>
      </c>
      <c r="B903" s="2" t="s">
        <v>239</v>
      </c>
      <c r="C903" s="2" t="s">
        <v>298</v>
      </c>
      <c r="D903" s="2" t="s">
        <v>299</v>
      </c>
    </row>
    <row r="904" spans="1:4">
      <c r="A904" s="2" t="s">
        <v>238</v>
      </c>
      <c r="B904" s="2" t="s">
        <v>239</v>
      </c>
      <c r="C904" s="2" t="s">
        <v>300</v>
      </c>
      <c r="D904" s="2" t="s">
        <v>363</v>
      </c>
    </row>
    <row r="905" spans="1:4">
      <c r="A905" s="2" t="s">
        <v>238</v>
      </c>
      <c r="B905" s="2" t="s">
        <v>239</v>
      </c>
      <c r="C905" s="2" t="s">
        <v>301</v>
      </c>
      <c r="D905" s="2" t="s">
        <v>281</v>
      </c>
    </row>
    <row r="906" spans="1:4">
      <c r="A906" s="2" t="s">
        <v>238</v>
      </c>
      <c r="B906" s="2" t="s">
        <v>239</v>
      </c>
      <c r="C906" s="2" t="s">
        <v>302</v>
      </c>
      <c r="D906" s="2" t="s">
        <v>299</v>
      </c>
    </row>
    <row r="907" spans="1:4">
      <c r="A907" s="2" t="s">
        <v>238</v>
      </c>
      <c r="B907" s="2" t="s">
        <v>239</v>
      </c>
      <c r="C907" s="2" t="s">
        <v>303</v>
      </c>
      <c r="D907" s="2" t="s">
        <v>334</v>
      </c>
    </row>
    <row r="908" spans="1:4">
      <c r="A908" s="2" t="s">
        <v>238</v>
      </c>
      <c r="B908" s="2" t="s">
        <v>239</v>
      </c>
      <c r="C908" s="2" t="s">
        <v>304</v>
      </c>
      <c r="D908" s="2" t="s">
        <v>262</v>
      </c>
    </row>
    <row r="909" spans="1:4">
      <c r="A909" s="2" t="s">
        <v>238</v>
      </c>
      <c r="B909" s="2" t="s">
        <v>239</v>
      </c>
      <c r="C909" s="2" t="s">
        <v>305</v>
      </c>
      <c r="D909" s="2" t="s">
        <v>281</v>
      </c>
    </row>
    <row r="910" spans="1:4">
      <c r="A910" s="2" t="s">
        <v>238</v>
      </c>
      <c r="B910" s="2" t="s">
        <v>239</v>
      </c>
      <c r="C910" s="2" t="s">
        <v>306</v>
      </c>
      <c r="D910" s="2" t="s">
        <v>256</v>
      </c>
    </row>
    <row r="911" spans="1:4">
      <c r="A911" s="2" t="s">
        <v>238</v>
      </c>
      <c r="B911" s="2" t="s">
        <v>239</v>
      </c>
      <c r="C911" s="2" t="s">
        <v>307</v>
      </c>
      <c r="D911" s="2" t="s">
        <v>299</v>
      </c>
    </row>
    <row r="912" spans="1:4">
      <c r="A912" s="2" t="s">
        <v>238</v>
      </c>
      <c r="B912" s="2" t="s">
        <v>239</v>
      </c>
      <c r="C912" s="2" t="s">
        <v>308</v>
      </c>
      <c r="D912" s="2" t="s">
        <v>309</v>
      </c>
    </row>
    <row r="913" spans="1:4">
      <c r="A913" s="2" t="s">
        <v>238</v>
      </c>
      <c r="B913" s="2" t="s">
        <v>239</v>
      </c>
      <c r="C913" s="2" t="s">
        <v>310</v>
      </c>
      <c r="D913" s="2" t="s">
        <v>309</v>
      </c>
    </row>
    <row r="914" spans="1:4">
      <c r="A914" s="2" t="s">
        <v>238</v>
      </c>
      <c r="B914" s="2" t="s">
        <v>239</v>
      </c>
      <c r="C914" s="2" t="s">
        <v>311</v>
      </c>
      <c r="D914" s="2" t="s">
        <v>270</v>
      </c>
    </row>
    <row r="915" spans="1:4">
      <c r="A915" s="2" t="s">
        <v>238</v>
      </c>
      <c r="B915" s="2" t="s">
        <v>239</v>
      </c>
      <c r="C915" s="2" t="s">
        <v>312</v>
      </c>
      <c r="D915" s="2" t="s">
        <v>299</v>
      </c>
    </row>
    <row r="916" spans="1:4">
      <c r="A916" s="2" t="s">
        <v>238</v>
      </c>
      <c r="B916" s="2" t="s">
        <v>239</v>
      </c>
      <c r="C916" s="2" t="s">
        <v>313</v>
      </c>
      <c r="D916" s="2" t="s">
        <v>299</v>
      </c>
    </row>
    <row r="917" spans="1:4">
      <c r="A917" s="2" t="s">
        <v>238</v>
      </c>
      <c r="B917" s="2" t="s">
        <v>239</v>
      </c>
      <c r="C917" s="2" t="s">
        <v>314</v>
      </c>
      <c r="D917" s="2" t="s">
        <v>309</v>
      </c>
    </row>
    <row r="918" spans="1:4">
      <c r="A918" s="2" t="s">
        <v>238</v>
      </c>
      <c r="B918" s="2" t="s">
        <v>239</v>
      </c>
      <c r="C918" s="2" t="s">
        <v>315</v>
      </c>
      <c r="D918" s="2" t="s">
        <v>270</v>
      </c>
    </row>
    <row r="919" spans="1:4">
      <c r="A919" s="2" t="s">
        <v>238</v>
      </c>
      <c r="B919" s="2" t="s">
        <v>239</v>
      </c>
      <c r="C919" s="2" t="s">
        <v>316</v>
      </c>
      <c r="D919" s="2" t="s">
        <v>299</v>
      </c>
    </row>
    <row r="920" spans="1:4">
      <c r="A920" s="2" t="s">
        <v>238</v>
      </c>
      <c r="B920" s="2" t="s">
        <v>239</v>
      </c>
      <c r="C920" s="2" t="s">
        <v>317</v>
      </c>
      <c r="D920" s="2" t="s">
        <v>299</v>
      </c>
    </row>
    <row r="921" spans="1:4">
      <c r="A921" s="2" t="s">
        <v>238</v>
      </c>
      <c r="B921" s="2" t="s">
        <v>239</v>
      </c>
      <c r="C921" s="2" t="s">
        <v>318</v>
      </c>
      <c r="D921" s="2" t="s">
        <v>262</v>
      </c>
    </row>
    <row r="922" spans="1:4">
      <c r="A922" s="2" t="s">
        <v>238</v>
      </c>
      <c r="B922" s="2" t="s">
        <v>239</v>
      </c>
      <c r="C922" s="2" t="s">
        <v>319</v>
      </c>
      <c r="D922" s="2" t="s">
        <v>270</v>
      </c>
    </row>
    <row r="923" spans="1:4">
      <c r="A923" s="2" t="s">
        <v>238</v>
      </c>
      <c r="B923" s="2" t="s">
        <v>239</v>
      </c>
      <c r="C923" s="2" t="s">
        <v>320</v>
      </c>
      <c r="D923" s="2" t="s">
        <v>262</v>
      </c>
    </row>
    <row r="924" spans="1:4">
      <c r="A924" s="2" t="s">
        <v>238</v>
      </c>
      <c r="B924" s="2" t="s">
        <v>239</v>
      </c>
      <c r="C924" s="2" t="s">
        <v>321</v>
      </c>
      <c r="D924" s="2" t="s">
        <v>262</v>
      </c>
    </row>
    <row r="925" spans="1:4">
      <c r="A925" s="2" t="s">
        <v>238</v>
      </c>
      <c r="B925" s="2" t="s">
        <v>239</v>
      </c>
      <c r="C925" s="2" t="s">
        <v>322</v>
      </c>
      <c r="D925" s="2" t="s">
        <v>262</v>
      </c>
    </row>
    <row r="926" spans="1:4">
      <c r="A926" s="2" t="s">
        <v>238</v>
      </c>
      <c r="B926" s="2" t="s">
        <v>239</v>
      </c>
      <c r="C926" s="2" t="s">
        <v>323</v>
      </c>
      <c r="D926" s="2" t="s">
        <v>299</v>
      </c>
    </row>
    <row r="927" spans="1:4">
      <c r="A927" s="2" t="s">
        <v>238</v>
      </c>
      <c r="B927" s="2" t="s">
        <v>239</v>
      </c>
      <c r="C927" s="2" t="s">
        <v>324</v>
      </c>
      <c r="D927" s="2" t="s">
        <v>262</v>
      </c>
    </row>
    <row r="928" spans="1:4">
      <c r="A928" s="2" t="s">
        <v>238</v>
      </c>
      <c r="B928" s="2" t="s">
        <v>239</v>
      </c>
      <c r="C928" s="2" t="s">
        <v>325</v>
      </c>
      <c r="D928" s="2" t="s">
        <v>262</v>
      </c>
    </row>
    <row r="929" spans="1:4">
      <c r="A929" s="2" t="s">
        <v>238</v>
      </c>
      <c r="B929" s="2" t="s">
        <v>239</v>
      </c>
      <c r="C929" s="2" t="s">
        <v>326</v>
      </c>
      <c r="D929" s="2" t="s">
        <v>262</v>
      </c>
    </row>
    <row r="930" spans="1:4">
      <c r="A930" s="2" t="s">
        <v>238</v>
      </c>
      <c r="B930" s="2" t="s">
        <v>239</v>
      </c>
      <c r="C930" s="2" t="s">
        <v>327</v>
      </c>
      <c r="D930" s="2" t="s">
        <v>262</v>
      </c>
    </row>
    <row r="931" spans="1:4">
      <c r="A931" s="2" t="s">
        <v>238</v>
      </c>
      <c r="B931" s="2" t="s">
        <v>239</v>
      </c>
      <c r="C931" s="2" t="s">
        <v>328</v>
      </c>
      <c r="D931" s="2" t="s">
        <v>309</v>
      </c>
    </row>
    <row r="932" spans="1:4">
      <c r="A932" s="2" t="s">
        <v>238</v>
      </c>
      <c r="B932" s="2" t="s">
        <v>239</v>
      </c>
      <c r="C932" s="2" t="s">
        <v>329</v>
      </c>
      <c r="D932" s="2" t="s">
        <v>287</v>
      </c>
    </row>
    <row r="933" spans="1:4">
      <c r="A933" s="2" t="s">
        <v>238</v>
      </c>
      <c r="B933" s="2" t="s">
        <v>239</v>
      </c>
      <c r="C933" s="2" t="s">
        <v>330</v>
      </c>
      <c r="D933" s="2" t="s">
        <v>262</v>
      </c>
    </row>
    <row r="934" spans="1:4">
      <c r="A934" s="2" t="s">
        <v>238</v>
      </c>
      <c r="B934" s="2" t="s">
        <v>239</v>
      </c>
      <c r="C934" s="2" t="s">
        <v>331</v>
      </c>
      <c r="D934" s="2" t="s">
        <v>309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4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9.7109375" customWidth="1"/>
    <col min="3" max="3" width="55.7109375" customWidth="1"/>
    <col min="4" max="15" width="22.7109375" customWidth="1"/>
  </cols>
  <sheetData>
    <row r="1" spans="1:15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3" t="s">
        <v>365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>
      <c r="A4" s="4" t="s">
        <v>366</v>
      </c>
      <c r="B4" s="4" t="s">
        <v>367</v>
      </c>
      <c r="C4" s="4" t="s">
        <v>368</v>
      </c>
      <c r="D4" s="4" t="s">
        <v>369</v>
      </c>
      <c r="E4" s="4" t="s">
        <v>370</v>
      </c>
      <c r="F4" s="4" t="s">
        <v>371</v>
      </c>
      <c r="G4" s="4" t="s">
        <v>372</v>
      </c>
      <c r="H4" s="4" t="s">
        <v>373</v>
      </c>
      <c r="I4" s="4" t="s">
        <v>374</v>
      </c>
      <c r="J4" s="4" t="s">
        <v>375</v>
      </c>
      <c r="K4" s="4" t="s">
        <v>376</v>
      </c>
      <c r="L4" s="4" t="s">
        <v>377</v>
      </c>
      <c r="M4" s="4" t="s">
        <v>378</v>
      </c>
      <c r="N4" s="4" t="s">
        <v>379</v>
      </c>
      <c r="O4" s="4" t="s">
        <v>380</v>
      </c>
    </row>
    <row r="5" spans="1:15">
      <c r="A5" s="2" t="s">
        <v>210</v>
      </c>
      <c r="B5" s="7">
        <v>1</v>
      </c>
      <c r="C5" s="2" t="s">
        <v>211</v>
      </c>
      <c r="D5" s="7">
        <v>1000</v>
      </c>
      <c r="E5" s="7">
        <v>1000</v>
      </c>
      <c r="F5" s="7">
        <v>0</v>
      </c>
      <c r="G5" s="7">
        <v>0</v>
      </c>
      <c r="H5" s="7">
        <v>0</v>
      </c>
      <c r="I5" s="7">
        <v>100</v>
      </c>
      <c r="J5" s="7">
        <v>1900</v>
      </c>
      <c r="K5" s="7">
        <v>300</v>
      </c>
      <c r="L5" s="7">
        <v>4000</v>
      </c>
      <c r="M5" s="7">
        <v>-2400</v>
      </c>
      <c r="N5" s="7">
        <v>1900</v>
      </c>
      <c r="O5" s="7">
        <v>1000</v>
      </c>
    </row>
    <row r="6" spans="1:15">
      <c r="A6" s="2" t="s">
        <v>210</v>
      </c>
      <c r="B6" s="7">
        <v>2</v>
      </c>
      <c r="C6" s="2" t="s">
        <v>211</v>
      </c>
      <c r="D6" s="7">
        <v>1000</v>
      </c>
      <c r="E6" s="7">
        <v>1000</v>
      </c>
      <c r="F6" s="7">
        <v>0</v>
      </c>
      <c r="G6" s="7">
        <v>0</v>
      </c>
      <c r="H6" s="7">
        <v>0</v>
      </c>
      <c r="I6" s="7">
        <v>100</v>
      </c>
      <c r="J6" s="7">
        <v>1900</v>
      </c>
      <c r="K6" s="7">
        <v>300</v>
      </c>
      <c r="L6" s="7">
        <v>4000</v>
      </c>
      <c r="M6" s="7">
        <v>-2400</v>
      </c>
      <c r="N6" s="7">
        <v>1900</v>
      </c>
      <c r="O6" s="7">
        <v>2000</v>
      </c>
    </row>
    <row r="7" spans="1:15">
      <c r="A7" s="2" t="s">
        <v>210</v>
      </c>
      <c r="B7" s="7">
        <v>3</v>
      </c>
      <c r="C7" s="2" t="s">
        <v>211</v>
      </c>
      <c r="D7" s="7">
        <v>1000</v>
      </c>
      <c r="E7" s="7">
        <v>1000</v>
      </c>
      <c r="F7" s="7">
        <v>0</v>
      </c>
      <c r="G7" s="7">
        <v>0</v>
      </c>
      <c r="H7" s="7">
        <v>0</v>
      </c>
      <c r="I7" s="7">
        <v>100</v>
      </c>
      <c r="J7" s="7">
        <v>1900</v>
      </c>
      <c r="K7" s="7">
        <v>300</v>
      </c>
      <c r="L7" s="7">
        <v>4000</v>
      </c>
      <c r="M7" s="7">
        <v>-2400</v>
      </c>
      <c r="N7" s="7">
        <v>1900</v>
      </c>
      <c r="O7" s="7">
        <v>3000</v>
      </c>
    </row>
    <row r="8" spans="1:15">
      <c r="A8" s="2" t="s">
        <v>210</v>
      </c>
      <c r="B8" s="7">
        <v>4</v>
      </c>
      <c r="C8" s="2" t="s">
        <v>211</v>
      </c>
      <c r="D8" s="7">
        <v>1000</v>
      </c>
      <c r="E8" s="7">
        <v>1000</v>
      </c>
      <c r="F8" s="7">
        <v>0</v>
      </c>
      <c r="G8" s="7">
        <v>0</v>
      </c>
      <c r="H8" s="7">
        <v>0</v>
      </c>
      <c r="I8" s="7">
        <v>100</v>
      </c>
      <c r="J8" s="7">
        <v>1900</v>
      </c>
      <c r="K8" s="7">
        <v>300</v>
      </c>
      <c r="L8" s="7">
        <v>4000</v>
      </c>
      <c r="M8" s="7">
        <v>-2400</v>
      </c>
      <c r="N8" s="7">
        <v>1900</v>
      </c>
      <c r="O8" s="7">
        <v>4000</v>
      </c>
    </row>
    <row r="9" spans="1:15">
      <c r="A9" s="2" t="s">
        <v>210</v>
      </c>
      <c r="B9" s="7">
        <v>5</v>
      </c>
      <c r="C9" s="2" t="s">
        <v>211</v>
      </c>
      <c r="D9" s="7">
        <v>1000</v>
      </c>
      <c r="E9" s="7">
        <v>1000</v>
      </c>
      <c r="F9" s="7">
        <v>0</v>
      </c>
      <c r="G9" s="7">
        <v>0</v>
      </c>
      <c r="H9" s="7">
        <v>0</v>
      </c>
      <c r="I9" s="7">
        <v>100</v>
      </c>
      <c r="J9" s="7">
        <v>1900</v>
      </c>
      <c r="K9" s="7">
        <v>300</v>
      </c>
      <c r="L9" s="7">
        <v>4000</v>
      </c>
      <c r="M9" s="7">
        <v>-2400</v>
      </c>
      <c r="N9" s="7">
        <v>1900</v>
      </c>
      <c r="O9" s="7">
        <v>5000</v>
      </c>
    </row>
    <row r="10" spans="1:15">
      <c r="A10" s="2" t="s">
        <v>210</v>
      </c>
      <c r="B10" s="7">
        <v>6</v>
      </c>
      <c r="C10" s="2" t="s">
        <v>211</v>
      </c>
      <c r="D10" s="7">
        <v>1000</v>
      </c>
      <c r="E10" s="7">
        <v>1000</v>
      </c>
      <c r="F10" s="7">
        <v>0</v>
      </c>
      <c r="G10" s="7">
        <v>0</v>
      </c>
      <c r="H10" s="7">
        <v>0</v>
      </c>
      <c r="I10" s="7">
        <v>100</v>
      </c>
      <c r="J10" s="7">
        <v>1900</v>
      </c>
      <c r="K10" s="7">
        <v>300</v>
      </c>
      <c r="L10" s="7">
        <v>4000</v>
      </c>
      <c r="M10" s="7">
        <v>-2400</v>
      </c>
      <c r="N10" s="7">
        <v>1900</v>
      </c>
      <c r="O10" s="7">
        <v>6000</v>
      </c>
    </row>
    <row r="11" spans="1:15">
      <c r="A11" s="2" t="s">
        <v>210</v>
      </c>
      <c r="B11" s="7">
        <v>7</v>
      </c>
      <c r="C11" s="2" t="s">
        <v>211</v>
      </c>
      <c r="D11" s="7">
        <v>1000</v>
      </c>
      <c r="E11" s="7">
        <v>1000</v>
      </c>
      <c r="F11" s="7">
        <v>0</v>
      </c>
      <c r="G11" s="7">
        <v>0</v>
      </c>
      <c r="H11" s="7">
        <v>0</v>
      </c>
      <c r="I11" s="7">
        <v>100</v>
      </c>
      <c r="J11" s="7">
        <v>1900</v>
      </c>
      <c r="K11" s="7">
        <v>300</v>
      </c>
      <c r="L11" s="7">
        <v>4000</v>
      </c>
      <c r="M11" s="7">
        <v>-2400</v>
      </c>
      <c r="N11" s="7">
        <v>1900</v>
      </c>
      <c r="O11" s="7">
        <v>7000</v>
      </c>
    </row>
    <row r="12" spans="1:15">
      <c r="A12" s="2" t="s">
        <v>210</v>
      </c>
      <c r="B12" s="7">
        <v>8</v>
      </c>
      <c r="C12" s="2" t="s">
        <v>211</v>
      </c>
      <c r="D12" s="7">
        <v>1000</v>
      </c>
      <c r="E12" s="7">
        <v>1000</v>
      </c>
      <c r="F12" s="7">
        <v>0</v>
      </c>
      <c r="G12" s="7">
        <v>0</v>
      </c>
      <c r="H12" s="7">
        <v>0</v>
      </c>
      <c r="I12" s="7">
        <v>100</v>
      </c>
      <c r="J12" s="7">
        <v>1900</v>
      </c>
      <c r="K12" s="7">
        <v>300</v>
      </c>
      <c r="L12" s="7">
        <v>4000</v>
      </c>
      <c r="M12" s="7">
        <v>-2400</v>
      </c>
      <c r="N12" s="7">
        <v>1900</v>
      </c>
      <c r="O12" s="7">
        <v>8000</v>
      </c>
    </row>
    <row r="13" spans="1:15">
      <c r="A13" s="2" t="s">
        <v>210</v>
      </c>
      <c r="B13" s="7">
        <v>9</v>
      </c>
      <c r="C13" s="2" t="s">
        <v>211</v>
      </c>
      <c r="D13" s="7">
        <v>1000</v>
      </c>
      <c r="E13" s="7">
        <v>1000</v>
      </c>
      <c r="F13" s="7">
        <v>0</v>
      </c>
      <c r="G13" s="7">
        <v>0</v>
      </c>
      <c r="H13" s="7">
        <v>0</v>
      </c>
      <c r="I13" s="7">
        <v>100</v>
      </c>
      <c r="J13" s="7">
        <v>1900</v>
      </c>
      <c r="K13" s="7">
        <v>300</v>
      </c>
      <c r="L13" s="7">
        <v>4000</v>
      </c>
      <c r="M13" s="7">
        <v>-2400</v>
      </c>
      <c r="N13" s="7">
        <v>1900</v>
      </c>
      <c r="O13" s="7">
        <v>9000</v>
      </c>
    </row>
    <row r="14" spans="1:15">
      <c r="A14" s="2" t="s">
        <v>210</v>
      </c>
      <c r="B14" s="7">
        <v>10</v>
      </c>
      <c r="C14" s="2" t="s">
        <v>211</v>
      </c>
      <c r="D14" s="7">
        <v>1000</v>
      </c>
      <c r="E14" s="7">
        <v>1000</v>
      </c>
      <c r="F14" s="7">
        <v>0</v>
      </c>
      <c r="G14" s="7">
        <v>0</v>
      </c>
      <c r="H14" s="7">
        <v>0</v>
      </c>
      <c r="I14" s="7">
        <v>100</v>
      </c>
      <c r="J14" s="7">
        <v>1900</v>
      </c>
      <c r="K14" s="7">
        <v>300</v>
      </c>
      <c r="L14" s="7">
        <v>4000</v>
      </c>
      <c r="M14" s="7">
        <v>-2400</v>
      </c>
      <c r="N14" s="7">
        <v>1900</v>
      </c>
      <c r="O14" s="7">
        <v>10000</v>
      </c>
    </row>
    <row r="15" spans="1:15">
      <c r="A15" s="2" t="s">
        <v>210</v>
      </c>
      <c r="B15" s="7">
        <v>11</v>
      </c>
      <c r="C15" s="2" t="s">
        <v>211</v>
      </c>
      <c r="D15" s="7">
        <v>1000</v>
      </c>
      <c r="E15" s="7">
        <v>1000</v>
      </c>
      <c r="F15" s="7">
        <v>0</v>
      </c>
      <c r="G15" s="7">
        <v>0</v>
      </c>
      <c r="H15" s="7">
        <v>0</v>
      </c>
      <c r="I15" s="7">
        <v>100</v>
      </c>
      <c r="J15" s="7">
        <v>1900</v>
      </c>
      <c r="K15" s="7">
        <v>300</v>
      </c>
      <c r="L15" s="7">
        <v>4000</v>
      </c>
      <c r="M15" s="7">
        <v>-2400</v>
      </c>
      <c r="N15" s="7">
        <v>1900</v>
      </c>
      <c r="O15" s="7">
        <v>11000</v>
      </c>
    </row>
    <row r="16" spans="1:15">
      <c r="A16" s="2" t="s">
        <v>210</v>
      </c>
      <c r="B16" s="7">
        <v>12</v>
      </c>
      <c r="C16" s="2" t="s">
        <v>211</v>
      </c>
      <c r="D16" s="7">
        <v>1000</v>
      </c>
      <c r="E16" s="7">
        <v>1000</v>
      </c>
      <c r="F16" s="7">
        <v>0</v>
      </c>
      <c r="G16" s="7">
        <v>0</v>
      </c>
      <c r="H16" s="7">
        <v>0</v>
      </c>
      <c r="I16" s="7">
        <v>100</v>
      </c>
      <c r="J16" s="7">
        <v>1900</v>
      </c>
      <c r="K16" s="7">
        <v>300</v>
      </c>
      <c r="L16" s="7">
        <v>4000</v>
      </c>
      <c r="M16" s="7">
        <v>-2400</v>
      </c>
      <c r="N16" s="7">
        <v>1900</v>
      </c>
      <c r="O16" s="7">
        <v>12000</v>
      </c>
    </row>
    <row r="17" spans="1:15">
      <c r="A17" s="2" t="s">
        <v>210</v>
      </c>
      <c r="B17" s="7">
        <v>13</v>
      </c>
      <c r="C17" s="2" t="s">
        <v>211</v>
      </c>
      <c r="D17" s="7">
        <v>1000</v>
      </c>
      <c r="E17" s="7">
        <v>1000</v>
      </c>
      <c r="F17" s="7">
        <v>0</v>
      </c>
      <c r="G17" s="7">
        <v>0</v>
      </c>
      <c r="H17" s="7">
        <v>0</v>
      </c>
      <c r="I17" s="7">
        <v>100</v>
      </c>
      <c r="J17" s="7">
        <v>1900</v>
      </c>
      <c r="K17" s="7">
        <v>300</v>
      </c>
      <c r="L17" s="7">
        <v>4000</v>
      </c>
      <c r="M17" s="7">
        <v>-2400</v>
      </c>
      <c r="N17" s="7">
        <v>1900</v>
      </c>
      <c r="O17" s="7">
        <v>13000</v>
      </c>
    </row>
    <row r="18" spans="1:15">
      <c r="A18" s="2" t="s">
        <v>210</v>
      </c>
      <c r="B18" s="7">
        <v>14</v>
      </c>
      <c r="C18" s="2" t="s">
        <v>211</v>
      </c>
      <c r="D18" s="7">
        <v>1000</v>
      </c>
      <c r="E18" s="7">
        <v>1000</v>
      </c>
      <c r="F18" s="7">
        <v>0</v>
      </c>
      <c r="G18" s="7">
        <v>0</v>
      </c>
      <c r="H18" s="7">
        <v>0</v>
      </c>
      <c r="I18" s="7">
        <v>100</v>
      </c>
      <c r="J18" s="7">
        <v>1900</v>
      </c>
      <c r="K18" s="7">
        <v>300</v>
      </c>
      <c r="L18" s="7">
        <v>4000</v>
      </c>
      <c r="M18" s="7">
        <v>-2400</v>
      </c>
      <c r="N18" s="7">
        <v>1900</v>
      </c>
      <c r="O18" s="7">
        <v>14000</v>
      </c>
    </row>
    <row r="19" spans="1:15">
      <c r="A19" s="2" t="s">
        <v>210</v>
      </c>
      <c r="B19" s="7">
        <v>15</v>
      </c>
      <c r="C19" s="2" t="s">
        <v>211</v>
      </c>
      <c r="D19" s="7">
        <v>1000</v>
      </c>
      <c r="E19" s="7">
        <v>1000</v>
      </c>
      <c r="F19" s="7">
        <v>0</v>
      </c>
      <c r="G19" s="7">
        <v>0</v>
      </c>
      <c r="H19" s="7">
        <v>0</v>
      </c>
      <c r="I19" s="7">
        <v>100</v>
      </c>
      <c r="J19" s="7">
        <v>1900</v>
      </c>
      <c r="K19" s="7">
        <v>300</v>
      </c>
      <c r="L19" s="7">
        <v>4000</v>
      </c>
      <c r="M19" s="7">
        <v>-2400</v>
      </c>
      <c r="N19" s="7">
        <v>1900</v>
      </c>
      <c r="O19" s="7">
        <v>15000</v>
      </c>
    </row>
    <row r="20" spans="1:15">
      <c r="A20" s="2" t="s">
        <v>210</v>
      </c>
      <c r="B20" s="7">
        <v>16</v>
      </c>
      <c r="C20" s="2" t="s">
        <v>211</v>
      </c>
      <c r="D20" s="7">
        <v>1000</v>
      </c>
      <c r="E20" s="7">
        <v>1000</v>
      </c>
      <c r="F20" s="7">
        <v>0</v>
      </c>
      <c r="G20" s="7">
        <v>0</v>
      </c>
      <c r="H20" s="7">
        <v>0</v>
      </c>
      <c r="I20" s="7">
        <v>100</v>
      </c>
      <c r="J20" s="7">
        <v>1900</v>
      </c>
      <c r="K20" s="7">
        <v>300</v>
      </c>
      <c r="L20" s="7">
        <v>4000</v>
      </c>
      <c r="M20" s="7">
        <v>-2400</v>
      </c>
      <c r="N20" s="7">
        <v>1900</v>
      </c>
      <c r="O20" s="7">
        <v>16000</v>
      </c>
    </row>
    <row r="21" spans="1:15">
      <c r="A21" s="2" t="s">
        <v>210</v>
      </c>
      <c r="B21" s="7">
        <v>17</v>
      </c>
      <c r="C21" s="2" t="s">
        <v>211</v>
      </c>
      <c r="D21" s="7">
        <v>1000</v>
      </c>
      <c r="E21" s="7">
        <v>1000</v>
      </c>
      <c r="F21" s="7">
        <v>0</v>
      </c>
      <c r="G21" s="7">
        <v>0</v>
      </c>
      <c r="H21" s="7">
        <v>0</v>
      </c>
      <c r="I21" s="7">
        <v>100</v>
      </c>
      <c r="J21" s="7">
        <v>1900</v>
      </c>
      <c r="K21" s="7">
        <v>300</v>
      </c>
      <c r="L21" s="7">
        <v>4000</v>
      </c>
      <c r="M21" s="7">
        <v>-2400</v>
      </c>
      <c r="N21" s="7">
        <v>1900</v>
      </c>
      <c r="O21" s="7">
        <v>17000</v>
      </c>
    </row>
    <row r="22" spans="1:15">
      <c r="A22" s="2" t="s">
        <v>210</v>
      </c>
      <c r="B22" s="7">
        <v>18</v>
      </c>
      <c r="C22" s="2" t="s">
        <v>211</v>
      </c>
      <c r="D22" s="7">
        <v>1000</v>
      </c>
      <c r="E22" s="7">
        <v>1000</v>
      </c>
      <c r="F22" s="7">
        <v>0</v>
      </c>
      <c r="G22" s="7">
        <v>0</v>
      </c>
      <c r="H22" s="7">
        <v>0</v>
      </c>
      <c r="I22" s="7">
        <v>100</v>
      </c>
      <c r="J22" s="7">
        <v>1900</v>
      </c>
      <c r="K22" s="7">
        <v>300</v>
      </c>
      <c r="L22" s="7">
        <v>4000</v>
      </c>
      <c r="M22" s="7">
        <v>-2400</v>
      </c>
      <c r="N22" s="7">
        <v>1900</v>
      </c>
      <c r="O22" s="7">
        <v>18000</v>
      </c>
    </row>
    <row r="23" spans="1:15">
      <c r="A23" s="2" t="s">
        <v>210</v>
      </c>
      <c r="B23" s="7">
        <v>19</v>
      </c>
      <c r="C23" s="2" t="s">
        <v>211</v>
      </c>
      <c r="D23" s="7">
        <v>1000</v>
      </c>
      <c r="E23" s="7">
        <v>1000</v>
      </c>
      <c r="F23" s="7">
        <v>0</v>
      </c>
      <c r="G23" s="7">
        <v>0</v>
      </c>
      <c r="H23" s="7">
        <v>0</v>
      </c>
      <c r="I23" s="7">
        <v>100</v>
      </c>
      <c r="J23" s="7">
        <v>1900</v>
      </c>
      <c r="K23" s="7">
        <v>300</v>
      </c>
      <c r="L23" s="7">
        <v>4000</v>
      </c>
      <c r="M23" s="7">
        <v>-2400</v>
      </c>
      <c r="N23" s="7">
        <v>1900</v>
      </c>
      <c r="O23" s="7">
        <v>19000</v>
      </c>
    </row>
    <row r="24" spans="1:15">
      <c r="A24" s="2" t="s">
        <v>210</v>
      </c>
      <c r="B24" s="7">
        <v>20</v>
      </c>
      <c r="C24" s="2" t="s">
        <v>211</v>
      </c>
      <c r="D24" s="7">
        <v>1000</v>
      </c>
      <c r="E24" s="7">
        <v>1000</v>
      </c>
      <c r="F24" s="7">
        <v>0</v>
      </c>
      <c r="G24" s="7">
        <v>0</v>
      </c>
      <c r="H24" s="7">
        <v>0</v>
      </c>
      <c r="I24" s="7">
        <v>100</v>
      </c>
      <c r="J24" s="7">
        <v>1900</v>
      </c>
      <c r="K24" s="7">
        <v>300</v>
      </c>
      <c r="L24" s="7">
        <v>4000</v>
      </c>
      <c r="M24" s="7">
        <v>-2400</v>
      </c>
      <c r="N24" s="7">
        <v>1900</v>
      </c>
      <c r="O24" s="7">
        <v>20000</v>
      </c>
    </row>
    <row r="25" spans="1:15">
      <c r="A25" s="2" t="s">
        <v>210</v>
      </c>
      <c r="B25" s="7">
        <v>21</v>
      </c>
      <c r="C25" s="2" t="s">
        <v>211</v>
      </c>
      <c r="D25" s="7">
        <v>1000</v>
      </c>
      <c r="E25" s="7">
        <v>1000</v>
      </c>
      <c r="F25" s="7">
        <v>0</v>
      </c>
      <c r="G25" s="7">
        <v>0</v>
      </c>
      <c r="H25" s="7">
        <v>0</v>
      </c>
      <c r="I25" s="7">
        <v>100</v>
      </c>
      <c r="J25" s="7">
        <v>1900</v>
      </c>
      <c r="K25" s="7">
        <v>300</v>
      </c>
      <c r="L25" s="7">
        <v>4000</v>
      </c>
      <c r="M25" s="7">
        <v>-2400</v>
      </c>
      <c r="N25" s="7">
        <v>1900</v>
      </c>
      <c r="O25" s="7">
        <v>21000</v>
      </c>
    </row>
    <row r="26" spans="1:15">
      <c r="A26" s="2" t="s">
        <v>210</v>
      </c>
      <c r="B26" s="7">
        <v>22</v>
      </c>
      <c r="C26" s="2" t="s">
        <v>211</v>
      </c>
      <c r="D26" s="7">
        <v>1000</v>
      </c>
      <c r="E26" s="7">
        <v>1000</v>
      </c>
      <c r="F26" s="7">
        <v>0</v>
      </c>
      <c r="G26" s="7">
        <v>0</v>
      </c>
      <c r="H26" s="7">
        <v>0</v>
      </c>
      <c r="I26" s="7">
        <v>100</v>
      </c>
      <c r="J26" s="7">
        <v>1900</v>
      </c>
      <c r="K26" s="7">
        <v>300</v>
      </c>
      <c r="L26" s="7">
        <v>4000</v>
      </c>
      <c r="M26" s="7">
        <v>-2400</v>
      </c>
      <c r="N26" s="7">
        <v>1900</v>
      </c>
      <c r="O26" s="7">
        <v>22000</v>
      </c>
    </row>
    <row r="27" spans="1:15">
      <c r="A27" s="2" t="s">
        <v>210</v>
      </c>
      <c r="B27" s="7">
        <v>23</v>
      </c>
      <c r="C27" s="2" t="s">
        <v>211</v>
      </c>
      <c r="D27" s="7">
        <v>1000</v>
      </c>
      <c r="E27" s="7">
        <v>1000</v>
      </c>
      <c r="F27" s="7">
        <v>0</v>
      </c>
      <c r="G27" s="7">
        <v>0</v>
      </c>
      <c r="H27" s="7">
        <v>0</v>
      </c>
      <c r="I27" s="7">
        <v>100</v>
      </c>
      <c r="J27" s="7">
        <v>1900</v>
      </c>
      <c r="K27" s="7">
        <v>300</v>
      </c>
      <c r="L27" s="7">
        <v>4000</v>
      </c>
      <c r="M27" s="7">
        <v>-2400</v>
      </c>
      <c r="N27" s="7">
        <v>1900</v>
      </c>
      <c r="O27" s="7">
        <v>23000</v>
      </c>
    </row>
    <row r="28" spans="1:15">
      <c r="A28" s="2" t="s">
        <v>210</v>
      </c>
      <c r="B28" s="7">
        <v>24</v>
      </c>
      <c r="C28" s="2" t="s">
        <v>211</v>
      </c>
      <c r="D28" s="7">
        <v>1000</v>
      </c>
      <c r="E28" s="7">
        <v>1000</v>
      </c>
      <c r="F28" s="7">
        <v>0</v>
      </c>
      <c r="G28" s="7">
        <v>0</v>
      </c>
      <c r="H28" s="7">
        <v>0</v>
      </c>
      <c r="I28" s="7">
        <v>100</v>
      </c>
      <c r="J28" s="7">
        <v>1900</v>
      </c>
      <c r="K28" s="7">
        <v>300</v>
      </c>
      <c r="L28" s="7">
        <v>4000</v>
      </c>
      <c r="M28" s="7">
        <v>-2400</v>
      </c>
      <c r="N28" s="7">
        <v>1900</v>
      </c>
      <c r="O28" s="7">
        <v>24000</v>
      </c>
    </row>
    <row r="29" spans="1:15">
      <c r="A29" s="2" t="s">
        <v>210</v>
      </c>
      <c r="B29" s="7">
        <v>25</v>
      </c>
      <c r="C29" s="2" t="s">
        <v>211</v>
      </c>
      <c r="D29" s="7">
        <v>1000</v>
      </c>
      <c r="E29" s="7">
        <v>1000</v>
      </c>
      <c r="F29" s="7">
        <v>0</v>
      </c>
      <c r="G29" s="7">
        <v>0</v>
      </c>
      <c r="H29" s="7">
        <v>0</v>
      </c>
      <c r="I29" s="7">
        <v>100</v>
      </c>
      <c r="J29" s="7">
        <v>1900</v>
      </c>
      <c r="K29" s="7">
        <v>300</v>
      </c>
      <c r="L29" s="7">
        <v>4000</v>
      </c>
      <c r="M29" s="7">
        <v>-2400</v>
      </c>
      <c r="N29" s="7">
        <v>1900</v>
      </c>
      <c r="O29" s="7">
        <v>25000</v>
      </c>
    </row>
    <row r="30" spans="1:15">
      <c r="A30" s="2" t="s">
        <v>210</v>
      </c>
      <c r="B30" s="7">
        <v>26</v>
      </c>
      <c r="C30" s="2" t="s">
        <v>211</v>
      </c>
      <c r="D30" s="7">
        <v>1000</v>
      </c>
      <c r="E30" s="7">
        <v>1000</v>
      </c>
      <c r="F30" s="7">
        <v>0</v>
      </c>
      <c r="G30" s="7">
        <v>0</v>
      </c>
      <c r="H30" s="7">
        <v>0</v>
      </c>
      <c r="I30" s="7">
        <v>100</v>
      </c>
      <c r="J30" s="7">
        <v>1900</v>
      </c>
      <c r="K30" s="7">
        <v>300</v>
      </c>
      <c r="L30" s="7">
        <v>4000</v>
      </c>
      <c r="M30" s="7">
        <v>-2400</v>
      </c>
      <c r="N30" s="7">
        <v>1900</v>
      </c>
      <c r="O30" s="7">
        <v>26000</v>
      </c>
    </row>
    <row r="31" spans="1:15">
      <c r="A31" s="2" t="s">
        <v>210</v>
      </c>
      <c r="B31" s="7">
        <v>27</v>
      </c>
      <c r="C31" s="2" t="s">
        <v>211</v>
      </c>
      <c r="D31" s="7">
        <v>1000</v>
      </c>
      <c r="E31" s="7">
        <v>1000</v>
      </c>
      <c r="F31" s="7">
        <v>0</v>
      </c>
      <c r="G31" s="7">
        <v>0</v>
      </c>
      <c r="H31" s="7">
        <v>0</v>
      </c>
      <c r="I31" s="7">
        <v>100</v>
      </c>
      <c r="J31" s="7">
        <v>1900</v>
      </c>
      <c r="K31" s="7">
        <v>300</v>
      </c>
      <c r="L31" s="7">
        <v>4000</v>
      </c>
      <c r="M31" s="7">
        <v>-2400</v>
      </c>
      <c r="N31" s="7">
        <v>1900</v>
      </c>
      <c r="O31" s="7">
        <v>27000</v>
      </c>
    </row>
    <row r="32" spans="1:15">
      <c r="A32" s="2" t="s">
        <v>210</v>
      </c>
      <c r="B32" s="7">
        <v>28</v>
      </c>
      <c r="C32" s="2" t="s">
        <v>211</v>
      </c>
      <c r="D32" s="7">
        <v>1000</v>
      </c>
      <c r="E32" s="7">
        <v>1000</v>
      </c>
      <c r="F32" s="7">
        <v>0</v>
      </c>
      <c r="G32" s="7">
        <v>0</v>
      </c>
      <c r="H32" s="7">
        <v>0</v>
      </c>
      <c r="I32" s="7">
        <v>100</v>
      </c>
      <c r="J32" s="7">
        <v>1900</v>
      </c>
      <c r="K32" s="7">
        <v>300</v>
      </c>
      <c r="L32" s="7">
        <v>4000</v>
      </c>
      <c r="M32" s="7">
        <v>-2400</v>
      </c>
      <c r="N32" s="7">
        <v>1900</v>
      </c>
      <c r="O32" s="7">
        <v>28000</v>
      </c>
    </row>
    <row r="33" spans="1:15">
      <c r="A33" s="2" t="s">
        <v>210</v>
      </c>
      <c r="B33" s="7">
        <v>29</v>
      </c>
      <c r="C33" s="2" t="s">
        <v>211</v>
      </c>
      <c r="D33" s="7">
        <v>1000</v>
      </c>
      <c r="E33" s="7">
        <v>1000</v>
      </c>
      <c r="F33" s="7">
        <v>0</v>
      </c>
      <c r="G33" s="7">
        <v>0</v>
      </c>
      <c r="H33" s="7">
        <v>0</v>
      </c>
      <c r="I33" s="7">
        <v>100</v>
      </c>
      <c r="J33" s="7">
        <v>1900</v>
      </c>
      <c r="K33" s="7">
        <v>300</v>
      </c>
      <c r="L33" s="7">
        <v>4000</v>
      </c>
      <c r="M33" s="7">
        <v>-2400</v>
      </c>
      <c r="N33" s="7">
        <v>1900</v>
      </c>
      <c r="O33" s="7">
        <v>29000</v>
      </c>
    </row>
    <row r="34" spans="1:15">
      <c r="A34" s="2" t="s">
        <v>210</v>
      </c>
      <c r="B34" s="7">
        <v>30</v>
      </c>
      <c r="C34" s="2" t="s">
        <v>211</v>
      </c>
      <c r="D34" s="7">
        <v>1000</v>
      </c>
      <c r="E34" s="7">
        <v>1000</v>
      </c>
      <c r="F34" s="7">
        <v>0</v>
      </c>
      <c r="G34" s="7">
        <v>0</v>
      </c>
      <c r="H34" s="7">
        <v>0</v>
      </c>
      <c r="I34" s="7">
        <v>100</v>
      </c>
      <c r="J34" s="7">
        <v>1900</v>
      </c>
      <c r="K34" s="7">
        <v>300</v>
      </c>
      <c r="L34" s="7">
        <v>4000</v>
      </c>
      <c r="M34" s="7">
        <v>-2400</v>
      </c>
      <c r="N34" s="7">
        <v>1900</v>
      </c>
      <c r="O34" s="7">
        <v>30000</v>
      </c>
    </row>
    <row r="35" spans="1:15">
      <c r="A35" s="2" t="s">
        <v>210</v>
      </c>
      <c r="B35" s="7">
        <v>31</v>
      </c>
      <c r="C35" s="2" t="s">
        <v>211</v>
      </c>
      <c r="D35" s="7">
        <v>1000</v>
      </c>
      <c r="E35" s="7">
        <v>1000</v>
      </c>
      <c r="F35" s="7">
        <v>0</v>
      </c>
      <c r="G35" s="7">
        <v>0</v>
      </c>
      <c r="H35" s="7">
        <v>0</v>
      </c>
      <c r="I35" s="7">
        <v>100</v>
      </c>
      <c r="J35" s="7">
        <v>1900</v>
      </c>
      <c r="K35" s="7">
        <v>300</v>
      </c>
      <c r="L35" s="7">
        <v>4000</v>
      </c>
      <c r="M35" s="7">
        <v>-2400</v>
      </c>
      <c r="N35" s="7">
        <v>1900</v>
      </c>
      <c r="O35" s="7">
        <v>31000</v>
      </c>
    </row>
    <row r="36" spans="1:15">
      <c r="A36" s="2" t="s">
        <v>210</v>
      </c>
      <c r="B36" s="7">
        <v>32</v>
      </c>
      <c r="C36" s="2" t="s">
        <v>211</v>
      </c>
      <c r="D36" s="7">
        <v>1000</v>
      </c>
      <c r="E36" s="7">
        <v>1000</v>
      </c>
      <c r="F36" s="7">
        <v>0</v>
      </c>
      <c r="G36" s="7">
        <v>0</v>
      </c>
      <c r="H36" s="7">
        <v>0</v>
      </c>
      <c r="I36" s="7">
        <v>100</v>
      </c>
      <c r="J36" s="7">
        <v>1900</v>
      </c>
      <c r="K36" s="7">
        <v>300</v>
      </c>
      <c r="L36" s="7">
        <v>4000</v>
      </c>
      <c r="M36" s="7">
        <v>-2400</v>
      </c>
      <c r="N36" s="7">
        <v>1900</v>
      </c>
      <c r="O36" s="7">
        <v>32000</v>
      </c>
    </row>
    <row r="37" spans="1:15">
      <c r="A37" s="2" t="s">
        <v>210</v>
      </c>
      <c r="B37" s="7">
        <v>33</v>
      </c>
      <c r="C37" s="2" t="s">
        <v>211</v>
      </c>
      <c r="D37" s="7">
        <v>1000</v>
      </c>
      <c r="E37" s="7">
        <v>1000</v>
      </c>
      <c r="F37" s="7">
        <v>0</v>
      </c>
      <c r="G37" s="7">
        <v>0</v>
      </c>
      <c r="H37" s="7">
        <v>0</v>
      </c>
      <c r="I37" s="7">
        <v>100</v>
      </c>
      <c r="J37" s="7">
        <v>1900</v>
      </c>
      <c r="K37" s="7">
        <v>300</v>
      </c>
      <c r="L37" s="7">
        <v>4000</v>
      </c>
      <c r="M37" s="7">
        <v>-2400</v>
      </c>
      <c r="N37" s="7">
        <v>1900</v>
      </c>
      <c r="O37" s="7">
        <v>33000</v>
      </c>
    </row>
    <row r="38" spans="1:15">
      <c r="A38" s="2" t="s">
        <v>210</v>
      </c>
      <c r="B38" s="7">
        <v>34</v>
      </c>
      <c r="C38" s="2" t="s">
        <v>211</v>
      </c>
      <c r="D38" s="7">
        <v>1000</v>
      </c>
      <c r="E38" s="7">
        <v>1000</v>
      </c>
      <c r="F38" s="7">
        <v>0</v>
      </c>
      <c r="G38" s="7">
        <v>0</v>
      </c>
      <c r="H38" s="7">
        <v>0</v>
      </c>
      <c r="I38" s="7">
        <v>100</v>
      </c>
      <c r="J38" s="7">
        <v>1900</v>
      </c>
      <c r="K38" s="7">
        <v>300</v>
      </c>
      <c r="L38" s="7">
        <v>4000</v>
      </c>
      <c r="M38" s="7">
        <v>-2400</v>
      </c>
      <c r="N38" s="7">
        <v>1900</v>
      </c>
      <c r="O38" s="7">
        <v>34000</v>
      </c>
    </row>
    <row r="39" spans="1:15">
      <c r="A39" s="2" t="s">
        <v>210</v>
      </c>
      <c r="B39" s="7">
        <v>35</v>
      </c>
      <c r="C39" s="2" t="s">
        <v>211</v>
      </c>
      <c r="D39" s="7">
        <v>1000</v>
      </c>
      <c r="E39" s="7">
        <v>1000</v>
      </c>
      <c r="F39" s="7">
        <v>0</v>
      </c>
      <c r="G39" s="7">
        <v>0</v>
      </c>
      <c r="H39" s="7">
        <v>0</v>
      </c>
      <c r="I39" s="7">
        <v>100</v>
      </c>
      <c r="J39" s="7">
        <v>1900</v>
      </c>
      <c r="K39" s="7">
        <v>300</v>
      </c>
      <c r="L39" s="7">
        <v>4000</v>
      </c>
      <c r="M39" s="7">
        <v>-2400</v>
      </c>
      <c r="N39" s="7">
        <v>1900</v>
      </c>
      <c r="O39" s="7">
        <v>35000</v>
      </c>
    </row>
    <row r="40" spans="1:15">
      <c r="A40" s="2" t="s">
        <v>210</v>
      </c>
      <c r="B40" s="7">
        <v>36</v>
      </c>
      <c r="C40" s="2" t="s">
        <v>211</v>
      </c>
      <c r="D40" s="7">
        <v>1000</v>
      </c>
      <c r="E40" s="7">
        <v>1000</v>
      </c>
      <c r="F40" s="7">
        <v>0</v>
      </c>
      <c r="G40" s="7">
        <v>0</v>
      </c>
      <c r="H40" s="7">
        <v>0</v>
      </c>
      <c r="I40" s="7">
        <v>100</v>
      </c>
      <c r="J40" s="7">
        <v>1900</v>
      </c>
      <c r="K40" s="7">
        <v>300</v>
      </c>
      <c r="L40" s="7">
        <v>4000</v>
      </c>
      <c r="M40" s="7">
        <v>-2400</v>
      </c>
      <c r="N40" s="7">
        <v>1900</v>
      </c>
      <c r="O40" s="7">
        <v>36000</v>
      </c>
    </row>
    <row r="41" spans="1:15">
      <c r="A41" s="2" t="s">
        <v>212</v>
      </c>
      <c r="B41" s="7">
        <v>1</v>
      </c>
      <c r="C41" s="2" t="s">
        <v>213</v>
      </c>
      <c r="D41" s="7">
        <v>1000</v>
      </c>
      <c r="E41" s="7">
        <v>1000</v>
      </c>
      <c r="F41" s="7">
        <v>0</v>
      </c>
      <c r="G41" s="7">
        <v>0</v>
      </c>
      <c r="H41" s="7">
        <v>0</v>
      </c>
      <c r="I41" s="7">
        <v>100</v>
      </c>
      <c r="J41" s="7">
        <v>1900</v>
      </c>
      <c r="K41" s="7">
        <v>300</v>
      </c>
      <c r="L41" s="7">
        <v>4000</v>
      </c>
      <c r="M41" s="7">
        <v>-2400</v>
      </c>
      <c r="N41" s="7">
        <v>1900</v>
      </c>
      <c r="O41" s="7">
        <v>0</v>
      </c>
    </row>
    <row r="42" spans="1:15">
      <c r="A42" s="2" t="s">
        <v>212</v>
      </c>
      <c r="B42" s="7">
        <v>2</v>
      </c>
      <c r="C42" s="2" t="s">
        <v>213</v>
      </c>
      <c r="D42" s="7">
        <v>1000</v>
      </c>
      <c r="E42" s="7">
        <v>1000</v>
      </c>
      <c r="F42" s="7">
        <v>0</v>
      </c>
      <c r="G42" s="7">
        <v>1000</v>
      </c>
      <c r="H42" s="7">
        <v>0</v>
      </c>
      <c r="I42" s="7">
        <v>100</v>
      </c>
      <c r="J42" s="7">
        <v>1900</v>
      </c>
      <c r="K42" s="7">
        <v>310</v>
      </c>
      <c r="L42" s="7">
        <v>4000</v>
      </c>
      <c r="M42" s="7">
        <v>-2410</v>
      </c>
      <c r="N42" s="7">
        <v>1900</v>
      </c>
      <c r="O42" s="7">
        <v>0</v>
      </c>
    </row>
    <row r="43" spans="1:15">
      <c r="A43" s="2" t="s">
        <v>212</v>
      </c>
      <c r="B43" s="7">
        <v>3</v>
      </c>
      <c r="C43" s="2" t="s">
        <v>213</v>
      </c>
      <c r="D43" s="7">
        <v>1000</v>
      </c>
      <c r="E43" s="7">
        <v>1000</v>
      </c>
      <c r="F43" s="7">
        <v>0</v>
      </c>
      <c r="G43" s="7">
        <v>2000</v>
      </c>
      <c r="H43" s="7">
        <v>0</v>
      </c>
      <c r="I43" s="7">
        <v>100</v>
      </c>
      <c r="J43" s="7">
        <v>1900</v>
      </c>
      <c r="K43" s="7">
        <v>320</v>
      </c>
      <c r="L43" s="7">
        <v>4000</v>
      </c>
      <c r="M43" s="7">
        <v>-2420</v>
      </c>
      <c r="N43" s="7">
        <v>1900</v>
      </c>
      <c r="O43" s="7">
        <v>0</v>
      </c>
    </row>
    <row r="44" spans="1:15">
      <c r="A44" s="2" t="s">
        <v>212</v>
      </c>
      <c r="B44" s="7">
        <v>4</v>
      </c>
      <c r="C44" s="2" t="s">
        <v>213</v>
      </c>
      <c r="D44" s="7">
        <v>1000</v>
      </c>
      <c r="E44" s="7">
        <v>1000</v>
      </c>
      <c r="F44" s="7">
        <v>0</v>
      </c>
      <c r="G44" s="7">
        <v>3000</v>
      </c>
      <c r="H44" s="7">
        <v>0</v>
      </c>
      <c r="I44" s="7">
        <v>100</v>
      </c>
      <c r="J44" s="7">
        <v>1900</v>
      </c>
      <c r="K44" s="7">
        <v>330</v>
      </c>
      <c r="L44" s="7">
        <v>4000</v>
      </c>
      <c r="M44" s="7">
        <v>-2430</v>
      </c>
      <c r="N44" s="7">
        <v>1900</v>
      </c>
      <c r="O44" s="7">
        <v>0</v>
      </c>
    </row>
    <row r="45" spans="1:15">
      <c r="A45" s="2" t="s">
        <v>212</v>
      </c>
      <c r="B45" s="7">
        <v>5</v>
      </c>
      <c r="C45" s="2" t="s">
        <v>213</v>
      </c>
      <c r="D45" s="7">
        <v>1000</v>
      </c>
      <c r="E45" s="7">
        <v>1000</v>
      </c>
      <c r="F45" s="7">
        <v>0</v>
      </c>
      <c r="G45" s="7">
        <v>4000</v>
      </c>
      <c r="H45" s="7">
        <v>0</v>
      </c>
      <c r="I45" s="7">
        <v>100</v>
      </c>
      <c r="J45" s="7">
        <v>1900</v>
      </c>
      <c r="K45" s="7">
        <v>340</v>
      </c>
      <c r="L45" s="7">
        <v>4000</v>
      </c>
      <c r="M45" s="7">
        <v>-2440</v>
      </c>
      <c r="N45" s="7">
        <v>1900</v>
      </c>
      <c r="O45" s="7">
        <v>0</v>
      </c>
    </row>
    <row r="46" spans="1:15">
      <c r="A46" s="2" t="s">
        <v>212</v>
      </c>
      <c r="B46" s="7">
        <v>6</v>
      </c>
      <c r="C46" s="2" t="s">
        <v>213</v>
      </c>
      <c r="D46" s="7">
        <v>1000</v>
      </c>
      <c r="E46" s="7">
        <v>1000</v>
      </c>
      <c r="F46" s="7">
        <v>0</v>
      </c>
      <c r="G46" s="7">
        <v>5000</v>
      </c>
      <c r="H46" s="7">
        <v>0</v>
      </c>
      <c r="I46" s="7">
        <v>100</v>
      </c>
      <c r="J46" s="7">
        <v>1900</v>
      </c>
      <c r="K46" s="7">
        <v>350</v>
      </c>
      <c r="L46" s="7">
        <v>4000</v>
      </c>
      <c r="M46" s="7">
        <v>-2450</v>
      </c>
      <c r="N46" s="7">
        <v>1900</v>
      </c>
      <c r="O46" s="7">
        <v>0</v>
      </c>
    </row>
    <row r="47" spans="1:15">
      <c r="A47" s="2" t="s">
        <v>212</v>
      </c>
      <c r="B47" s="7">
        <v>7</v>
      </c>
      <c r="C47" s="2" t="s">
        <v>213</v>
      </c>
      <c r="D47" s="7">
        <v>1000</v>
      </c>
      <c r="E47" s="7">
        <v>1900</v>
      </c>
      <c r="F47" s="7">
        <v>100</v>
      </c>
      <c r="G47" s="7">
        <v>5000</v>
      </c>
      <c r="H47" s="7">
        <v>1000</v>
      </c>
      <c r="I47" s="7">
        <v>190</v>
      </c>
      <c r="J47" s="7">
        <v>3610</v>
      </c>
      <c r="K47" s="7">
        <v>850</v>
      </c>
      <c r="L47" s="7">
        <v>4000</v>
      </c>
      <c r="M47" s="7">
        <v>-1240</v>
      </c>
      <c r="N47" s="7">
        <v>3610</v>
      </c>
      <c r="O47" s="7">
        <v>0</v>
      </c>
    </row>
    <row r="48" spans="1:15">
      <c r="A48" s="2" t="s">
        <v>212</v>
      </c>
      <c r="B48" s="7">
        <v>8</v>
      </c>
      <c r="C48" s="2" t="s">
        <v>213</v>
      </c>
      <c r="D48" s="7">
        <v>1000</v>
      </c>
      <c r="E48" s="7">
        <v>1900</v>
      </c>
      <c r="F48" s="7">
        <v>100</v>
      </c>
      <c r="G48" s="7">
        <v>6000</v>
      </c>
      <c r="H48" s="7">
        <v>1000</v>
      </c>
      <c r="I48" s="7">
        <v>190</v>
      </c>
      <c r="J48" s="7">
        <v>3610</v>
      </c>
      <c r="K48" s="7">
        <v>860</v>
      </c>
      <c r="L48" s="7">
        <v>4000</v>
      </c>
      <c r="M48" s="7">
        <v>-1250</v>
      </c>
      <c r="N48" s="7">
        <v>3610</v>
      </c>
      <c r="O48" s="7">
        <v>0</v>
      </c>
    </row>
    <row r="49" spans="1:15">
      <c r="A49" s="2" t="s">
        <v>212</v>
      </c>
      <c r="B49" s="7">
        <v>9</v>
      </c>
      <c r="C49" s="2" t="s">
        <v>213</v>
      </c>
      <c r="D49" s="7">
        <v>1000</v>
      </c>
      <c r="E49" s="7">
        <v>1900</v>
      </c>
      <c r="F49" s="7">
        <v>100</v>
      </c>
      <c r="G49" s="7">
        <v>7000</v>
      </c>
      <c r="H49" s="7">
        <v>1000</v>
      </c>
      <c r="I49" s="7">
        <v>190</v>
      </c>
      <c r="J49" s="7">
        <v>3610</v>
      </c>
      <c r="K49" s="7">
        <v>870</v>
      </c>
      <c r="L49" s="7">
        <v>4000</v>
      </c>
      <c r="M49" s="7">
        <v>-1260</v>
      </c>
      <c r="N49" s="7">
        <v>3610</v>
      </c>
      <c r="O49" s="7">
        <v>0</v>
      </c>
    </row>
    <row r="50" spans="1:15">
      <c r="A50" s="2" t="s">
        <v>212</v>
      </c>
      <c r="B50" s="7">
        <v>10</v>
      </c>
      <c r="C50" s="2" t="s">
        <v>213</v>
      </c>
      <c r="D50" s="7">
        <v>1000</v>
      </c>
      <c r="E50" s="7">
        <v>1900</v>
      </c>
      <c r="F50" s="7">
        <v>100</v>
      </c>
      <c r="G50" s="7">
        <v>8000</v>
      </c>
      <c r="H50" s="7">
        <v>1000</v>
      </c>
      <c r="I50" s="7">
        <v>190</v>
      </c>
      <c r="J50" s="7">
        <v>3610</v>
      </c>
      <c r="K50" s="7">
        <v>880</v>
      </c>
      <c r="L50" s="7">
        <v>4000</v>
      </c>
      <c r="M50" s="7">
        <v>-1270</v>
      </c>
      <c r="N50" s="7">
        <v>3610</v>
      </c>
      <c r="O50" s="7">
        <v>0</v>
      </c>
    </row>
    <row r="51" spans="1:15">
      <c r="A51" s="2" t="s">
        <v>212</v>
      </c>
      <c r="B51" s="7">
        <v>11</v>
      </c>
      <c r="C51" s="2" t="s">
        <v>213</v>
      </c>
      <c r="D51" s="7">
        <v>1000</v>
      </c>
      <c r="E51" s="7">
        <v>1900</v>
      </c>
      <c r="F51" s="7">
        <v>100</v>
      </c>
      <c r="G51" s="7">
        <v>9000</v>
      </c>
      <c r="H51" s="7">
        <v>1000</v>
      </c>
      <c r="I51" s="7">
        <v>190</v>
      </c>
      <c r="J51" s="7">
        <v>3610</v>
      </c>
      <c r="K51" s="7">
        <v>890</v>
      </c>
      <c r="L51" s="7">
        <v>4000</v>
      </c>
      <c r="M51" s="7">
        <v>-1280</v>
      </c>
      <c r="N51" s="7">
        <v>3610</v>
      </c>
      <c r="O51" s="7">
        <v>0</v>
      </c>
    </row>
    <row r="52" spans="1:15">
      <c r="A52" s="2" t="s">
        <v>212</v>
      </c>
      <c r="B52" s="7">
        <v>12</v>
      </c>
      <c r="C52" s="2" t="s">
        <v>213</v>
      </c>
      <c r="D52" s="7">
        <v>1000</v>
      </c>
      <c r="E52" s="7">
        <v>1900</v>
      </c>
      <c r="F52" s="7">
        <v>100</v>
      </c>
      <c r="G52" s="7">
        <v>10000</v>
      </c>
      <c r="H52" s="7">
        <v>1000</v>
      </c>
      <c r="I52" s="7">
        <v>190</v>
      </c>
      <c r="J52" s="7">
        <v>3610</v>
      </c>
      <c r="K52" s="7">
        <v>900</v>
      </c>
      <c r="L52" s="7">
        <v>4000</v>
      </c>
      <c r="M52" s="7">
        <v>-1290</v>
      </c>
      <c r="N52" s="7">
        <v>3610</v>
      </c>
      <c r="O52" s="7">
        <v>0</v>
      </c>
    </row>
    <row r="53" spans="1:15">
      <c r="A53" s="2" t="s">
        <v>212</v>
      </c>
      <c r="B53" s="7">
        <v>13</v>
      </c>
      <c r="C53" s="2" t="s">
        <v>213</v>
      </c>
      <c r="D53" s="7">
        <v>1000</v>
      </c>
      <c r="E53" s="7">
        <v>2710</v>
      </c>
      <c r="F53" s="7">
        <v>290</v>
      </c>
      <c r="G53" s="7">
        <v>10000</v>
      </c>
      <c r="H53" s="7">
        <v>2000</v>
      </c>
      <c r="I53" s="7">
        <v>271</v>
      </c>
      <c r="J53" s="7">
        <v>5149</v>
      </c>
      <c r="K53" s="7">
        <v>1400</v>
      </c>
      <c r="L53" s="7">
        <v>4000</v>
      </c>
      <c r="M53" s="7">
        <v>-251</v>
      </c>
      <c r="N53" s="7">
        <v>5149</v>
      </c>
      <c r="O53" s="7">
        <v>0</v>
      </c>
    </row>
    <row r="54" spans="1:15">
      <c r="A54" s="2" t="s">
        <v>212</v>
      </c>
      <c r="B54" s="7">
        <v>14</v>
      </c>
      <c r="C54" s="2" t="s">
        <v>213</v>
      </c>
      <c r="D54" s="7">
        <v>1000</v>
      </c>
      <c r="E54" s="7">
        <v>2710</v>
      </c>
      <c r="F54" s="7">
        <v>290</v>
      </c>
      <c r="G54" s="7">
        <v>11000</v>
      </c>
      <c r="H54" s="7">
        <v>2000</v>
      </c>
      <c r="I54" s="7">
        <v>271</v>
      </c>
      <c r="J54" s="7">
        <v>5149</v>
      </c>
      <c r="K54" s="7">
        <v>1410</v>
      </c>
      <c r="L54" s="7">
        <v>4000</v>
      </c>
      <c r="M54" s="7">
        <v>-261</v>
      </c>
      <c r="N54" s="7">
        <v>5149</v>
      </c>
      <c r="O54" s="7">
        <v>0</v>
      </c>
    </row>
    <row r="55" spans="1:15">
      <c r="A55" s="2" t="s">
        <v>212</v>
      </c>
      <c r="B55" s="7">
        <v>15</v>
      </c>
      <c r="C55" s="2" t="s">
        <v>213</v>
      </c>
      <c r="D55" s="7">
        <v>1000</v>
      </c>
      <c r="E55" s="7">
        <v>2710</v>
      </c>
      <c r="F55" s="7">
        <v>290</v>
      </c>
      <c r="G55" s="7">
        <v>12000</v>
      </c>
      <c r="H55" s="7">
        <v>2000</v>
      </c>
      <c r="I55" s="7">
        <v>271</v>
      </c>
      <c r="J55" s="7">
        <v>5149</v>
      </c>
      <c r="K55" s="7">
        <v>1420</v>
      </c>
      <c r="L55" s="7">
        <v>4000</v>
      </c>
      <c r="M55" s="7">
        <v>-271</v>
      </c>
      <c r="N55" s="7">
        <v>5149</v>
      </c>
      <c r="O55" s="7">
        <v>0</v>
      </c>
    </row>
    <row r="56" spans="1:15">
      <c r="A56" s="2" t="s">
        <v>212</v>
      </c>
      <c r="B56" s="7">
        <v>16</v>
      </c>
      <c r="C56" s="2" t="s">
        <v>213</v>
      </c>
      <c r="D56" s="7">
        <v>1000</v>
      </c>
      <c r="E56" s="7">
        <v>2710</v>
      </c>
      <c r="F56" s="7">
        <v>290</v>
      </c>
      <c r="G56" s="7">
        <v>13000</v>
      </c>
      <c r="H56" s="7">
        <v>2000</v>
      </c>
      <c r="I56" s="7">
        <v>271</v>
      </c>
      <c r="J56" s="7">
        <v>5149</v>
      </c>
      <c r="K56" s="7">
        <v>1430</v>
      </c>
      <c r="L56" s="7">
        <v>4000</v>
      </c>
      <c r="M56" s="7">
        <v>-281</v>
      </c>
      <c r="N56" s="7">
        <v>5149</v>
      </c>
      <c r="O56" s="7">
        <v>0</v>
      </c>
    </row>
    <row r="57" spans="1:15">
      <c r="A57" s="2" t="s">
        <v>212</v>
      </c>
      <c r="B57" s="7">
        <v>17</v>
      </c>
      <c r="C57" s="2" t="s">
        <v>213</v>
      </c>
      <c r="D57" s="7">
        <v>1000</v>
      </c>
      <c r="E57" s="7">
        <v>2710</v>
      </c>
      <c r="F57" s="7">
        <v>290</v>
      </c>
      <c r="G57" s="7">
        <v>14000</v>
      </c>
      <c r="H57" s="7">
        <v>2000</v>
      </c>
      <c r="I57" s="7">
        <v>271</v>
      </c>
      <c r="J57" s="7">
        <v>5149</v>
      </c>
      <c r="K57" s="7">
        <v>1440</v>
      </c>
      <c r="L57" s="7">
        <v>4000</v>
      </c>
      <c r="M57" s="7">
        <v>-291</v>
      </c>
      <c r="N57" s="7">
        <v>5149</v>
      </c>
      <c r="O57" s="7">
        <v>0</v>
      </c>
    </row>
    <row r="58" spans="1:15">
      <c r="A58" s="2" t="s">
        <v>212</v>
      </c>
      <c r="B58" s="7">
        <v>18</v>
      </c>
      <c r="C58" s="2" t="s">
        <v>213</v>
      </c>
      <c r="D58" s="7">
        <v>1000</v>
      </c>
      <c r="E58" s="7">
        <v>2710</v>
      </c>
      <c r="F58" s="7">
        <v>290</v>
      </c>
      <c r="G58" s="7">
        <v>15000</v>
      </c>
      <c r="H58" s="7">
        <v>2000</v>
      </c>
      <c r="I58" s="7">
        <v>271</v>
      </c>
      <c r="J58" s="7">
        <v>5149</v>
      </c>
      <c r="K58" s="7">
        <v>1450</v>
      </c>
      <c r="L58" s="7">
        <v>4000</v>
      </c>
      <c r="M58" s="7">
        <v>-301</v>
      </c>
      <c r="N58" s="7">
        <v>5149</v>
      </c>
      <c r="O58" s="7">
        <v>0</v>
      </c>
    </row>
    <row r="59" spans="1:15">
      <c r="A59" s="2" t="s">
        <v>212</v>
      </c>
      <c r="B59" s="7">
        <v>19</v>
      </c>
      <c r="C59" s="2" t="s">
        <v>213</v>
      </c>
      <c r="D59" s="7">
        <v>1000</v>
      </c>
      <c r="E59" s="7">
        <v>3439</v>
      </c>
      <c r="F59" s="7">
        <v>561</v>
      </c>
      <c r="G59" s="7">
        <v>15000</v>
      </c>
      <c r="H59" s="7">
        <v>3000</v>
      </c>
      <c r="I59" s="7">
        <v>343.9</v>
      </c>
      <c r="J59" s="7">
        <v>6534.099999999999</v>
      </c>
      <c r="K59" s="7">
        <v>1950</v>
      </c>
      <c r="L59" s="7">
        <v>4000</v>
      </c>
      <c r="M59" s="7">
        <v>584.0999999999995</v>
      </c>
      <c r="N59" s="7">
        <v>6534.099999999999</v>
      </c>
      <c r="O59" s="7">
        <v>0</v>
      </c>
    </row>
    <row r="60" spans="1:15">
      <c r="A60" s="2" t="s">
        <v>212</v>
      </c>
      <c r="B60" s="7">
        <v>20</v>
      </c>
      <c r="C60" s="2" t="s">
        <v>213</v>
      </c>
      <c r="D60" s="7">
        <v>1000</v>
      </c>
      <c r="E60" s="7">
        <v>3439</v>
      </c>
      <c r="F60" s="7">
        <v>561</v>
      </c>
      <c r="G60" s="7">
        <v>16000</v>
      </c>
      <c r="H60" s="7">
        <v>3000</v>
      </c>
      <c r="I60" s="7">
        <v>343.9</v>
      </c>
      <c r="J60" s="7">
        <v>6534.099999999999</v>
      </c>
      <c r="K60" s="7">
        <v>1960</v>
      </c>
      <c r="L60" s="7">
        <v>4000</v>
      </c>
      <c r="M60" s="7">
        <v>574.0999999999995</v>
      </c>
      <c r="N60" s="7">
        <v>6534.099999999999</v>
      </c>
      <c r="O60" s="7">
        <v>0</v>
      </c>
    </row>
    <row r="61" spans="1:15">
      <c r="A61" s="2" t="s">
        <v>212</v>
      </c>
      <c r="B61" s="7">
        <v>21</v>
      </c>
      <c r="C61" s="2" t="s">
        <v>213</v>
      </c>
      <c r="D61" s="7">
        <v>1000</v>
      </c>
      <c r="E61" s="7">
        <v>3439</v>
      </c>
      <c r="F61" s="7">
        <v>561</v>
      </c>
      <c r="G61" s="7">
        <v>17000</v>
      </c>
      <c r="H61" s="7">
        <v>3000</v>
      </c>
      <c r="I61" s="7">
        <v>343.9</v>
      </c>
      <c r="J61" s="7">
        <v>6534.099999999999</v>
      </c>
      <c r="K61" s="7">
        <v>1970</v>
      </c>
      <c r="L61" s="7">
        <v>4000</v>
      </c>
      <c r="M61" s="7">
        <v>564.0999999999995</v>
      </c>
      <c r="N61" s="7">
        <v>6534.099999999999</v>
      </c>
      <c r="O61" s="7">
        <v>0</v>
      </c>
    </row>
    <row r="62" spans="1:15">
      <c r="A62" s="2" t="s">
        <v>212</v>
      </c>
      <c r="B62" s="7">
        <v>22</v>
      </c>
      <c r="C62" s="2" t="s">
        <v>213</v>
      </c>
      <c r="D62" s="7">
        <v>1000</v>
      </c>
      <c r="E62" s="7">
        <v>3439</v>
      </c>
      <c r="F62" s="7">
        <v>561</v>
      </c>
      <c r="G62" s="7">
        <v>18000</v>
      </c>
      <c r="H62" s="7">
        <v>3000</v>
      </c>
      <c r="I62" s="7">
        <v>343.9</v>
      </c>
      <c r="J62" s="7">
        <v>6534.099999999999</v>
      </c>
      <c r="K62" s="7">
        <v>1980</v>
      </c>
      <c r="L62" s="7">
        <v>4000</v>
      </c>
      <c r="M62" s="7">
        <v>554.0999999999995</v>
      </c>
      <c r="N62" s="7">
        <v>6534.099999999999</v>
      </c>
      <c r="O62" s="7">
        <v>0</v>
      </c>
    </row>
    <row r="63" spans="1:15">
      <c r="A63" s="2" t="s">
        <v>212</v>
      </c>
      <c r="B63" s="7">
        <v>23</v>
      </c>
      <c r="C63" s="2" t="s">
        <v>213</v>
      </c>
      <c r="D63" s="7">
        <v>1000</v>
      </c>
      <c r="E63" s="7">
        <v>3439</v>
      </c>
      <c r="F63" s="7">
        <v>561</v>
      </c>
      <c r="G63" s="7">
        <v>19000</v>
      </c>
      <c r="H63" s="7">
        <v>3000</v>
      </c>
      <c r="I63" s="7">
        <v>343.9</v>
      </c>
      <c r="J63" s="7">
        <v>6534.099999999999</v>
      </c>
      <c r="K63" s="7">
        <v>1990</v>
      </c>
      <c r="L63" s="7">
        <v>4000</v>
      </c>
      <c r="M63" s="7">
        <v>544.0999999999995</v>
      </c>
      <c r="N63" s="7">
        <v>6534.099999999999</v>
      </c>
      <c r="O63" s="7">
        <v>0</v>
      </c>
    </row>
    <row r="64" spans="1:15">
      <c r="A64" s="2" t="s">
        <v>212</v>
      </c>
      <c r="B64" s="7">
        <v>24</v>
      </c>
      <c r="C64" s="2" t="s">
        <v>213</v>
      </c>
      <c r="D64" s="7">
        <v>1000</v>
      </c>
      <c r="E64" s="7">
        <v>3439</v>
      </c>
      <c r="F64" s="7">
        <v>561</v>
      </c>
      <c r="G64" s="7">
        <v>20000</v>
      </c>
      <c r="H64" s="7">
        <v>3000</v>
      </c>
      <c r="I64" s="7">
        <v>343.9</v>
      </c>
      <c r="J64" s="7">
        <v>6534.099999999999</v>
      </c>
      <c r="K64" s="7">
        <v>2000</v>
      </c>
      <c r="L64" s="7">
        <v>4000</v>
      </c>
      <c r="M64" s="7">
        <v>534.0999999999995</v>
      </c>
      <c r="N64" s="7">
        <v>6534.099999999999</v>
      </c>
      <c r="O64" s="7">
        <v>0</v>
      </c>
    </row>
    <row r="65" spans="1:15">
      <c r="A65" s="2" t="s">
        <v>212</v>
      </c>
      <c r="B65" s="7">
        <v>25</v>
      </c>
      <c r="C65" s="2" t="s">
        <v>213</v>
      </c>
      <c r="D65" s="7">
        <v>1000</v>
      </c>
      <c r="E65" s="7">
        <v>4095.1</v>
      </c>
      <c r="F65" s="7">
        <v>904.9</v>
      </c>
      <c r="G65" s="7">
        <v>20000</v>
      </c>
      <c r="H65" s="7">
        <v>4000</v>
      </c>
      <c r="I65" s="7">
        <v>409.51</v>
      </c>
      <c r="J65" s="7">
        <v>7780.69</v>
      </c>
      <c r="K65" s="7">
        <v>2500</v>
      </c>
      <c r="L65" s="7">
        <v>4000</v>
      </c>
      <c r="M65" s="7">
        <v>1280.69</v>
      </c>
      <c r="N65" s="7">
        <v>7780.69</v>
      </c>
      <c r="O65" s="7">
        <v>0</v>
      </c>
    </row>
    <row r="66" spans="1:15">
      <c r="A66" s="2" t="s">
        <v>212</v>
      </c>
      <c r="B66" s="7">
        <v>26</v>
      </c>
      <c r="C66" s="2" t="s">
        <v>213</v>
      </c>
      <c r="D66" s="7">
        <v>1000</v>
      </c>
      <c r="E66" s="7">
        <v>4095.1</v>
      </c>
      <c r="F66" s="7">
        <v>904.9</v>
      </c>
      <c r="G66" s="7">
        <v>21000</v>
      </c>
      <c r="H66" s="7">
        <v>4000</v>
      </c>
      <c r="I66" s="7">
        <v>409.51</v>
      </c>
      <c r="J66" s="7">
        <v>7780.69</v>
      </c>
      <c r="K66" s="7">
        <v>2510</v>
      </c>
      <c r="L66" s="7">
        <v>4000</v>
      </c>
      <c r="M66" s="7">
        <v>1270.69</v>
      </c>
      <c r="N66" s="7">
        <v>7780.69</v>
      </c>
      <c r="O66" s="7">
        <v>0</v>
      </c>
    </row>
    <row r="67" spans="1:15">
      <c r="A67" s="2" t="s">
        <v>212</v>
      </c>
      <c r="B67" s="7">
        <v>27</v>
      </c>
      <c r="C67" s="2" t="s">
        <v>213</v>
      </c>
      <c r="D67" s="7">
        <v>1000</v>
      </c>
      <c r="E67" s="7">
        <v>4095.1</v>
      </c>
      <c r="F67" s="7">
        <v>904.9</v>
      </c>
      <c r="G67" s="7">
        <v>22000</v>
      </c>
      <c r="H67" s="7">
        <v>4000</v>
      </c>
      <c r="I67" s="7">
        <v>409.51</v>
      </c>
      <c r="J67" s="7">
        <v>7780.69</v>
      </c>
      <c r="K67" s="7">
        <v>2520</v>
      </c>
      <c r="L67" s="7">
        <v>4000</v>
      </c>
      <c r="M67" s="7">
        <v>1260.69</v>
      </c>
      <c r="N67" s="7">
        <v>7780.69</v>
      </c>
      <c r="O67" s="7">
        <v>0</v>
      </c>
    </row>
    <row r="68" spans="1:15">
      <c r="A68" s="2" t="s">
        <v>212</v>
      </c>
      <c r="B68" s="7">
        <v>28</v>
      </c>
      <c r="C68" s="2" t="s">
        <v>213</v>
      </c>
      <c r="D68" s="7">
        <v>1000</v>
      </c>
      <c r="E68" s="7">
        <v>4095.1</v>
      </c>
      <c r="F68" s="7">
        <v>904.9</v>
      </c>
      <c r="G68" s="7">
        <v>23000</v>
      </c>
      <c r="H68" s="7">
        <v>4000</v>
      </c>
      <c r="I68" s="7">
        <v>409.51</v>
      </c>
      <c r="J68" s="7">
        <v>7780.69</v>
      </c>
      <c r="K68" s="7">
        <v>2530</v>
      </c>
      <c r="L68" s="7">
        <v>4000</v>
      </c>
      <c r="M68" s="7">
        <v>1250.69</v>
      </c>
      <c r="N68" s="7">
        <v>7780.69</v>
      </c>
      <c r="O68" s="7">
        <v>0</v>
      </c>
    </row>
    <row r="69" spans="1:15">
      <c r="A69" s="2" t="s">
        <v>212</v>
      </c>
      <c r="B69" s="7">
        <v>29</v>
      </c>
      <c r="C69" s="2" t="s">
        <v>213</v>
      </c>
      <c r="D69" s="7">
        <v>1000</v>
      </c>
      <c r="E69" s="7">
        <v>4095.1</v>
      </c>
      <c r="F69" s="7">
        <v>904.9</v>
      </c>
      <c r="G69" s="7">
        <v>24000</v>
      </c>
      <c r="H69" s="7">
        <v>4000</v>
      </c>
      <c r="I69" s="7">
        <v>409.51</v>
      </c>
      <c r="J69" s="7">
        <v>7780.69</v>
      </c>
      <c r="K69" s="7">
        <v>2540</v>
      </c>
      <c r="L69" s="7">
        <v>4000</v>
      </c>
      <c r="M69" s="7">
        <v>1240.69</v>
      </c>
      <c r="N69" s="7">
        <v>7780.69</v>
      </c>
      <c r="O69" s="7">
        <v>0</v>
      </c>
    </row>
    <row r="70" spans="1:15">
      <c r="A70" s="2" t="s">
        <v>212</v>
      </c>
      <c r="B70" s="7">
        <v>30</v>
      </c>
      <c r="C70" s="2" t="s">
        <v>213</v>
      </c>
      <c r="D70" s="7">
        <v>1000</v>
      </c>
      <c r="E70" s="7">
        <v>4095.1</v>
      </c>
      <c r="F70" s="7">
        <v>904.9</v>
      </c>
      <c r="G70" s="7">
        <v>25000</v>
      </c>
      <c r="H70" s="7">
        <v>4000</v>
      </c>
      <c r="I70" s="7">
        <v>409.51</v>
      </c>
      <c r="J70" s="7">
        <v>7780.69</v>
      </c>
      <c r="K70" s="7">
        <v>2550</v>
      </c>
      <c r="L70" s="7">
        <v>4000</v>
      </c>
      <c r="M70" s="7">
        <v>1230.69</v>
      </c>
      <c r="N70" s="7">
        <v>7780.69</v>
      </c>
      <c r="O70" s="7">
        <v>0</v>
      </c>
    </row>
    <row r="71" spans="1:15">
      <c r="A71" s="2" t="s">
        <v>212</v>
      </c>
      <c r="B71" s="7">
        <v>31</v>
      </c>
      <c r="C71" s="2" t="s">
        <v>213</v>
      </c>
      <c r="D71" s="7">
        <v>1000</v>
      </c>
      <c r="E71" s="7">
        <v>4685.59</v>
      </c>
      <c r="F71" s="7">
        <v>1314.41</v>
      </c>
      <c r="G71" s="7">
        <v>25000</v>
      </c>
      <c r="H71" s="7">
        <v>5000</v>
      </c>
      <c r="I71" s="7">
        <v>468.559</v>
      </c>
      <c r="J71" s="7">
        <v>8902.620999999999</v>
      </c>
      <c r="K71" s="7">
        <v>3050</v>
      </c>
      <c r="L71" s="7">
        <v>4000</v>
      </c>
      <c r="M71" s="7">
        <v>1852.620999999999</v>
      </c>
      <c r="N71" s="7">
        <v>8902.620999999999</v>
      </c>
      <c r="O71" s="7">
        <v>0</v>
      </c>
    </row>
    <row r="72" spans="1:15">
      <c r="A72" s="2" t="s">
        <v>212</v>
      </c>
      <c r="B72" s="7">
        <v>32</v>
      </c>
      <c r="C72" s="2" t="s">
        <v>213</v>
      </c>
      <c r="D72" s="7">
        <v>1000</v>
      </c>
      <c r="E72" s="7">
        <v>4685.59</v>
      </c>
      <c r="F72" s="7">
        <v>1314.41</v>
      </c>
      <c r="G72" s="7">
        <v>26000</v>
      </c>
      <c r="H72" s="7">
        <v>5000</v>
      </c>
      <c r="I72" s="7">
        <v>468.559</v>
      </c>
      <c r="J72" s="7">
        <v>8902.620999999999</v>
      </c>
      <c r="K72" s="7">
        <v>3060</v>
      </c>
      <c r="L72" s="7">
        <v>4000</v>
      </c>
      <c r="M72" s="7">
        <v>1842.620999999999</v>
      </c>
      <c r="N72" s="7">
        <v>8902.620999999999</v>
      </c>
      <c r="O72" s="7">
        <v>0</v>
      </c>
    </row>
    <row r="73" spans="1:15">
      <c r="A73" s="2" t="s">
        <v>212</v>
      </c>
      <c r="B73" s="7">
        <v>33</v>
      </c>
      <c r="C73" s="2" t="s">
        <v>213</v>
      </c>
      <c r="D73" s="7">
        <v>1000</v>
      </c>
      <c r="E73" s="7">
        <v>4685.59</v>
      </c>
      <c r="F73" s="7">
        <v>1314.41</v>
      </c>
      <c r="G73" s="7">
        <v>27000</v>
      </c>
      <c r="H73" s="7">
        <v>5000</v>
      </c>
      <c r="I73" s="7">
        <v>468.559</v>
      </c>
      <c r="J73" s="7">
        <v>8902.620999999999</v>
      </c>
      <c r="K73" s="7">
        <v>3070</v>
      </c>
      <c r="L73" s="7">
        <v>4000</v>
      </c>
      <c r="M73" s="7">
        <v>1832.620999999999</v>
      </c>
      <c r="N73" s="7">
        <v>8902.620999999999</v>
      </c>
      <c r="O73" s="7">
        <v>0</v>
      </c>
    </row>
    <row r="74" spans="1:15">
      <c r="A74" s="2" t="s">
        <v>212</v>
      </c>
      <c r="B74" s="7">
        <v>34</v>
      </c>
      <c r="C74" s="2" t="s">
        <v>213</v>
      </c>
      <c r="D74" s="7">
        <v>1000</v>
      </c>
      <c r="E74" s="7">
        <v>4685.59</v>
      </c>
      <c r="F74" s="7">
        <v>1314.41</v>
      </c>
      <c r="G74" s="7">
        <v>28000</v>
      </c>
      <c r="H74" s="7">
        <v>5000</v>
      </c>
      <c r="I74" s="7">
        <v>468.559</v>
      </c>
      <c r="J74" s="7">
        <v>8902.620999999999</v>
      </c>
      <c r="K74" s="7">
        <v>3080</v>
      </c>
      <c r="L74" s="7">
        <v>4000</v>
      </c>
      <c r="M74" s="7">
        <v>1822.620999999999</v>
      </c>
      <c r="N74" s="7">
        <v>8902.620999999999</v>
      </c>
      <c r="O74" s="7">
        <v>0</v>
      </c>
    </row>
    <row r="75" spans="1:15">
      <c r="A75" s="2" t="s">
        <v>212</v>
      </c>
      <c r="B75" s="7">
        <v>35</v>
      </c>
      <c r="C75" s="2" t="s">
        <v>213</v>
      </c>
      <c r="D75" s="7">
        <v>1000</v>
      </c>
      <c r="E75" s="7">
        <v>4685.59</v>
      </c>
      <c r="F75" s="7">
        <v>1314.41</v>
      </c>
      <c r="G75" s="7">
        <v>29000</v>
      </c>
      <c r="H75" s="7">
        <v>5000</v>
      </c>
      <c r="I75" s="7">
        <v>468.559</v>
      </c>
      <c r="J75" s="7">
        <v>8902.620999999999</v>
      </c>
      <c r="K75" s="7">
        <v>3090</v>
      </c>
      <c r="L75" s="7">
        <v>4000</v>
      </c>
      <c r="M75" s="7">
        <v>1812.620999999999</v>
      </c>
      <c r="N75" s="7">
        <v>8902.620999999999</v>
      </c>
      <c r="O75" s="7">
        <v>0</v>
      </c>
    </row>
    <row r="76" spans="1:15">
      <c r="A76" s="2" t="s">
        <v>212</v>
      </c>
      <c r="B76" s="7">
        <v>36</v>
      </c>
      <c r="C76" s="2" t="s">
        <v>213</v>
      </c>
      <c r="D76" s="7">
        <v>1000</v>
      </c>
      <c r="E76" s="7">
        <v>4685.59</v>
      </c>
      <c r="F76" s="7">
        <v>1314.41</v>
      </c>
      <c r="G76" s="7">
        <v>30000</v>
      </c>
      <c r="H76" s="7">
        <v>5000</v>
      </c>
      <c r="I76" s="7">
        <v>468.559</v>
      </c>
      <c r="J76" s="7">
        <v>8902.620999999999</v>
      </c>
      <c r="K76" s="7">
        <v>3100</v>
      </c>
      <c r="L76" s="7">
        <v>4000</v>
      </c>
      <c r="M76" s="7">
        <v>1802.620999999999</v>
      </c>
      <c r="N76" s="7">
        <v>8902.620999999999</v>
      </c>
      <c r="O76" s="7">
        <v>0</v>
      </c>
    </row>
    <row r="77" spans="1:15">
      <c r="A77" s="2" t="s">
        <v>214</v>
      </c>
      <c r="B77" s="7">
        <v>1</v>
      </c>
      <c r="C77" s="2" t="s">
        <v>215</v>
      </c>
      <c r="D77" s="7">
        <v>1000</v>
      </c>
      <c r="E77" s="7">
        <v>1000</v>
      </c>
      <c r="F77" s="7">
        <v>0</v>
      </c>
      <c r="G77" s="7">
        <v>0</v>
      </c>
      <c r="H77" s="7">
        <v>0</v>
      </c>
      <c r="I77" s="7">
        <v>100</v>
      </c>
      <c r="J77" s="7">
        <v>1900</v>
      </c>
      <c r="K77" s="7">
        <v>300</v>
      </c>
      <c r="L77" s="7">
        <v>4000</v>
      </c>
      <c r="M77" s="7">
        <v>-2400</v>
      </c>
      <c r="N77" s="7">
        <v>1900</v>
      </c>
      <c r="O77" s="7">
        <v>0</v>
      </c>
    </row>
    <row r="78" spans="1:15">
      <c r="A78" s="2" t="s">
        <v>214</v>
      </c>
      <c r="B78" s="7">
        <v>2</v>
      </c>
      <c r="C78" s="2" t="s">
        <v>215</v>
      </c>
      <c r="D78" s="7">
        <v>1000</v>
      </c>
      <c r="E78" s="7">
        <v>1000</v>
      </c>
      <c r="F78" s="7">
        <v>0</v>
      </c>
      <c r="G78" s="7">
        <v>1000</v>
      </c>
      <c r="H78" s="7">
        <v>0</v>
      </c>
      <c r="I78" s="7">
        <v>100</v>
      </c>
      <c r="J78" s="7">
        <v>1900</v>
      </c>
      <c r="K78" s="7">
        <v>310</v>
      </c>
      <c r="L78" s="7">
        <v>4000</v>
      </c>
      <c r="M78" s="7">
        <v>-2410</v>
      </c>
      <c r="N78" s="7">
        <v>1900</v>
      </c>
      <c r="O78" s="7">
        <v>0</v>
      </c>
    </row>
    <row r="79" spans="1:15">
      <c r="A79" s="2" t="s">
        <v>214</v>
      </c>
      <c r="B79" s="7">
        <v>3</v>
      </c>
      <c r="C79" s="2" t="s">
        <v>215</v>
      </c>
      <c r="D79" s="7">
        <v>1000</v>
      </c>
      <c r="E79" s="7">
        <v>1000</v>
      </c>
      <c r="F79" s="7">
        <v>0</v>
      </c>
      <c r="G79" s="7">
        <v>2000</v>
      </c>
      <c r="H79" s="7">
        <v>0</v>
      </c>
      <c r="I79" s="7">
        <v>100</v>
      </c>
      <c r="J79" s="7">
        <v>1900</v>
      </c>
      <c r="K79" s="7">
        <v>320</v>
      </c>
      <c r="L79" s="7">
        <v>4000</v>
      </c>
      <c r="M79" s="7">
        <v>-2420</v>
      </c>
      <c r="N79" s="7">
        <v>1900</v>
      </c>
      <c r="O79" s="7">
        <v>0</v>
      </c>
    </row>
    <row r="80" spans="1:15">
      <c r="A80" s="2" t="s">
        <v>214</v>
      </c>
      <c r="B80" s="7">
        <v>4</v>
      </c>
      <c r="C80" s="2" t="s">
        <v>215</v>
      </c>
      <c r="D80" s="7">
        <v>1000</v>
      </c>
      <c r="E80" s="7">
        <v>1000</v>
      </c>
      <c r="F80" s="7">
        <v>0</v>
      </c>
      <c r="G80" s="7">
        <v>3000</v>
      </c>
      <c r="H80" s="7">
        <v>0</v>
      </c>
      <c r="I80" s="7">
        <v>100</v>
      </c>
      <c r="J80" s="7">
        <v>1900</v>
      </c>
      <c r="K80" s="7">
        <v>330</v>
      </c>
      <c r="L80" s="7">
        <v>4000</v>
      </c>
      <c r="M80" s="7">
        <v>-2430</v>
      </c>
      <c r="N80" s="7">
        <v>1900</v>
      </c>
      <c r="O80" s="7">
        <v>0</v>
      </c>
    </row>
    <row r="81" spans="1:15">
      <c r="A81" s="2" t="s">
        <v>214</v>
      </c>
      <c r="B81" s="7">
        <v>5</v>
      </c>
      <c r="C81" s="2" t="s">
        <v>215</v>
      </c>
      <c r="D81" s="7">
        <v>1000</v>
      </c>
      <c r="E81" s="7">
        <v>1000</v>
      </c>
      <c r="F81" s="7">
        <v>0</v>
      </c>
      <c r="G81" s="7">
        <v>4000</v>
      </c>
      <c r="H81" s="7">
        <v>0</v>
      </c>
      <c r="I81" s="7">
        <v>100</v>
      </c>
      <c r="J81" s="7">
        <v>1900</v>
      </c>
      <c r="K81" s="7">
        <v>340</v>
      </c>
      <c r="L81" s="7">
        <v>4000</v>
      </c>
      <c r="M81" s="7">
        <v>-2440</v>
      </c>
      <c r="N81" s="7">
        <v>1900</v>
      </c>
      <c r="O81" s="7">
        <v>0</v>
      </c>
    </row>
    <row r="82" spans="1:15">
      <c r="A82" s="2" t="s">
        <v>214</v>
      </c>
      <c r="B82" s="7">
        <v>6</v>
      </c>
      <c r="C82" s="2" t="s">
        <v>215</v>
      </c>
      <c r="D82" s="7">
        <v>1000</v>
      </c>
      <c r="E82" s="7">
        <v>1000</v>
      </c>
      <c r="F82" s="7">
        <v>0</v>
      </c>
      <c r="G82" s="7">
        <v>5000</v>
      </c>
      <c r="H82" s="7">
        <v>0</v>
      </c>
      <c r="I82" s="7">
        <v>100</v>
      </c>
      <c r="J82" s="7">
        <v>1900</v>
      </c>
      <c r="K82" s="7">
        <v>350</v>
      </c>
      <c r="L82" s="7">
        <v>4000</v>
      </c>
      <c r="M82" s="7">
        <v>-2450</v>
      </c>
      <c r="N82" s="7">
        <v>1900</v>
      </c>
      <c r="O82" s="7">
        <v>0</v>
      </c>
    </row>
    <row r="83" spans="1:15">
      <c r="A83" s="2" t="s">
        <v>214</v>
      </c>
      <c r="B83" s="7">
        <v>7</v>
      </c>
      <c r="C83" s="2" t="s">
        <v>215</v>
      </c>
      <c r="D83" s="7">
        <v>1000</v>
      </c>
      <c r="E83" s="7">
        <v>2000</v>
      </c>
      <c r="F83" s="7">
        <v>0</v>
      </c>
      <c r="G83" s="7">
        <v>5000</v>
      </c>
      <c r="H83" s="7">
        <v>1000</v>
      </c>
      <c r="I83" s="7">
        <v>200</v>
      </c>
      <c r="J83" s="7">
        <v>3800</v>
      </c>
      <c r="K83" s="7">
        <v>850</v>
      </c>
      <c r="L83" s="7">
        <v>4000</v>
      </c>
      <c r="M83" s="7">
        <v>-1050</v>
      </c>
      <c r="N83" s="7">
        <v>3800</v>
      </c>
      <c r="O83" s="7">
        <v>0</v>
      </c>
    </row>
    <row r="84" spans="1:15">
      <c r="A84" s="2" t="s">
        <v>214</v>
      </c>
      <c r="B84" s="7">
        <v>8</v>
      </c>
      <c r="C84" s="2" t="s">
        <v>215</v>
      </c>
      <c r="D84" s="7">
        <v>1000</v>
      </c>
      <c r="E84" s="7">
        <v>2000</v>
      </c>
      <c r="F84" s="7">
        <v>0</v>
      </c>
      <c r="G84" s="7">
        <v>6000</v>
      </c>
      <c r="H84" s="7">
        <v>1000</v>
      </c>
      <c r="I84" s="7">
        <v>200</v>
      </c>
      <c r="J84" s="7">
        <v>3800</v>
      </c>
      <c r="K84" s="7">
        <v>860</v>
      </c>
      <c r="L84" s="7">
        <v>4000</v>
      </c>
      <c r="M84" s="7">
        <v>-1060</v>
      </c>
      <c r="N84" s="7">
        <v>3800</v>
      </c>
      <c r="O84" s="7">
        <v>0</v>
      </c>
    </row>
    <row r="85" spans="1:15">
      <c r="A85" s="2" t="s">
        <v>214</v>
      </c>
      <c r="B85" s="7">
        <v>9</v>
      </c>
      <c r="C85" s="2" t="s">
        <v>215</v>
      </c>
      <c r="D85" s="7">
        <v>1000</v>
      </c>
      <c r="E85" s="7">
        <v>2000</v>
      </c>
      <c r="F85" s="7">
        <v>0</v>
      </c>
      <c r="G85" s="7">
        <v>7000</v>
      </c>
      <c r="H85" s="7">
        <v>1000</v>
      </c>
      <c r="I85" s="7">
        <v>200</v>
      </c>
      <c r="J85" s="7">
        <v>3800</v>
      </c>
      <c r="K85" s="7">
        <v>870</v>
      </c>
      <c r="L85" s="7">
        <v>4000</v>
      </c>
      <c r="M85" s="7">
        <v>-1070</v>
      </c>
      <c r="N85" s="7">
        <v>3800</v>
      </c>
      <c r="O85" s="7">
        <v>0</v>
      </c>
    </row>
    <row r="86" spans="1:15">
      <c r="A86" s="2" t="s">
        <v>214</v>
      </c>
      <c r="B86" s="7">
        <v>10</v>
      </c>
      <c r="C86" s="2" t="s">
        <v>215</v>
      </c>
      <c r="D86" s="7">
        <v>1000</v>
      </c>
      <c r="E86" s="7">
        <v>2000</v>
      </c>
      <c r="F86" s="7">
        <v>0</v>
      </c>
      <c r="G86" s="7">
        <v>8000</v>
      </c>
      <c r="H86" s="7">
        <v>1000</v>
      </c>
      <c r="I86" s="7">
        <v>200</v>
      </c>
      <c r="J86" s="7">
        <v>3800</v>
      </c>
      <c r="K86" s="7">
        <v>880</v>
      </c>
      <c r="L86" s="7">
        <v>4000</v>
      </c>
      <c r="M86" s="7">
        <v>-1080</v>
      </c>
      <c r="N86" s="7">
        <v>3800</v>
      </c>
      <c r="O86" s="7">
        <v>0</v>
      </c>
    </row>
    <row r="87" spans="1:15">
      <c r="A87" s="2" t="s">
        <v>214</v>
      </c>
      <c r="B87" s="7">
        <v>11</v>
      </c>
      <c r="C87" s="2" t="s">
        <v>215</v>
      </c>
      <c r="D87" s="7">
        <v>1000</v>
      </c>
      <c r="E87" s="7">
        <v>2000</v>
      </c>
      <c r="F87" s="7">
        <v>0</v>
      </c>
      <c r="G87" s="7">
        <v>9000</v>
      </c>
      <c r="H87" s="7">
        <v>1000</v>
      </c>
      <c r="I87" s="7">
        <v>200</v>
      </c>
      <c r="J87" s="7">
        <v>3800</v>
      </c>
      <c r="K87" s="7">
        <v>890</v>
      </c>
      <c r="L87" s="7">
        <v>4000</v>
      </c>
      <c r="M87" s="7">
        <v>-1090</v>
      </c>
      <c r="N87" s="7">
        <v>3800</v>
      </c>
      <c r="O87" s="7">
        <v>0</v>
      </c>
    </row>
    <row r="88" spans="1:15">
      <c r="A88" s="2" t="s">
        <v>214</v>
      </c>
      <c r="B88" s="7">
        <v>12</v>
      </c>
      <c r="C88" s="2" t="s">
        <v>215</v>
      </c>
      <c r="D88" s="7">
        <v>1000</v>
      </c>
      <c r="E88" s="7">
        <v>2000</v>
      </c>
      <c r="F88" s="7">
        <v>0</v>
      </c>
      <c r="G88" s="7">
        <v>10000</v>
      </c>
      <c r="H88" s="7">
        <v>1000</v>
      </c>
      <c r="I88" s="7">
        <v>200</v>
      </c>
      <c r="J88" s="7">
        <v>3800</v>
      </c>
      <c r="K88" s="7">
        <v>900</v>
      </c>
      <c r="L88" s="7">
        <v>4000</v>
      </c>
      <c r="M88" s="7">
        <v>-1100</v>
      </c>
      <c r="N88" s="7">
        <v>3800</v>
      </c>
      <c r="O88" s="7">
        <v>0</v>
      </c>
    </row>
    <row r="89" spans="1:15">
      <c r="A89" s="2" t="s">
        <v>214</v>
      </c>
      <c r="B89" s="7">
        <v>13</v>
      </c>
      <c r="C89" s="2" t="s">
        <v>215</v>
      </c>
      <c r="D89" s="7">
        <v>1000</v>
      </c>
      <c r="E89" s="7">
        <v>3000</v>
      </c>
      <c r="F89" s="7">
        <v>0</v>
      </c>
      <c r="G89" s="7">
        <v>10000</v>
      </c>
      <c r="H89" s="7">
        <v>2000</v>
      </c>
      <c r="I89" s="7">
        <v>300</v>
      </c>
      <c r="J89" s="7">
        <v>5700</v>
      </c>
      <c r="K89" s="7">
        <v>1400</v>
      </c>
      <c r="L89" s="7">
        <v>4000</v>
      </c>
      <c r="M89" s="7">
        <v>300</v>
      </c>
      <c r="N89" s="7">
        <v>5700</v>
      </c>
      <c r="O89" s="7">
        <v>0</v>
      </c>
    </row>
    <row r="90" spans="1:15">
      <c r="A90" s="2" t="s">
        <v>214</v>
      </c>
      <c r="B90" s="7">
        <v>14</v>
      </c>
      <c r="C90" s="2" t="s">
        <v>215</v>
      </c>
      <c r="D90" s="7">
        <v>1000</v>
      </c>
      <c r="E90" s="7">
        <v>3000</v>
      </c>
      <c r="F90" s="7">
        <v>0</v>
      </c>
      <c r="G90" s="7">
        <v>11000</v>
      </c>
      <c r="H90" s="7">
        <v>2000</v>
      </c>
      <c r="I90" s="7">
        <v>300</v>
      </c>
      <c r="J90" s="7">
        <v>5700</v>
      </c>
      <c r="K90" s="7">
        <v>1410</v>
      </c>
      <c r="L90" s="7">
        <v>4000</v>
      </c>
      <c r="M90" s="7">
        <v>290</v>
      </c>
      <c r="N90" s="7">
        <v>5700</v>
      </c>
      <c r="O90" s="7">
        <v>0</v>
      </c>
    </row>
    <row r="91" spans="1:15">
      <c r="A91" s="2" t="s">
        <v>214</v>
      </c>
      <c r="B91" s="7">
        <v>15</v>
      </c>
      <c r="C91" s="2" t="s">
        <v>215</v>
      </c>
      <c r="D91" s="7">
        <v>1000</v>
      </c>
      <c r="E91" s="7">
        <v>3000</v>
      </c>
      <c r="F91" s="7">
        <v>0</v>
      </c>
      <c r="G91" s="7">
        <v>12000</v>
      </c>
      <c r="H91" s="7">
        <v>2000</v>
      </c>
      <c r="I91" s="7">
        <v>300</v>
      </c>
      <c r="J91" s="7">
        <v>5700</v>
      </c>
      <c r="K91" s="7">
        <v>1420</v>
      </c>
      <c r="L91" s="7">
        <v>4000</v>
      </c>
      <c r="M91" s="7">
        <v>280</v>
      </c>
      <c r="N91" s="7">
        <v>5700</v>
      </c>
      <c r="O91" s="7">
        <v>0</v>
      </c>
    </row>
    <row r="92" spans="1:15">
      <c r="A92" s="2" t="s">
        <v>214</v>
      </c>
      <c r="B92" s="7">
        <v>16</v>
      </c>
      <c r="C92" s="2" t="s">
        <v>215</v>
      </c>
      <c r="D92" s="7">
        <v>1000</v>
      </c>
      <c r="E92" s="7">
        <v>3000</v>
      </c>
      <c r="F92" s="7">
        <v>0</v>
      </c>
      <c r="G92" s="7">
        <v>13000</v>
      </c>
      <c r="H92" s="7">
        <v>2000</v>
      </c>
      <c r="I92" s="7">
        <v>300</v>
      </c>
      <c r="J92" s="7">
        <v>5700</v>
      </c>
      <c r="K92" s="7">
        <v>1430</v>
      </c>
      <c r="L92" s="7">
        <v>4000</v>
      </c>
      <c r="M92" s="7">
        <v>270</v>
      </c>
      <c r="N92" s="7">
        <v>5700</v>
      </c>
      <c r="O92" s="7">
        <v>0</v>
      </c>
    </row>
    <row r="93" spans="1:15">
      <c r="A93" s="2" t="s">
        <v>214</v>
      </c>
      <c r="B93" s="7">
        <v>17</v>
      </c>
      <c r="C93" s="2" t="s">
        <v>215</v>
      </c>
      <c r="D93" s="7">
        <v>1000</v>
      </c>
      <c r="E93" s="7">
        <v>3000</v>
      </c>
      <c r="F93" s="7">
        <v>0</v>
      </c>
      <c r="G93" s="7">
        <v>14000</v>
      </c>
      <c r="H93" s="7">
        <v>2000</v>
      </c>
      <c r="I93" s="7">
        <v>300</v>
      </c>
      <c r="J93" s="7">
        <v>5700</v>
      </c>
      <c r="K93" s="7">
        <v>1440</v>
      </c>
      <c r="L93" s="7">
        <v>4000</v>
      </c>
      <c r="M93" s="7">
        <v>260</v>
      </c>
      <c r="N93" s="7">
        <v>5700</v>
      </c>
      <c r="O93" s="7">
        <v>0</v>
      </c>
    </row>
    <row r="94" spans="1:15">
      <c r="A94" s="2" t="s">
        <v>214</v>
      </c>
      <c r="B94" s="7">
        <v>18</v>
      </c>
      <c r="C94" s="2" t="s">
        <v>215</v>
      </c>
      <c r="D94" s="7">
        <v>1000</v>
      </c>
      <c r="E94" s="7">
        <v>3000</v>
      </c>
      <c r="F94" s="7">
        <v>0</v>
      </c>
      <c r="G94" s="7">
        <v>15000</v>
      </c>
      <c r="H94" s="7">
        <v>2000</v>
      </c>
      <c r="I94" s="7">
        <v>300</v>
      </c>
      <c r="J94" s="7">
        <v>5700</v>
      </c>
      <c r="K94" s="7">
        <v>1450</v>
      </c>
      <c r="L94" s="7">
        <v>4000</v>
      </c>
      <c r="M94" s="7">
        <v>250</v>
      </c>
      <c r="N94" s="7">
        <v>5700</v>
      </c>
      <c r="O94" s="7">
        <v>0</v>
      </c>
    </row>
    <row r="95" spans="1:15">
      <c r="A95" s="2" t="s">
        <v>214</v>
      </c>
      <c r="B95" s="7">
        <v>19</v>
      </c>
      <c r="C95" s="2" t="s">
        <v>215</v>
      </c>
      <c r="D95" s="7">
        <v>1000</v>
      </c>
      <c r="E95" s="7">
        <v>4000</v>
      </c>
      <c r="F95" s="7">
        <v>0</v>
      </c>
      <c r="G95" s="7">
        <v>15000</v>
      </c>
      <c r="H95" s="7">
        <v>3000</v>
      </c>
      <c r="I95" s="7">
        <v>400</v>
      </c>
      <c r="J95" s="7">
        <v>7600</v>
      </c>
      <c r="K95" s="7">
        <v>1950</v>
      </c>
      <c r="L95" s="7">
        <v>4000</v>
      </c>
      <c r="M95" s="7">
        <v>1650</v>
      </c>
      <c r="N95" s="7">
        <v>7600</v>
      </c>
      <c r="O95" s="7">
        <v>0</v>
      </c>
    </row>
    <row r="96" spans="1:15">
      <c r="A96" s="2" t="s">
        <v>214</v>
      </c>
      <c r="B96" s="7">
        <v>20</v>
      </c>
      <c r="C96" s="2" t="s">
        <v>215</v>
      </c>
      <c r="D96" s="7">
        <v>1000</v>
      </c>
      <c r="E96" s="7">
        <v>4000</v>
      </c>
      <c r="F96" s="7">
        <v>0</v>
      </c>
      <c r="G96" s="7">
        <v>16000</v>
      </c>
      <c r="H96" s="7">
        <v>3000</v>
      </c>
      <c r="I96" s="7">
        <v>400</v>
      </c>
      <c r="J96" s="7">
        <v>7600</v>
      </c>
      <c r="K96" s="7">
        <v>1960</v>
      </c>
      <c r="L96" s="7">
        <v>4000</v>
      </c>
      <c r="M96" s="7">
        <v>1640</v>
      </c>
      <c r="N96" s="7">
        <v>7600</v>
      </c>
      <c r="O96" s="7">
        <v>0</v>
      </c>
    </row>
    <row r="97" spans="1:15">
      <c r="A97" s="2" t="s">
        <v>214</v>
      </c>
      <c r="B97" s="7">
        <v>21</v>
      </c>
      <c r="C97" s="2" t="s">
        <v>215</v>
      </c>
      <c r="D97" s="7">
        <v>1000</v>
      </c>
      <c r="E97" s="7">
        <v>4000</v>
      </c>
      <c r="F97" s="7">
        <v>0</v>
      </c>
      <c r="G97" s="7">
        <v>17000</v>
      </c>
      <c r="H97" s="7">
        <v>3000</v>
      </c>
      <c r="I97" s="7">
        <v>400</v>
      </c>
      <c r="J97" s="7">
        <v>7600</v>
      </c>
      <c r="K97" s="7">
        <v>1970</v>
      </c>
      <c r="L97" s="7">
        <v>4000</v>
      </c>
      <c r="M97" s="7">
        <v>1630</v>
      </c>
      <c r="N97" s="7">
        <v>7600</v>
      </c>
      <c r="O97" s="7">
        <v>0</v>
      </c>
    </row>
    <row r="98" spans="1:15">
      <c r="A98" s="2" t="s">
        <v>214</v>
      </c>
      <c r="B98" s="7">
        <v>22</v>
      </c>
      <c r="C98" s="2" t="s">
        <v>215</v>
      </c>
      <c r="D98" s="7">
        <v>1000</v>
      </c>
      <c r="E98" s="7">
        <v>4000</v>
      </c>
      <c r="F98" s="7">
        <v>0</v>
      </c>
      <c r="G98" s="7">
        <v>18000</v>
      </c>
      <c r="H98" s="7">
        <v>3000</v>
      </c>
      <c r="I98" s="7">
        <v>400</v>
      </c>
      <c r="J98" s="7">
        <v>7600</v>
      </c>
      <c r="K98" s="7">
        <v>1980</v>
      </c>
      <c r="L98" s="7">
        <v>4000</v>
      </c>
      <c r="M98" s="7">
        <v>1620</v>
      </c>
      <c r="N98" s="7">
        <v>7600</v>
      </c>
      <c r="O98" s="7">
        <v>0</v>
      </c>
    </row>
    <row r="99" spans="1:15">
      <c r="A99" s="2" t="s">
        <v>214</v>
      </c>
      <c r="B99" s="7">
        <v>23</v>
      </c>
      <c r="C99" s="2" t="s">
        <v>215</v>
      </c>
      <c r="D99" s="7">
        <v>1000</v>
      </c>
      <c r="E99" s="7">
        <v>4000</v>
      </c>
      <c r="F99" s="7">
        <v>0</v>
      </c>
      <c r="G99" s="7">
        <v>19000</v>
      </c>
      <c r="H99" s="7">
        <v>3000</v>
      </c>
      <c r="I99" s="7">
        <v>400</v>
      </c>
      <c r="J99" s="7">
        <v>7600</v>
      </c>
      <c r="K99" s="7">
        <v>1990</v>
      </c>
      <c r="L99" s="7">
        <v>4000</v>
      </c>
      <c r="M99" s="7">
        <v>1610</v>
      </c>
      <c r="N99" s="7">
        <v>7600</v>
      </c>
      <c r="O99" s="7">
        <v>0</v>
      </c>
    </row>
    <row r="100" spans="1:15">
      <c r="A100" s="2" t="s">
        <v>214</v>
      </c>
      <c r="B100" s="7">
        <v>24</v>
      </c>
      <c r="C100" s="2" t="s">
        <v>215</v>
      </c>
      <c r="D100" s="7">
        <v>1000</v>
      </c>
      <c r="E100" s="7">
        <v>4000</v>
      </c>
      <c r="F100" s="7">
        <v>0</v>
      </c>
      <c r="G100" s="7">
        <v>20000</v>
      </c>
      <c r="H100" s="7">
        <v>3000</v>
      </c>
      <c r="I100" s="7">
        <v>400</v>
      </c>
      <c r="J100" s="7">
        <v>7600</v>
      </c>
      <c r="K100" s="7">
        <v>2000</v>
      </c>
      <c r="L100" s="7">
        <v>4000</v>
      </c>
      <c r="M100" s="7">
        <v>1600</v>
      </c>
      <c r="N100" s="7">
        <v>7600</v>
      </c>
      <c r="O100" s="7">
        <v>0</v>
      </c>
    </row>
    <row r="101" spans="1:15">
      <c r="A101" s="2" t="s">
        <v>214</v>
      </c>
      <c r="B101" s="7">
        <v>25</v>
      </c>
      <c r="C101" s="2" t="s">
        <v>215</v>
      </c>
      <c r="D101" s="7">
        <v>1000</v>
      </c>
      <c r="E101" s="7">
        <v>5000</v>
      </c>
      <c r="F101" s="7">
        <v>0</v>
      </c>
      <c r="G101" s="7">
        <v>20000</v>
      </c>
      <c r="H101" s="7">
        <v>4000</v>
      </c>
      <c r="I101" s="7">
        <v>500</v>
      </c>
      <c r="J101" s="7">
        <v>9500</v>
      </c>
      <c r="K101" s="7">
        <v>2500</v>
      </c>
      <c r="L101" s="7">
        <v>4000</v>
      </c>
      <c r="M101" s="7">
        <v>3000</v>
      </c>
      <c r="N101" s="7">
        <v>9500</v>
      </c>
      <c r="O101" s="7">
        <v>0</v>
      </c>
    </row>
    <row r="102" spans="1:15">
      <c r="A102" s="2" t="s">
        <v>214</v>
      </c>
      <c r="B102" s="7">
        <v>26</v>
      </c>
      <c r="C102" s="2" t="s">
        <v>215</v>
      </c>
      <c r="D102" s="7">
        <v>1000</v>
      </c>
      <c r="E102" s="7">
        <v>5000</v>
      </c>
      <c r="F102" s="7">
        <v>0</v>
      </c>
      <c r="G102" s="7">
        <v>21000</v>
      </c>
      <c r="H102" s="7">
        <v>4000</v>
      </c>
      <c r="I102" s="7">
        <v>500</v>
      </c>
      <c r="J102" s="7">
        <v>9500</v>
      </c>
      <c r="K102" s="7">
        <v>2510</v>
      </c>
      <c r="L102" s="7">
        <v>4000</v>
      </c>
      <c r="M102" s="7">
        <v>2990</v>
      </c>
      <c r="N102" s="7">
        <v>9500</v>
      </c>
      <c r="O102" s="7">
        <v>0</v>
      </c>
    </row>
    <row r="103" spans="1:15">
      <c r="A103" s="2" t="s">
        <v>214</v>
      </c>
      <c r="B103" s="7">
        <v>27</v>
      </c>
      <c r="C103" s="2" t="s">
        <v>215</v>
      </c>
      <c r="D103" s="7">
        <v>1000</v>
      </c>
      <c r="E103" s="7">
        <v>5000</v>
      </c>
      <c r="F103" s="7">
        <v>0</v>
      </c>
      <c r="G103" s="7">
        <v>22000</v>
      </c>
      <c r="H103" s="7">
        <v>4000</v>
      </c>
      <c r="I103" s="7">
        <v>500</v>
      </c>
      <c r="J103" s="7">
        <v>9500</v>
      </c>
      <c r="K103" s="7">
        <v>2520</v>
      </c>
      <c r="L103" s="7">
        <v>4000</v>
      </c>
      <c r="M103" s="7">
        <v>2980</v>
      </c>
      <c r="N103" s="7">
        <v>9500</v>
      </c>
      <c r="O103" s="7">
        <v>0</v>
      </c>
    </row>
    <row r="104" spans="1:15">
      <c r="A104" s="2" t="s">
        <v>214</v>
      </c>
      <c r="B104" s="7">
        <v>28</v>
      </c>
      <c r="C104" s="2" t="s">
        <v>215</v>
      </c>
      <c r="D104" s="7">
        <v>1000</v>
      </c>
      <c r="E104" s="7">
        <v>5000</v>
      </c>
      <c r="F104" s="7">
        <v>0</v>
      </c>
      <c r="G104" s="7">
        <v>23000</v>
      </c>
      <c r="H104" s="7">
        <v>4000</v>
      </c>
      <c r="I104" s="7">
        <v>500</v>
      </c>
      <c r="J104" s="7">
        <v>9500</v>
      </c>
      <c r="K104" s="7">
        <v>2530</v>
      </c>
      <c r="L104" s="7">
        <v>4000</v>
      </c>
      <c r="M104" s="7">
        <v>2970</v>
      </c>
      <c r="N104" s="7">
        <v>9500</v>
      </c>
      <c r="O104" s="7">
        <v>0</v>
      </c>
    </row>
    <row r="105" spans="1:15">
      <c r="A105" s="2" t="s">
        <v>214</v>
      </c>
      <c r="B105" s="7">
        <v>29</v>
      </c>
      <c r="C105" s="2" t="s">
        <v>215</v>
      </c>
      <c r="D105" s="7">
        <v>1000</v>
      </c>
      <c r="E105" s="7">
        <v>5000</v>
      </c>
      <c r="F105" s="7">
        <v>0</v>
      </c>
      <c r="G105" s="7">
        <v>24000</v>
      </c>
      <c r="H105" s="7">
        <v>4000</v>
      </c>
      <c r="I105" s="7">
        <v>500</v>
      </c>
      <c r="J105" s="7">
        <v>9500</v>
      </c>
      <c r="K105" s="7">
        <v>2540</v>
      </c>
      <c r="L105" s="7">
        <v>4000</v>
      </c>
      <c r="M105" s="7">
        <v>2960</v>
      </c>
      <c r="N105" s="7">
        <v>9500</v>
      </c>
      <c r="O105" s="7">
        <v>0</v>
      </c>
    </row>
    <row r="106" spans="1:15">
      <c r="A106" s="2" t="s">
        <v>214</v>
      </c>
      <c r="B106" s="7">
        <v>30</v>
      </c>
      <c r="C106" s="2" t="s">
        <v>215</v>
      </c>
      <c r="D106" s="7">
        <v>1000</v>
      </c>
      <c r="E106" s="7">
        <v>5000</v>
      </c>
      <c r="F106" s="7">
        <v>0</v>
      </c>
      <c r="G106" s="7">
        <v>25000</v>
      </c>
      <c r="H106" s="7">
        <v>4000</v>
      </c>
      <c r="I106" s="7">
        <v>500</v>
      </c>
      <c r="J106" s="7">
        <v>9500</v>
      </c>
      <c r="K106" s="7">
        <v>2550</v>
      </c>
      <c r="L106" s="7">
        <v>4000</v>
      </c>
      <c r="M106" s="7">
        <v>2950</v>
      </c>
      <c r="N106" s="7">
        <v>9500</v>
      </c>
      <c r="O106" s="7">
        <v>0</v>
      </c>
    </row>
    <row r="107" spans="1:15">
      <c r="A107" s="2" t="s">
        <v>214</v>
      </c>
      <c r="B107" s="7">
        <v>31</v>
      </c>
      <c r="C107" s="2" t="s">
        <v>215</v>
      </c>
      <c r="D107" s="7">
        <v>1000</v>
      </c>
      <c r="E107" s="7">
        <v>6000</v>
      </c>
      <c r="F107" s="7">
        <v>0</v>
      </c>
      <c r="G107" s="7">
        <v>25000</v>
      </c>
      <c r="H107" s="7">
        <v>5000</v>
      </c>
      <c r="I107" s="7">
        <v>600</v>
      </c>
      <c r="J107" s="7">
        <v>11400</v>
      </c>
      <c r="K107" s="7">
        <v>3050</v>
      </c>
      <c r="L107" s="7">
        <v>4000</v>
      </c>
      <c r="M107" s="7">
        <v>4350</v>
      </c>
      <c r="N107" s="7">
        <v>11400</v>
      </c>
      <c r="O107" s="7">
        <v>0</v>
      </c>
    </row>
    <row r="108" spans="1:15">
      <c r="A108" s="2" t="s">
        <v>214</v>
      </c>
      <c r="B108" s="7">
        <v>32</v>
      </c>
      <c r="C108" s="2" t="s">
        <v>215</v>
      </c>
      <c r="D108" s="7">
        <v>1000</v>
      </c>
      <c r="E108" s="7">
        <v>6000</v>
      </c>
      <c r="F108" s="7">
        <v>0</v>
      </c>
      <c r="G108" s="7">
        <v>26000</v>
      </c>
      <c r="H108" s="7">
        <v>5000</v>
      </c>
      <c r="I108" s="7">
        <v>600</v>
      </c>
      <c r="J108" s="7">
        <v>11400</v>
      </c>
      <c r="K108" s="7">
        <v>3060</v>
      </c>
      <c r="L108" s="7">
        <v>4000</v>
      </c>
      <c r="M108" s="7">
        <v>4340</v>
      </c>
      <c r="N108" s="7">
        <v>11400</v>
      </c>
      <c r="O108" s="7">
        <v>0</v>
      </c>
    </row>
    <row r="109" spans="1:15">
      <c r="A109" s="2" t="s">
        <v>214</v>
      </c>
      <c r="B109" s="7">
        <v>33</v>
      </c>
      <c r="C109" s="2" t="s">
        <v>215</v>
      </c>
      <c r="D109" s="7">
        <v>1000</v>
      </c>
      <c r="E109" s="7">
        <v>6000</v>
      </c>
      <c r="F109" s="7">
        <v>0</v>
      </c>
      <c r="G109" s="7">
        <v>27000</v>
      </c>
      <c r="H109" s="7">
        <v>5000</v>
      </c>
      <c r="I109" s="7">
        <v>600</v>
      </c>
      <c r="J109" s="7">
        <v>11400</v>
      </c>
      <c r="K109" s="7">
        <v>3070</v>
      </c>
      <c r="L109" s="7">
        <v>4000</v>
      </c>
      <c r="M109" s="7">
        <v>4330</v>
      </c>
      <c r="N109" s="7">
        <v>11400</v>
      </c>
      <c r="O109" s="7">
        <v>0</v>
      </c>
    </row>
    <row r="110" spans="1:15">
      <c r="A110" s="2" t="s">
        <v>214</v>
      </c>
      <c r="B110" s="7">
        <v>34</v>
      </c>
      <c r="C110" s="2" t="s">
        <v>215</v>
      </c>
      <c r="D110" s="7">
        <v>1000</v>
      </c>
      <c r="E110" s="7">
        <v>6000</v>
      </c>
      <c r="F110" s="7">
        <v>0</v>
      </c>
      <c r="G110" s="7">
        <v>28000</v>
      </c>
      <c r="H110" s="7">
        <v>5000</v>
      </c>
      <c r="I110" s="7">
        <v>600</v>
      </c>
      <c r="J110" s="7">
        <v>11400</v>
      </c>
      <c r="K110" s="7">
        <v>3080</v>
      </c>
      <c r="L110" s="7">
        <v>4000</v>
      </c>
      <c r="M110" s="7">
        <v>4320</v>
      </c>
      <c r="N110" s="7">
        <v>11400</v>
      </c>
      <c r="O110" s="7">
        <v>0</v>
      </c>
    </row>
    <row r="111" spans="1:15">
      <c r="A111" s="2" t="s">
        <v>214</v>
      </c>
      <c r="B111" s="7">
        <v>35</v>
      </c>
      <c r="C111" s="2" t="s">
        <v>215</v>
      </c>
      <c r="D111" s="7">
        <v>1000</v>
      </c>
      <c r="E111" s="7">
        <v>6000</v>
      </c>
      <c r="F111" s="7">
        <v>0</v>
      </c>
      <c r="G111" s="7">
        <v>28999.99999999999</v>
      </c>
      <c r="H111" s="7">
        <v>5000</v>
      </c>
      <c r="I111" s="7">
        <v>600</v>
      </c>
      <c r="J111" s="7">
        <v>11400</v>
      </c>
      <c r="K111" s="7">
        <v>3090</v>
      </c>
      <c r="L111" s="7">
        <v>4000</v>
      </c>
      <c r="M111" s="7">
        <v>4310</v>
      </c>
      <c r="N111" s="7">
        <v>11400</v>
      </c>
      <c r="O111" s="7">
        <v>0</v>
      </c>
    </row>
    <row r="112" spans="1:15">
      <c r="A112" s="2" t="s">
        <v>214</v>
      </c>
      <c r="B112" s="7">
        <v>36</v>
      </c>
      <c r="C112" s="2" t="s">
        <v>215</v>
      </c>
      <c r="D112" s="7">
        <v>1000</v>
      </c>
      <c r="E112" s="7">
        <v>6000</v>
      </c>
      <c r="F112" s="7">
        <v>0</v>
      </c>
      <c r="G112" s="7">
        <v>30000</v>
      </c>
      <c r="H112" s="7">
        <v>5000</v>
      </c>
      <c r="I112" s="7">
        <v>600</v>
      </c>
      <c r="J112" s="7">
        <v>11400</v>
      </c>
      <c r="K112" s="7">
        <v>3100</v>
      </c>
      <c r="L112" s="7">
        <v>4000</v>
      </c>
      <c r="M112" s="7">
        <v>4300</v>
      </c>
      <c r="N112" s="7">
        <v>11400</v>
      </c>
      <c r="O112" s="7">
        <v>0</v>
      </c>
    </row>
    <row r="113" spans="1:15">
      <c r="A113" s="2" t="s">
        <v>216</v>
      </c>
      <c r="B113" s="7">
        <v>1</v>
      </c>
      <c r="C113" s="2" t="s">
        <v>217</v>
      </c>
      <c r="D113" s="7">
        <v>1000</v>
      </c>
      <c r="E113" s="7">
        <v>1000</v>
      </c>
      <c r="F113" s="7">
        <v>0</v>
      </c>
      <c r="G113" s="7">
        <v>0</v>
      </c>
      <c r="H113" s="7">
        <v>0</v>
      </c>
      <c r="I113" s="7">
        <v>100</v>
      </c>
      <c r="J113" s="7">
        <v>1900</v>
      </c>
      <c r="K113" s="7">
        <v>300</v>
      </c>
      <c r="L113" s="7">
        <v>4000</v>
      </c>
      <c r="M113" s="7">
        <v>-2400</v>
      </c>
      <c r="N113" s="7">
        <v>1900</v>
      </c>
      <c r="O113" s="7">
        <v>0</v>
      </c>
    </row>
    <row r="114" spans="1:15">
      <c r="A114" s="2" t="s">
        <v>216</v>
      </c>
      <c r="B114" s="7">
        <v>2</v>
      </c>
      <c r="C114" s="2" t="s">
        <v>217</v>
      </c>
      <c r="D114" s="7">
        <v>1000</v>
      </c>
      <c r="E114" s="7">
        <v>1000</v>
      </c>
      <c r="F114" s="7">
        <v>0</v>
      </c>
      <c r="G114" s="7">
        <v>980</v>
      </c>
      <c r="H114" s="7">
        <v>0</v>
      </c>
      <c r="I114" s="7">
        <v>100</v>
      </c>
      <c r="J114" s="7">
        <v>1900</v>
      </c>
      <c r="K114" s="7">
        <v>309.8</v>
      </c>
      <c r="L114" s="7">
        <v>4000</v>
      </c>
      <c r="M114" s="7">
        <v>-2409.8</v>
      </c>
      <c r="N114" s="7">
        <v>1900</v>
      </c>
      <c r="O114" s="7">
        <v>20</v>
      </c>
    </row>
    <row r="115" spans="1:15">
      <c r="A115" s="2" t="s">
        <v>216</v>
      </c>
      <c r="B115" s="7">
        <v>3</v>
      </c>
      <c r="C115" s="2" t="s">
        <v>217</v>
      </c>
      <c r="D115" s="7">
        <v>1000</v>
      </c>
      <c r="E115" s="7">
        <v>1000</v>
      </c>
      <c r="F115" s="7">
        <v>0</v>
      </c>
      <c r="G115" s="7">
        <v>1940.4</v>
      </c>
      <c r="H115" s="7">
        <v>0</v>
      </c>
      <c r="I115" s="7">
        <v>100</v>
      </c>
      <c r="J115" s="7">
        <v>1900</v>
      </c>
      <c r="K115" s="7">
        <v>319.404</v>
      </c>
      <c r="L115" s="7">
        <v>4000</v>
      </c>
      <c r="M115" s="7">
        <v>-2419.404</v>
      </c>
      <c r="N115" s="7">
        <v>1900</v>
      </c>
      <c r="O115" s="7">
        <v>59.6</v>
      </c>
    </row>
    <row r="116" spans="1:15">
      <c r="A116" s="2" t="s">
        <v>216</v>
      </c>
      <c r="B116" s="7">
        <v>4</v>
      </c>
      <c r="C116" s="2" t="s">
        <v>217</v>
      </c>
      <c r="D116" s="7">
        <v>1000</v>
      </c>
      <c r="E116" s="7">
        <v>1000</v>
      </c>
      <c r="F116" s="7">
        <v>0</v>
      </c>
      <c r="G116" s="7">
        <v>2881.592</v>
      </c>
      <c r="H116" s="7">
        <v>0</v>
      </c>
      <c r="I116" s="7">
        <v>100</v>
      </c>
      <c r="J116" s="7">
        <v>1900</v>
      </c>
      <c r="K116" s="7">
        <v>328.81592</v>
      </c>
      <c r="L116" s="7">
        <v>4000</v>
      </c>
      <c r="M116" s="7">
        <v>-2428.81592</v>
      </c>
      <c r="N116" s="7">
        <v>1900</v>
      </c>
      <c r="O116" s="7">
        <v>118.408</v>
      </c>
    </row>
    <row r="117" spans="1:15">
      <c r="A117" s="2" t="s">
        <v>216</v>
      </c>
      <c r="B117" s="7">
        <v>5</v>
      </c>
      <c r="C117" s="2" t="s">
        <v>217</v>
      </c>
      <c r="D117" s="7">
        <v>1000</v>
      </c>
      <c r="E117" s="7">
        <v>1000</v>
      </c>
      <c r="F117" s="7">
        <v>0</v>
      </c>
      <c r="G117" s="7">
        <v>3803.96016</v>
      </c>
      <c r="H117" s="7">
        <v>0</v>
      </c>
      <c r="I117" s="7">
        <v>100</v>
      </c>
      <c r="J117" s="7">
        <v>1900</v>
      </c>
      <c r="K117" s="7">
        <v>338.0396016</v>
      </c>
      <c r="L117" s="7">
        <v>4000</v>
      </c>
      <c r="M117" s="7">
        <v>-2438.0396016</v>
      </c>
      <c r="N117" s="7">
        <v>1900</v>
      </c>
      <c r="O117" s="7">
        <v>196.03984</v>
      </c>
    </row>
    <row r="118" spans="1:15">
      <c r="A118" s="2" t="s">
        <v>216</v>
      </c>
      <c r="B118" s="7">
        <v>6</v>
      </c>
      <c r="C118" s="2" t="s">
        <v>217</v>
      </c>
      <c r="D118" s="7">
        <v>1000</v>
      </c>
      <c r="E118" s="7">
        <v>1000</v>
      </c>
      <c r="F118" s="7">
        <v>0</v>
      </c>
      <c r="G118" s="7">
        <v>4707.8809568</v>
      </c>
      <c r="H118" s="7">
        <v>0</v>
      </c>
      <c r="I118" s="7">
        <v>100</v>
      </c>
      <c r="J118" s="7">
        <v>1900</v>
      </c>
      <c r="K118" s="7">
        <v>347.078809568</v>
      </c>
      <c r="L118" s="7">
        <v>4000</v>
      </c>
      <c r="M118" s="7">
        <v>-2447.078809568</v>
      </c>
      <c r="N118" s="7">
        <v>1900</v>
      </c>
      <c r="O118" s="7">
        <v>292.1190432</v>
      </c>
    </row>
    <row r="119" spans="1:15">
      <c r="A119" s="2" t="s">
        <v>216</v>
      </c>
      <c r="B119" s="7">
        <v>7</v>
      </c>
      <c r="C119" s="2" t="s">
        <v>217</v>
      </c>
      <c r="D119" s="7">
        <v>1000</v>
      </c>
      <c r="E119" s="7">
        <v>1885.842380864</v>
      </c>
      <c r="F119" s="7">
        <v>0</v>
      </c>
      <c r="G119" s="7">
        <v>4707.8809568</v>
      </c>
      <c r="H119" s="7">
        <v>885.842380864</v>
      </c>
      <c r="I119" s="7">
        <v>188.5842380864</v>
      </c>
      <c r="J119" s="7">
        <v>3583.1005236416</v>
      </c>
      <c r="K119" s="7">
        <v>790</v>
      </c>
      <c r="L119" s="7">
        <v>4000</v>
      </c>
      <c r="M119" s="7">
        <v>-1206.8994763584</v>
      </c>
      <c r="N119" s="7">
        <v>3583.1005236416</v>
      </c>
      <c r="O119" s="7">
        <v>406.2766623360001</v>
      </c>
    </row>
    <row r="120" spans="1:15">
      <c r="A120" s="2" t="s">
        <v>216</v>
      </c>
      <c r="B120" s="7">
        <v>8</v>
      </c>
      <c r="C120" s="2" t="s">
        <v>217</v>
      </c>
      <c r="D120" s="7">
        <v>1000</v>
      </c>
      <c r="E120" s="7">
        <v>1885.842380864</v>
      </c>
      <c r="F120" s="7">
        <v>0</v>
      </c>
      <c r="G120" s="7">
        <v>5576.00649004672</v>
      </c>
      <c r="H120" s="7">
        <v>885.842380864</v>
      </c>
      <c r="I120" s="7">
        <v>188.5842380864</v>
      </c>
      <c r="J120" s="7">
        <v>3583.1005236416</v>
      </c>
      <c r="K120" s="7">
        <v>798.6812553324672</v>
      </c>
      <c r="L120" s="7">
        <v>4000</v>
      </c>
      <c r="M120" s="7">
        <v>-1215.580731690867</v>
      </c>
      <c r="N120" s="7">
        <v>3583.1005236416</v>
      </c>
      <c r="O120" s="7">
        <v>538.1511290892799</v>
      </c>
    </row>
    <row r="121" spans="1:15">
      <c r="A121" s="2" t="s">
        <v>216</v>
      </c>
      <c r="B121" s="7">
        <v>9</v>
      </c>
      <c r="C121" s="2" t="s">
        <v>217</v>
      </c>
      <c r="D121" s="7">
        <v>1000</v>
      </c>
      <c r="E121" s="7">
        <v>1885.842380864</v>
      </c>
      <c r="F121" s="7">
        <v>0</v>
      </c>
      <c r="G121" s="7">
        <v>6426.769512628505</v>
      </c>
      <c r="H121" s="7">
        <v>885.842380864</v>
      </c>
      <c r="I121" s="7">
        <v>188.5842380864</v>
      </c>
      <c r="J121" s="7">
        <v>3583.1005236416</v>
      </c>
      <c r="K121" s="7">
        <v>807.1888855582851</v>
      </c>
      <c r="L121" s="7">
        <v>4000</v>
      </c>
      <c r="M121" s="7">
        <v>-1224.088361916685</v>
      </c>
      <c r="N121" s="7">
        <v>3583.1005236416</v>
      </c>
      <c r="O121" s="7">
        <v>687.3881065074944</v>
      </c>
    </row>
    <row r="122" spans="1:15">
      <c r="A122" s="2" t="s">
        <v>216</v>
      </c>
      <c r="B122" s="7">
        <v>10</v>
      </c>
      <c r="C122" s="2" t="s">
        <v>217</v>
      </c>
      <c r="D122" s="7">
        <v>1000</v>
      </c>
      <c r="E122" s="7">
        <v>1885.842380864</v>
      </c>
      <c r="F122" s="7">
        <v>0</v>
      </c>
      <c r="G122" s="7">
        <v>7260.517274758656</v>
      </c>
      <c r="H122" s="7">
        <v>885.842380864</v>
      </c>
      <c r="I122" s="7">
        <v>188.5842380864</v>
      </c>
      <c r="J122" s="7">
        <v>3583.1005236416</v>
      </c>
      <c r="K122" s="7">
        <v>815.5263631795866</v>
      </c>
      <c r="L122" s="7">
        <v>4000</v>
      </c>
      <c r="M122" s="7">
        <v>-1232.425839537987</v>
      </c>
      <c r="N122" s="7">
        <v>3583.1005236416</v>
      </c>
      <c r="O122" s="7">
        <v>853.6403443773445</v>
      </c>
    </row>
    <row r="123" spans="1:15">
      <c r="A123" s="2" t="s">
        <v>216</v>
      </c>
      <c r="B123" s="7">
        <v>11</v>
      </c>
      <c r="C123" s="2" t="s">
        <v>217</v>
      </c>
      <c r="D123" s="7">
        <v>1000</v>
      </c>
      <c r="E123" s="7">
        <v>1885.842380864</v>
      </c>
      <c r="F123" s="7">
        <v>0</v>
      </c>
      <c r="G123" s="7">
        <v>8077.590081646203</v>
      </c>
      <c r="H123" s="7">
        <v>885.842380864</v>
      </c>
      <c r="I123" s="7">
        <v>188.5842380864</v>
      </c>
      <c r="J123" s="7">
        <v>3583.1005236416</v>
      </c>
      <c r="K123" s="7">
        <v>823.697091248462</v>
      </c>
      <c r="L123" s="7">
        <v>4000</v>
      </c>
      <c r="M123" s="7">
        <v>-1240.596567606862</v>
      </c>
      <c r="N123" s="7">
        <v>3583.1005236416</v>
      </c>
      <c r="O123" s="7">
        <v>1036.567537489798</v>
      </c>
    </row>
    <row r="124" spans="1:15">
      <c r="A124" s="2" t="s">
        <v>216</v>
      </c>
      <c r="B124" s="7">
        <v>12</v>
      </c>
      <c r="C124" s="2" t="s">
        <v>217</v>
      </c>
      <c r="D124" s="7">
        <v>1000</v>
      </c>
      <c r="E124" s="7">
        <v>1885.842380864</v>
      </c>
      <c r="F124" s="7">
        <v>0</v>
      </c>
      <c r="G124" s="7">
        <v>8878.321432395998</v>
      </c>
      <c r="H124" s="7">
        <v>885.842380864</v>
      </c>
      <c r="I124" s="7">
        <v>188.5842380864</v>
      </c>
      <c r="J124" s="7">
        <v>3583.1005236416</v>
      </c>
      <c r="K124" s="7">
        <v>831.7044047559599</v>
      </c>
      <c r="L124" s="7">
        <v>4000</v>
      </c>
      <c r="M124" s="7">
        <v>-1248.60388111436</v>
      </c>
      <c r="N124" s="7">
        <v>3583.1005236416</v>
      </c>
      <c r="O124" s="7">
        <v>1235.836186740001</v>
      </c>
    </row>
    <row r="125" spans="1:15">
      <c r="A125" s="2" t="s">
        <v>216</v>
      </c>
      <c r="B125" s="7">
        <v>13</v>
      </c>
      <c r="C125" s="2" t="s">
        <v>217</v>
      </c>
      <c r="D125" s="7">
        <v>1000</v>
      </c>
      <c r="E125" s="7">
        <v>2670.5591045988</v>
      </c>
      <c r="F125" s="7">
        <v>0</v>
      </c>
      <c r="G125" s="7">
        <v>8878.321432395998</v>
      </c>
      <c r="H125" s="7">
        <v>1670.5591045988</v>
      </c>
      <c r="I125" s="7">
        <v>267.05591045988</v>
      </c>
      <c r="J125" s="7">
        <v>5074.06229873772</v>
      </c>
      <c r="K125" s="7">
        <v>1224.06276662336</v>
      </c>
      <c r="L125" s="7">
        <v>4000</v>
      </c>
      <c r="M125" s="7">
        <v>-150.0004678856403</v>
      </c>
      <c r="N125" s="7">
        <v>5074.06229873772</v>
      </c>
      <c r="O125" s="7">
        <v>1451.119463005201</v>
      </c>
    </row>
    <row r="126" spans="1:15">
      <c r="A126" s="2" t="s">
        <v>216</v>
      </c>
      <c r="B126" s="7">
        <v>14</v>
      </c>
      <c r="C126" s="2" t="s">
        <v>217</v>
      </c>
      <c r="D126" s="7">
        <v>1000</v>
      </c>
      <c r="E126" s="7">
        <v>2670.5591045988</v>
      </c>
      <c r="F126" s="7">
        <v>0</v>
      </c>
      <c r="G126" s="7">
        <v>9647.343821656103</v>
      </c>
      <c r="H126" s="7">
        <v>1670.5591045988</v>
      </c>
      <c r="I126" s="7">
        <v>267.05591045988</v>
      </c>
      <c r="J126" s="7">
        <v>5074.06229873772</v>
      </c>
      <c r="K126" s="7">
        <v>1231.752990515961</v>
      </c>
      <c r="L126" s="7">
        <v>4000</v>
      </c>
      <c r="M126" s="7">
        <v>-157.6906917782412</v>
      </c>
      <c r="N126" s="7">
        <v>5074.06229873772</v>
      </c>
      <c r="O126" s="7">
        <v>1682.097073745098</v>
      </c>
    </row>
    <row r="127" spans="1:15">
      <c r="A127" s="2" t="s">
        <v>216</v>
      </c>
      <c r="B127" s="7">
        <v>15</v>
      </c>
      <c r="C127" s="2" t="s">
        <v>217</v>
      </c>
      <c r="D127" s="7">
        <v>1000</v>
      </c>
      <c r="E127" s="7">
        <v>2670.5591045988</v>
      </c>
      <c r="F127" s="7">
        <v>0</v>
      </c>
      <c r="G127" s="7">
        <v>10400.98576313101</v>
      </c>
      <c r="H127" s="7">
        <v>1670.5591045988</v>
      </c>
      <c r="I127" s="7">
        <v>267.05591045988</v>
      </c>
      <c r="J127" s="7">
        <v>5074.06229873772</v>
      </c>
      <c r="K127" s="7">
        <v>1239.28940993071</v>
      </c>
      <c r="L127" s="7">
        <v>4000</v>
      </c>
      <c r="M127" s="7">
        <v>-165.2271111929904</v>
      </c>
      <c r="N127" s="7">
        <v>5074.06229873772</v>
      </c>
      <c r="O127" s="7">
        <v>1928.455132270195</v>
      </c>
    </row>
    <row r="128" spans="1:15">
      <c r="A128" s="2" t="s">
        <v>216</v>
      </c>
      <c r="B128" s="7">
        <v>16</v>
      </c>
      <c r="C128" s="2" t="s">
        <v>217</v>
      </c>
      <c r="D128" s="7">
        <v>1000</v>
      </c>
      <c r="E128" s="7">
        <v>2670.5591045988</v>
      </c>
      <c r="F128" s="7">
        <v>0</v>
      </c>
      <c r="G128" s="7">
        <v>11139.55486577641</v>
      </c>
      <c r="H128" s="7">
        <v>1670.5591045988</v>
      </c>
      <c r="I128" s="7">
        <v>267.05591045988</v>
      </c>
      <c r="J128" s="7">
        <v>5074.06229873772</v>
      </c>
      <c r="K128" s="7">
        <v>1246.675100957164</v>
      </c>
      <c r="L128" s="7">
        <v>4000</v>
      </c>
      <c r="M128" s="7">
        <v>-172.6128022194443</v>
      </c>
      <c r="N128" s="7">
        <v>5074.06229873772</v>
      </c>
      <c r="O128" s="7">
        <v>2189.886029624791</v>
      </c>
    </row>
    <row r="129" spans="1:15">
      <c r="A129" s="2" t="s">
        <v>216</v>
      </c>
      <c r="B129" s="7">
        <v>17</v>
      </c>
      <c r="C129" s="2" t="s">
        <v>217</v>
      </c>
      <c r="D129" s="7">
        <v>1000</v>
      </c>
      <c r="E129" s="7">
        <v>2670.5591045988</v>
      </c>
      <c r="F129" s="7">
        <v>0</v>
      </c>
      <c r="G129" s="7">
        <v>11863.35258636891</v>
      </c>
      <c r="H129" s="7">
        <v>1670.5591045988</v>
      </c>
      <c r="I129" s="7">
        <v>267.05591045988</v>
      </c>
      <c r="J129" s="7">
        <v>5074.06229873772</v>
      </c>
      <c r="K129" s="7">
        <v>1253.913078163089</v>
      </c>
      <c r="L129" s="7">
        <v>4000</v>
      </c>
      <c r="M129" s="7">
        <v>-179.8507794253692</v>
      </c>
      <c r="N129" s="7">
        <v>5074.06229873772</v>
      </c>
      <c r="O129" s="7">
        <v>2466.088309032295</v>
      </c>
    </row>
    <row r="130" spans="1:15">
      <c r="A130" s="2" t="s">
        <v>216</v>
      </c>
      <c r="B130" s="7">
        <v>18</v>
      </c>
      <c r="C130" s="2" t="s">
        <v>217</v>
      </c>
      <c r="D130" s="7">
        <v>1000</v>
      </c>
      <c r="E130" s="7">
        <v>2670.5591045988</v>
      </c>
      <c r="F130" s="7">
        <v>0</v>
      </c>
      <c r="G130" s="7">
        <v>12572.67435254955</v>
      </c>
      <c r="H130" s="7">
        <v>1670.5591045988</v>
      </c>
      <c r="I130" s="7">
        <v>267.05591045988</v>
      </c>
      <c r="J130" s="7">
        <v>5074.06229873772</v>
      </c>
      <c r="K130" s="7">
        <v>1261.006295824896</v>
      </c>
      <c r="L130" s="7">
        <v>4000</v>
      </c>
      <c r="M130" s="7">
        <v>-186.9439970871754</v>
      </c>
      <c r="N130" s="7">
        <v>5074.06229873772</v>
      </c>
      <c r="O130" s="7">
        <v>2756.76654285165</v>
      </c>
    </row>
    <row r="131" spans="1:15">
      <c r="A131" s="2" t="s">
        <v>216</v>
      </c>
      <c r="B131" s="7">
        <v>19</v>
      </c>
      <c r="C131" s="2" t="s">
        <v>217</v>
      </c>
      <c r="D131" s="7">
        <v>1000</v>
      </c>
      <c r="E131" s="7">
        <v>3365.694435455833</v>
      </c>
      <c r="F131" s="7">
        <v>0</v>
      </c>
      <c r="G131" s="7">
        <v>12572.67435254955</v>
      </c>
      <c r="H131" s="7">
        <v>2365.694435455833</v>
      </c>
      <c r="I131" s="7">
        <v>336.5694435455833</v>
      </c>
      <c r="J131" s="7">
        <v>6394.819427366084</v>
      </c>
      <c r="K131" s="7">
        <v>1608.573961253412</v>
      </c>
      <c r="L131" s="7">
        <v>4000</v>
      </c>
      <c r="M131" s="7">
        <v>786.2454661126721</v>
      </c>
      <c r="N131" s="7">
        <v>6394.819427366084</v>
      </c>
      <c r="O131" s="7">
        <v>3061.631211994617</v>
      </c>
    </row>
    <row r="132" spans="1:15">
      <c r="A132" s="2" t="s">
        <v>216</v>
      </c>
      <c r="B132" s="7">
        <v>20</v>
      </c>
      <c r="C132" s="2" t="s">
        <v>217</v>
      </c>
      <c r="D132" s="7">
        <v>1000</v>
      </c>
      <c r="E132" s="7">
        <v>3365.694435455833</v>
      </c>
      <c r="F132" s="7">
        <v>0</v>
      </c>
      <c r="G132" s="7">
        <v>13253.90697678944</v>
      </c>
      <c r="H132" s="7">
        <v>2365.694435455833</v>
      </c>
      <c r="I132" s="7">
        <v>336.5694435455833</v>
      </c>
      <c r="J132" s="7">
        <v>6394.819427366084</v>
      </c>
      <c r="K132" s="7">
        <v>1615.386287495811</v>
      </c>
      <c r="L132" s="7">
        <v>4000</v>
      </c>
      <c r="M132" s="7">
        <v>779.4331398702725</v>
      </c>
      <c r="N132" s="7">
        <v>6394.819427366084</v>
      </c>
      <c r="O132" s="7">
        <v>3380.398587754724</v>
      </c>
    </row>
    <row r="133" spans="1:15">
      <c r="A133" s="2" t="s">
        <v>216</v>
      </c>
      <c r="B133" s="7">
        <v>21</v>
      </c>
      <c r="C133" s="2" t="s">
        <v>217</v>
      </c>
      <c r="D133" s="7">
        <v>1000</v>
      </c>
      <c r="E133" s="7">
        <v>3365.694435455833</v>
      </c>
      <c r="F133" s="7">
        <v>0</v>
      </c>
      <c r="G133" s="7">
        <v>13921.51494854454</v>
      </c>
      <c r="H133" s="7">
        <v>2365.694435455833</v>
      </c>
      <c r="I133" s="7">
        <v>336.5694435455833</v>
      </c>
      <c r="J133" s="7">
        <v>6394.819427366084</v>
      </c>
      <c r="K133" s="7">
        <v>1622.062367213362</v>
      </c>
      <c r="L133" s="7">
        <v>4000</v>
      </c>
      <c r="M133" s="7">
        <v>772.7570601527223</v>
      </c>
      <c r="N133" s="7">
        <v>6394.819427366084</v>
      </c>
      <c r="O133" s="7">
        <v>3712.79061599963</v>
      </c>
    </row>
    <row r="134" spans="1:15">
      <c r="A134" s="2" t="s">
        <v>216</v>
      </c>
      <c r="B134" s="7">
        <v>22</v>
      </c>
      <c r="C134" s="2" t="s">
        <v>217</v>
      </c>
      <c r="D134" s="7">
        <v>1000</v>
      </c>
      <c r="E134" s="7">
        <v>3365.694435455833</v>
      </c>
      <c r="F134" s="7">
        <v>0</v>
      </c>
      <c r="G134" s="7">
        <v>14575.77076086453</v>
      </c>
      <c r="H134" s="7">
        <v>2365.694435455833</v>
      </c>
      <c r="I134" s="7">
        <v>336.5694435455833</v>
      </c>
      <c r="J134" s="7">
        <v>6394.819427366084</v>
      </c>
      <c r="K134" s="7">
        <v>1628.604925336562</v>
      </c>
      <c r="L134" s="7">
        <v>4000</v>
      </c>
      <c r="M134" s="7">
        <v>766.2145020295211</v>
      </c>
      <c r="N134" s="7">
        <v>6394.819427366084</v>
      </c>
      <c r="O134" s="7">
        <v>4058.534803679637</v>
      </c>
    </row>
    <row r="135" spans="1:15">
      <c r="A135" s="2" t="s">
        <v>216</v>
      </c>
      <c r="B135" s="7">
        <v>23</v>
      </c>
      <c r="C135" s="2" t="s">
        <v>217</v>
      </c>
      <c r="D135" s="7">
        <v>1000</v>
      </c>
      <c r="E135" s="7">
        <v>3365.694435455833</v>
      </c>
      <c r="F135" s="7">
        <v>0</v>
      </c>
      <c r="G135" s="7">
        <v>15216.94145693812</v>
      </c>
      <c r="H135" s="7">
        <v>2365.694435455833</v>
      </c>
      <c r="I135" s="7">
        <v>336.5694435455833</v>
      </c>
      <c r="J135" s="7">
        <v>6394.819427366084</v>
      </c>
      <c r="K135" s="7">
        <v>1635.016632297298</v>
      </c>
      <c r="L135" s="7">
        <v>4000</v>
      </c>
      <c r="M135" s="7">
        <v>759.8027950687865</v>
      </c>
      <c r="N135" s="7">
        <v>6394.819427366084</v>
      </c>
      <c r="O135" s="7">
        <v>4417.364107606045</v>
      </c>
    </row>
    <row r="136" spans="1:15">
      <c r="A136" s="2" t="s">
        <v>216</v>
      </c>
      <c r="B136" s="7">
        <v>24</v>
      </c>
      <c r="C136" s="2" t="s">
        <v>217</v>
      </c>
      <c r="D136" s="7">
        <v>1000</v>
      </c>
      <c r="E136" s="7">
        <v>3365.694435455833</v>
      </c>
      <c r="F136" s="7">
        <v>0</v>
      </c>
      <c r="G136" s="7">
        <v>15845.28873909024</v>
      </c>
      <c r="H136" s="7">
        <v>2365.694435455833</v>
      </c>
      <c r="I136" s="7">
        <v>336.5694435455833</v>
      </c>
      <c r="J136" s="7">
        <v>6394.819427366084</v>
      </c>
      <c r="K136" s="7">
        <v>1641.300105118819</v>
      </c>
      <c r="L136" s="7">
        <v>4000</v>
      </c>
      <c r="M136" s="7">
        <v>753.5193222472644</v>
      </c>
      <c r="N136" s="7">
        <v>6394.819427366084</v>
      </c>
      <c r="O136" s="7">
        <v>4789.016825453924</v>
      </c>
    </row>
    <row r="137" spans="1:15">
      <c r="A137" s="2" t="s">
        <v>216</v>
      </c>
      <c r="B137" s="7">
        <v>25</v>
      </c>
      <c r="C137" s="2" t="s">
        <v>217</v>
      </c>
      <c r="D137" s="7">
        <v>1000</v>
      </c>
      <c r="E137" s="7">
        <v>3981.474771964912</v>
      </c>
      <c r="F137" s="7">
        <v>0</v>
      </c>
      <c r="G137" s="7">
        <v>15845.28873909024</v>
      </c>
      <c r="H137" s="7">
        <v>2981.474771964912</v>
      </c>
      <c r="I137" s="7">
        <v>398.1474771964911</v>
      </c>
      <c r="J137" s="7">
        <v>7564.802066733331</v>
      </c>
      <c r="K137" s="7">
        <v>1949.190273373358</v>
      </c>
      <c r="L137" s="7">
        <v>4000</v>
      </c>
      <c r="M137" s="7">
        <v>1615.611793359973</v>
      </c>
      <c r="N137" s="7">
        <v>7564.802066733331</v>
      </c>
      <c r="O137" s="7">
        <v>5173.236488944846</v>
      </c>
    </row>
    <row r="138" spans="1:15">
      <c r="A138" s="2" t="s">
        <v>216</v>
      </c>
      <c r="B138" s="7">
        <v>26</v>
      </c>
      <c r="C138" s="2" t="s">
        <v>217</v>
      </c>
      <c r="D138" s="7">
        <v>1000</v>
      </c>
      <c r="E138" s="7">
        <v>3981.474771964912</v>
      </c>
      <c r="F138" s="7">
        <v>0</v>
      </c>
      <c r="G138" s="7">
        <v>16448.75346886914</v>
      </c>
      <c r="H138" s="7">
        <v>2981.474771964912</v>
      </c>
      <c r="I138" s="7">
        <v>398.1474771964911</v>
      </c>
      <c r="J138" s="7">
        <v>7564.802066733331</v>
      </c>
      <c r="K138" s="7">
        <v>1955.224920671147</v>
      </c>
      <c r="L138" s="7">
        <v>4000</v>
      </c>
      <c r="M138" s="7">
        <v>1609.577146062184</v>
      </c>
      <c r="N138" s="7">
        <v>7564.802066733331</v>
      </c>
      <c r="O138" s="7">
        <v>5569.771759165949</v>
      </c>
    </row>
    <row r="139" spans="1:15">
      <c r="A139" s="2" t="s">
        <v>216</v>
      </c>
      <c r="B139" s="7">
        <v>27</v>
      </c>
      <c r="C139" s="2" t="s">
        <v>217</v>
      </c>
      <c r="D139" s="7">
        <v>1000</v>
      </c>
      <c r="E139" s="7">
        <v>3981.474771964912</v>
      </c>
      <c r="F139" s="7">
        <v>0</v>
      </c>
      <c r="G139" s="7">
        <v>17040.14890405246</v>
      </c>
      <c r="H139" s="7">
        <v>2981.474771964912</v>
      </c>
      <c r="I139" s="7">
        <v>398.1474771964911</v>
      </c>
      <c r="J139" s="7">
        <v>7564.802066733331</v>
      </c>
      <c r="K139" s="7">
        <v>1961.138875022981</v>
      </c>
      <c r="L139" s="7">
        <v>4000</v>
      </c>
      <c r="M139" s="7">
        <v>1603.66319171035</v>
      </c>
      <c r="N139" s="7">
        <v>7564.802066733331</v>
      </c>
      <c r="O139" s="7">
        <v>5978.37632398263</v>
      </c>
    </row>
    <row r="140" spans="1:15">
      <c r="A140" s="2" t="s">
        <v>216</v>
      </c>
      <c r="B140" s="7">
        <v>28</v>
      </c>
      <c r="C140" s="2" t="s">
        <v>217</v>
      </c>
      <c r="D140" s="7">
        <v>1000</v>
      </c>
      <c r="E140" s="7">
        <v>3981.474771964912</v>
      </c>
      <c r="F140" s="7">
        <v>0</v>
      </c>
      <c r="G140" s="7">
        <v>17619.71643053211</v>
      </c>
      <c r="H140" s="7">
        <v>2981.474771964912</v>
      </c>
      <c r="I140" s="7">
        <v>398.1474771964911</v>
      </c>
      <c r="J140" s="7">
        <v>7564.802066733331</v>
      </c>
      <c r="K140" s="7">
        <v>1966.934550287777</v>
      </c>
      <c r="L140" s="7">
        <v>4000</v>
      </c>
      <c r="M140" s="7">
        <v>1597.867516445554</v>
      </c>
      <c r="N140" s="7">
        <v>7564.802066733331</v>
      </c>
      <c r="O140" s="7">
        <v>6398.808797502978</v>
      </c>
    </row>
    <row r="141" spans="1:15">
      <c r="A141" s="2" t="s">
        <v>216</v>
      </c>
      <c r="B141" s="7">
        <v>29</v>
      </c>
      <c r="C141" s="2" t="s">
        <v>217</v>
      </c>
      <c r="D141" s="7">
        <v>1000</v>
      </c>
      <c r="E141" s="7">
        <v>3981.474771964912</v>
      </c>
      <c r="F141" s="7">
        <v>0</v>
      </c>
      <c r="G141" s="7">
        <v>18187.69260648217</v>
      </c>
      <c r="H141" s="7">
        <v>2981.474771964912</v>
      </c>
      <c r="I141" s="7">
        <v>398.1474771964911</v>
      </c>
      <c r="J141" s="7">
        <v>7564.802066733331</v>
      </c>
      <c r="K141" s="7">
        <v>1972.614312047278</v>
      </c>
      <c r="L141" s="7">
        <v>4000</v>
      </c>
      <c r="M141" s="7">
        <v>1592.187754686054</v>
      </c>
      <c r="N141" s="7">
        <v>7564.802066733331</v>
      </c>
      <c r="O141" s="7">
        <v>6830.832621552918</v>
      </c>
    </row>
    <row r="142" spans="1:15">
      <c r="A142" s="2" t="s">
        <v>216</v>
      </c>
      <c r="B142" s="7">
        <v>30</v>
      </c>
      <c r="C142" s="2" t="s">
        <v>217</v>
      </c>
      <c r="D142" s="7">
        <v>1000</v>
      </c>
      <c r="E142" s="7">
        <v>3981.474771964912</v>
      </c>
      <c r="F142" s="7">
        <v>0</v>
      </c>
      <c r="G142" s="7">
        <v>18744.30925891322</v>
      </c>
      <c r="H142" s="7">
        <v>2981.474771964912</v>
      </c>
      <c r="I142" s="7">
        <v>398.1474771964911</v>
      </c>
      <c r="J142" s="7">
        <v>7564.802066733331</v>
      </c>
      <c r="K142" s="7">
        <v>1978.180478571588</v>
      </c>
      <c r="L142" s="7">
        <v>4000</v>
      </c>
      <c r="M142" s="7">
        <v>1586.621588161743</v>
      </c>
      <c r="N142" s="7">
        <v>7564.802066733331</v>
      </c>
      <c r="O142" s="7">
        <v>7274.215969121859</v>
      </c>
    </row>
    <row r="143" spans="1:15">
      <c r="A143" s="2" t="s">
        <v>216</v>
      </c>
      <c r="B143" s="7">
        <v>31</v>
      </c>
      <c r="C143" s="2" t="s">
        <v>217</v>
      </c>
      <c r="D143" s="7">
        <v>1000</v>
      </c>
      <c r="E143" s="7">
        <v>4526.959091347349</v>
      </c>
      <c r="F143" s="7">
        <v>0</v>
      </c>
      <c r="G143" s="7">
        <v>18744.30925891322</v>
      </c>
      <c r="H143" s="7">
        <v>3526.959091347349</v>
      </c>
      <c r="I143" s="7">
        <v>452.6959091347349</v>
      </c>
      <c r="J143" s="7">
        <v>8601.222273559963</v>
      </c>
      <c r="K143" s="7">
        <v>2250.922638262807</v>
      </c>
      <c r="L143" s="7">
        <v>4000</v>
      </c>
      <c r="M143" s="7">
        <v>2350.299635297156</v>
      </c>
      <c r="N143" s="7">
        <v>8601.222273559963</v>
      </c>
      <c r="O143" s="7">
        <v>7728.731649739421</v>
      </c>
    </row>
    <row r="144" spans="1:15">
      <c r="A144" s="2" t="s">
        <v>216</v>
      </c>
      <c r="B144" s="7">
        <v>32</v>
      </c>
      <c r="C144" s="2" t="s">
        <v>217</v>
      </c>
      <c r="D144" s="7">
        <v>1000</v>
      </c>
      <c r="E144" s="7">
        <v>4526.959091347349</v>
      </c>
      <c r="F144" s="7">
        <v>0</v>
      </c>
      <c r="G144" s="7">
        <v>19278.88389190802</v>
      </c>
      <c r="H144" s="7">
        <v>3526.959091347349</v>
      </c>
      <c r="I144" s="7">
        <v>452.6959091347349</v>
      </c>
      <c r="J144" s="7">
        <v>8601.222273559963</v>
      </c>
      <c r="K144" s="7">
        <v>2256.268384592755</v>
      </c>
      <c r="L144" s="7">
        <v>4000</v>
      </c>
      <c r="M144" s="7">
        <v>2344.953888967208</v>
      </c>
      <c r="N144" s="7">
        <v>8601.222273559963</v>
      </c>
      <c r="O144" s="7">
        <v>8194.157016744633</v>
      </c>
    </row>
    <row r="145" spans="1:15">
      <c r="A145" s="2" t="s">
        <v>216</v>
      </c>
      <c r="B145" s="7">
        <v>33</v>
      </c>
      <c r="C145" s="2" t="s">
        <v>217</v>
      </c>
      <c r="D145" s="7">
        <v>1000</v>
      </c>
      <c r="E145" s="7">
        <v>4526.959091347349</v>
      </c>
      <c r="F145" s="7">
        <v>0</v>
      </c>
      <c r="G145" s="7">
        <v>19802.76703224291</v>
      </c>
      <c r="H145" s="7">
        <v>3526.959091347349</v>
      </c>
      <c r="I145" s="7">
        <v>452.6959091347349</v>
      </c>
      <c r="J145" s="7">
        <v>8601.222273559963</v>
      </c>
      <c r="K145" s="7">
        <v>2261.507215996104</v>
      </c>
      <c r="L145" s="7">
        <v>4000</v>
      </c>
      <c r="M145" s="7">
        <v>2339.715057563859</v>
      </c>
      <c r="N145" s="7">
        <v>8601.222273559963</v>
      </c>
      <c r="O145" s="7">
        <v>8670.273876409741</v>
      </c>
    </row>
    <row r="146" spans="1:15">
      <c r="A146" s="2" t="s">
        <v>216</v>
      </c>
      <c r="B146" s="7">
        <v>34</v>
      </c>
      <c r="C146" s="2" t="s">
        <v>217</v>
      </c>
      <c r="D146" s="7">
        <v>1000</v>
      </c>
      <c r="E146" s="7">
        <v>4526.959091347349</v>
      </c>
      <c r="F146" s="7">
        <v>0</v>
      </c>
      <c r="G146" s="7">
        <v>20316.17250977111</v>
      </c>
      <c r="H146" s="7">
        <v>3526.959091347349</v>
      </c>
      <c r="I146" s="7">
        <v>452.6959091347349</v>
      </c>
      <c r="J146" s="7">
        <v>8601.222273559963</v>
      </c>
      <c r="K146" s="7">
        <v>2266.641270771386</v>
      </c>
      <c r="L146" s="7">
        <v>4000</v>
      </c>
      <c r="M146" s="7">
        <v>2334.581002788576</v>
      </c>
      <c r="N146" s="7">
        <v>8601.222273559963</v>
      </c>
      <c r="O146" s="7">
        <v>9156.868398881548</v>
      </c>
    </row>
    <row r="147" spans="1:15">
      <c r="A147" s="2" t="s">
        <v>216</v>
      </c>
      <c r="B147" s="7">
        <v>35</v>
      </c>
      <c r="C147" s="2" t="s">
        <v>217</v>
      </c>
      <c r="D147" s="7">
        <v>1000</v>
      </c>
      <c r="E147" s="7">
        <v>4526.959091347349</v>
      </c>
      <c r="F147" s="7">
        <v>0</v>
      </c>
      <c r="G147" s="7">
        <v>20819.30987774874</v>
      </c>
      <c r="H147" s="7">
        <v>3526.959091347349</v>
      </c>
      <c r="I147" s="7">
        <v>452.6959091347349</v>
      </c>
      <c r="J147" s="7">
        <v>8601.222273559963</v>
      </c>
      <c r="K147" s="7">
        <v>2271.672644451162</v>
      </c>
      <c r="L147" s="7">
        <v>4000</v>
      </c>
      <c r="M147" s="7">
        <v>2329.5496291088</v>
      </c>
      <c r="N147" s="7">
        <v>8601.222273559963</v>
      </c>
      <c r="O147" s="7">
        <v>9653.731030903915</v>
      </c>
    </row>
    <row r="148" spans="1:15">
      <c r="A148" s="2" t="s">
        <v>216</v>
      </c>
      <c r="B148" s="7">
        <v>36</v>
      </c>
      <c r="C148" s="2" t="s">
        <v>217</v>
      </c>
      <c r="D148" s="7">
        <v>1000</v>
      </c>
      <c r="E148" s="7">
        <v>4526.959091347349</v>
      </c>
      <c r="F148" s="7">
        <v>0</v>
      </c>
      <c r="G148" s="7">
        <v>21312.38449836682</v>
      </c>
      <c r="H148" s="7">
        <v>3526.959091347349</v>
      </c>
      <c r="I148" s="7">
        <v>452.6959091347349</v>
      </c>
      <c r="J148" s="7">
        <v>8601.222273559963</v>
      </c>
      <c r="K148" s="7">
        <v>2276.603390657343</v>
      </c>
      <c r="L148" s="7">
        <v>4000</v>
      </c>
      <c r="M148" s="7">
        <v>2324.61888290262</v>
      </c>
      <c r="N148" s="7">
        <v>8601.222273559963</v>
      </c>
      <c r="O148" s="7">
        <v>10160.65641028584</v>
      </c>
    </row>
    <row r="149" spans="1:15">
      <c r="A149" s="2" t="s">
        <v>218</v>
      </c>
      <c r="B149" s="7">
        <v>1</v>
      </c>
      <c r="C149" s="2" t="s">
        <v>219</v>
      </c>
      <c r="D149" s="7">
        <v>1000</v>
      </c>
      <c r="E149" s="7">
        <v>1000</v>
      </c>
      <c r="F149" s="7">
        <v>0</v>
      </c>
      <c r="G149" s="7">
        <v>0</v>
      </c>
      <c r="H149" s="7">
        <v>0</v>
      </c>
      <c r="I149" s="7">
        <v>100</v>
      </c>
      <c r="J149" s="7">
        <v>1900</v>
      </c>
      <c r="K149" s="7">
        <v>300</v>
      </c>
      <c r="L149" s="7">
        <v>4000</v>
      </c>
      <c r="M149" s="7">
        <v>-2400</v>
      </c>
      <c r="N149" s="7">
        <v>1900</v>
      </c>
      <c r="O149" s="7">
        <v>1000</v>
      </c>
    </row>
    <row r="150" spans="1:15">
      <c r="A150" s="2" t="s">
        <v>218</v>
      </c>
      <c r="B150" s="7">
        <v>2</v>
      </c>
      <c r="C150" s="2" t="s">
        <v>219</v>
      </c>
      <c r="D150" s="7">
        <v>1000</v>
      </c>
      <c r="E150" s="7">
        <v>1000</v>
      </c>
      <c r="F150" s="7">
        <v>0</v>
      </c>
      <c r="G150" s="7">
        <v>0</v>
      </c>
      <c r="H150" s="7">
        <v>0</v>
      </c>
      <c r="I150" s="7">
        <v>100</v>
      </c>
      <c r="J150" s="7">
        <v>1900</v>
      </c>
      <c r="K150" s="7">
        <v>300</v>
      </c>
      <c r="L150" s="7">
        <v>4000</v>
      </c>
      <c r="M150" s="7">
        <v>-2400</v>
      </c>
      <c r="N150" s="7">
        <v>1900</v>
      </c>
      <c r="O150" s="7">
        <v>2000</v>
      </c>
    </row>
    <row r="151" spans="1:15">
      <c r="A151" s="2" t="s">
        <v>218</v>
      </c>
      <c r="B151" s="7">
        <v>3</v>
      </c>
      <c r="C151" s="2" t="s">
        <v>219</v>
      </c>
      <c r="D151" s="7">
        <v>1000</v>
      </c>
      <c r="E151" s="7">
        <v>1000</v>
      </c>
      <c r="F151" s="7">
        <v>0</v>
      </c>
      <c r="G151" s="7">
        <v>0</v>
      </c>
      <c r="H151" s="7">
        <v>0</v>
      </c>
      <c r="I151" s="7">
        <v>100</v>
      </c>
      <c r="J151" s="7">
        <v>1900</v>
      </c>
      <c r="K151" s="7">
        <v>300</v>
      </c>
      <c r="L151" s="7">
        <v>4000</v>
      </c>
      <c r="M151" s="7">
        <v>-2400</v>
      </c>
      <c r="N151" s="7">
        <v>1900</v>
      </c>
      <c r="O151" s="7">
        <v>3000</v>
      </c>
    </row>
    <row r="152" spans="1:15">
      <c r="A152" s="2" t="s">
        <v>218</v>
      </c>
      <c r="B152" s="7">
        <v>4</v>
      </c>
      <c r="C152" s="2" t="s">
        <v>219</v>
      </c>
      <c r="D152" s="7">
        <v>1000</v>
      </c>
      <c r="E152" s="7">
        <v>1000</v>
      </c>
      <c r="F152" s="7">
        <v>0</v>
      </c>
      <c r="G152" s="7">
        <v>0</v>
      </c>
      <c r="H152" s="7">
        <v>0</v>
      </c>
      <c r="I152" s="7">
        <v>100</v>
      </c>
      <c r="J152" s="7">
        <v>1900</v>
      </c>
      <c r="K152" s="7">
        <v>300</v>
      </c>
      <c r="L152" s="7">
        <v>4000</v>
      </c>
      <c r="M152" s="7">
        <v>-2400</v>
      </c>
      <c r="N152" s="7">
        <v>1900</v>
      </c>
      <c r="O152" s="7">
        <v>4000</v>
      </c>
    </row>
    <row r="153" spans="1:15">
      <c r="A153" s="2" t="s">
        <v>218</v>
      </c>
      <c r="B153" s="7">
        <v>5</v>
      </c>
      <c r="C153" s="2" t="s">
        <v>219</v>
      </c>
      <c r="D153" s="7">
        <v>1000</v>
      </c>
      <c r="E153" s="7">
        <v>1000</v>
      </c>
      <c r="F153" s="7">
        <v>0</v>
      </c>
      <c r="G153" s="7">
        <v>0</v>
      </c>
      <c r="H153" s="7">
        <v>0</v>
      </c>
      <c r="I153" s="7">
        <v>100</v>
      </c>
      <c r="J153" s="7">
        <v>1900</v>
      </c>
      <c r="K153" s="7">
        <v>300</v>
      </c>
      <c r="L153" s="7">
        <v>4000</v>
      </c>
      <c r="M153" s="7">
        <v>-2400</v>
      </c>
      <c r="N153" s="7">
        <v>1900</v>
      </c>
      <c r="O153" s="7">
        <v>5000</v>
      </c>
    </row>
    <row r="154" spans="1:15">
      <c r="A154" s="2" t="s">
        <v>218</v>
      </c>
      <c r="B154" s="7">
        <v>6</v>
      </c>
      <c r="C154" s="2" t="s">
        <v>219</v>
      </c>
      <c r="D154" s="7">
        <v>1000</v>
      </c>
      <c r="E154" s="7">
        <v>1000</v>
      </c>
      <c r="F154" s="7">
        <v>0</v>
      </c>
      <c r="G154" s="7">
        <v>0</v>
      </c>
      <c r="H154" s="7">
        <v>0</v>
      </c>
      <c r="I154" s="7">
        <v>100</v>
      </c>
      <c r="J154" s="7">
        <v>1900</v>
      </c>
      <c r="K154" s="7">
        <v>300</v>
      </c>
      <c r="L154" s="7">
        <v>4000</v>
      </c>
      <c r="M154" s="7">
        <v>-2400</v>
      </c>
      <c r="N154" s="7">
        <v>1900</v>
      </c>
      <c r="O154" s="7">
        <v>6000</v>
      </c>
    </row>
    <row r="155" spans="1:15">
      <c r="A155" s="2" t="s">
        <v>218</v>
      </c>
      <c r="B155" s="7">
        <v>7</v>
      </c>
      <c r="C155" s="2" t="s">
        <v>219</v>
      </c>
      <c r="D155" s="7">
        <v>1000</v>
      </c>
      <c r="E155" s="7">
        <v>1000</v>
      </c>
      <c r="F155" s="7">
        <v>0</v>
      </c>
      <c r="G155" s="7">
        <v>0</v>
      </c>
      <c r="H155" s="7">
        <v>0</v>
      </c>
      <c r="I155" s="7">
        <v>100</v>
      </c>
      <c r="J155" s="7">
        <v>1900</v>
      </c>
      <c r="K155" s="7">
        <v>300</v>
      </c>
      <c r="L155" s="7">
        <v>4000</v>
      </c>
      <c r="M155" s="7">
        <v>-2400</v>
      </c>
      <c r="N155" s="7">
        <v>1900</v>
      </c>
      <c r="O155" s="7">
        <v>7000</v>
      </c>
    </row>
    <row r="156" spans="1:15">
      <c r="A156" s="2" t="s">
        <v>218</v>
      </c>
      <c r="B156" s="7">
        <v>8</v>
      </c>
      <c r="C156" s="2" t="s">
        <v>219</v>
      </c>
      <c r="D156" s="7">
        <v>1000</v>
      </c>
      <c r="E156" s="7">
        <v>1000</v>
      </c>
      <c r="F156" s="7">
        <v>0</v>
      </c>
      <c r="G156" s="7">
        <v>0</v>
      </c>
      <c r="H156" s="7">
        <v>0</v>
      </c>
      <c r="I156" s="7">
        <v>100</v>
      </c>
      <c r="J156" s="7">
        <v>1900</v>
      </c>
      <c r="K156" s="7">
        <v>300</v>
      </c>
      <c r="L156" s="7">
        <v>4000</v>
      </c>
      <c r="M156" s="7">
        <v>-2400</v>
      </c>
      <c r="N156" s="7">
        <v>1900</v>
      </c>
      <c r="O156" s="7">
        <v>8000</v>
      </c>
    </row>
    <row r="157" spans="1:15">
      <c r="A157" s="2" t="s">
        <v>218</v>
      </c>
      <c r="B157" s="7">
        <v>9</v>
      </c>
      <c r="C157" s="2" t="s">
        <v>219</v>
      </c>
      <c r="D157" s="7">
        <v>1000</v>
      </c>
      <c r="E157" s="7">
        <v>1000</v>
      </c>
      <c r="F157" s="7">
        <v>0</v>
      </c>
      <c r="G157" s="7">
        <v>0</v>
      </c>
      <c r="H157" s="7">
        <v>0</v>
      </c>
      <c r="I157" s="7">
        <v>100</v>
      </c>
      <c r="J157" s="7">
        <v>1900</v>
      </c>
      <c r="K157" s="7">
        <v>300</v>
      </c>
      <c r="L157" s="7">
        <v>4000</v>
      </c>
      <c r="M157" s="7">
        <v>-2400</v>
      </c>
      <c r="N157" s="7">
        <v>1900</v>
      </c>
      <c r="O157" s="7">
        <v>9000</v>
      </c>
    </row>
    <row r="158" spans="1:15">
      <c r="A158" s="2" t="s">
        <v>218</v>
      </c>
      <c r="B158" s="7">
        <v>10</v>
      </c>
      <c r="C158" s="2" t="s">
        <v>219</v>
      </c>
      <c r="D158" s="7">
        <v>1000</v>
      </c>
      <c r="E158" s="7">
        <v>1000</v>
      </c>
      <c r="F158" s="7">
        <v>0</v>
      </c>
      <c r="G158" s="7">
        <v>0</v>
      </c>
      <c r="H158" s="7">
        <v>0</v>
      </c>
      <c r="I158" s="7">
        <v>100</v>
      </c>
      <c r="J158" s="7">
        <v>1900</v>
      </c>
      <c r="K158" s="7">
        <v>300</v>
      </c>
      <c r="L158" s="7">
        <v>4000</v>
      </c>
      <c r="M158" s="7">
        <v>-2400</v>
      </c>
      <c r="N158" s="7">
        <v>1900</v>
      </c>
      <c r="O158" s="7">
        <v>10000</v>
      </c>
    </row>
    <row r="159" spans="1:15">
      <c r="A159" s="2" t="s">
        <v>218</v>
      </c>
      <c r="B159" s="7">
        <v>11</v>
      </c>
      <c r="C159" s="2" t="s">
        <v>219</v>
      </c>
      <c r="D159" s="7">
        <v>1000</v>
      </c>
      <c r="E159" s="7">
        <v>1000</v>
      </c>
      <c r="F159" s="7">
        <v>0</v>
      </c>
      <c r="G159" s="7">
        <v>0</v>
      </c>
      <c r="H159" s="7">
        <v>0</v>
      </c>
      <c r="I159" s="7">
        <v>100</v>
      </c>
      <c r="J159" s="7">
        <v>1900</v>
      </c>
      <c r="K159" s="7">
        <v>300</v>
      </c>
      <c r="L159" s="7">
        <v>4000</v>
      </c>
      <c r="M159" s="7">
        <v>-2400</v>
      </c>
      <c r="N159" s="7">
        <v>1900</v>
      </c>
      <c r="O159" s="7">
        <v>11000</v>
      </c>
    </row>
    <row r="160" spans="1:15">
      <c r="A160" s="2" t="s">
        <v>218</v>
      </c>
      <c r="B160" s="7">
        <v>12</v>
      </c>
      <c r="C160" s="2" t="s">
        <v>219</v>
      </c>
      <c r="D160" s="7">
        <v>1000</v>
      </c>
      <c r="E160" s="7">
        <v>1000</v>
      </c>
      <c r="F160" s="7">
        <v>0</v>
      </c>
      <c r="G160" s="7">
        <v>0</v>
      </c>
      <c r="H160" s="7">
        <v>0</v>
      </c>
      <c r="I160" s="7">
        <v>100</v>
      </c>
      <c r="J160" s="7">
        <v>1900</v>
      </c>
      <c r="K160" s="7">
        <v>300</v>
      </c>
      <c r="L160" s="7">
        <v>4000</v>
      </c>
      <c r="M160" s="7">
        <v>-2400</v>
      </c>
      <c r="N160" s="7">
        <v>1900</v>
      </c>
      <c r="O160" s="7">
        <v>12000</v>
      </c>
    </row>
    <row r="161" spans="1:15">
      <c r="A161" s="2" t="s">
        <v>218</v>
      </c>
      <c r="B161" s="7">
        <v>13</v>
      </c>
      <c r="C161" s="2" t="s">
        <v>219</v>
      </c>
      <c r="D161" s="7">
        <v>1000</v>
      </c>
      <c r="E161" s="7">
        <v>1000</v>
      </c>
      <c r="F161" s="7">
        <v>0</v>
      </c>
      <c r="G161" s="7">
        <v>0</v>
      </c>
      <c r="H161" s="7">
        <v>0</v>
      </c>
      <c r="I161" s="7">
        <v>100</v>
      </c>
      <c r="J161" s="7">
        <v>1900</v>
      </c>
      <c r="K161" s="7">
        <v>300</v>
      </c>
      <c r="L161" s="7">
        <v>4000</v>
      </c>
      <c r="M161" s="7">
        <v>-2400</v>
      </c>
      <c r="N161" s="7">
        <v>1900</v>
      </c>
      <c r="O161" s="7">
        <v>13000</v>
      </c>
    </row>
    <row r="162" spans="1:15">
      <c r="A162" s="2" t="s">
        <v>218</v>
      </c>
      <c r="B162" s="7">
        <v>14</v>
      </c>
      <c r="C162" s="2" t="s">
        <v>219</v>
      </c>
      <c r="D162" s="7">
        <v>1000</v>
      </c>
      <c r="E162" s="7">
        <v>1000</v>
      </c>
      <c r="F162" s="7">
        <v>0</v>
      </c>
      <c r="G162" s="7">
        <v>0</v>
      </c>
      <c r="H162" s="7">
        <v>0</v>
      </c>
      <c r="I162" s="7">
        <v>100</v>
      </c>
      <c r="J162" s="7">
        <v>1900</v>
      </c>
      <c r="K162" s="7">
        <v>300</v>
      </c>
      <c r="L162" s="7">
        <v>4000</v>
      </c>
      <c r="M162" s="7">
        <v>-2400</v>
      </c>
      <c r="N162" s="7">
        <v>1900</v>
      </c>
      <c r="O162" s="7">
        <v>14000</v>
      </c>
    </row>
    <row r="163" spans="1:15">
      <c r="A163" s="2" t="s">
        <v>218</v>
      </c>
      <c r="B163" s="7">
        <v>15</v>
      </c>
      <c r="C163" s="2" t="s">
        <v>219</v>
      </c>
      <c r="D163" s="7">
        <v>1000</v>
      </c>
      <c r="E163" s="7">
        <v>1000</v>
      </c>
      <c r="F163" s="7">
        <v>0</v>
      </c>
      <c r="G163" s="7">
        <v>0</v>
      </c>
      <c r="H163" s="7">
        <v>0</v>
      </c>
      <c r="I163" s="7">
        <v>100</v>
      </c>
      <c r="J163" s="7">
        <v>1900</v>
      </c>
      <c r="K163" s="7">
        <v>300</v>
      </c>
      <c r="L163" s="7">
        <v>4000</v>
      </c>
      <c r="M163" s="7">
        <v>-2400</v>
      </c>
      <c r="N163" s="7">
        <v>1900</v>
      </c>
      <c r="O163" s="7">
        <v>15000</v>
      </c>
    </row>
    <row r="164" spans="1:15">
      <c r="A164" s="2" t="s">
        <v>218</v>
      </c>
      <c r="B164" s="7">
        <v>16</v>
      </c>
      <c r="C164" s="2" t="s">
        <v>219</v>
      </c>
      <c r="D164" s="7">
        <v>1000</v>
      </c>
      <c r="E164" s="7">
        <v>1000</v>
      </c>
      <c r="F164" s="7">
        <v>0</v>
      </c>
      <c r="G164" s="7">
        <v>0</v>
      </c>
      <c r="H164" s="7">
        <v>0</v>
      </c>
      <c r="I164" s="7">
        <v>100</v>
      </c>
      <c r="J164" s="7">
        <v>1900</v>
      </c>
      <c r="K164" s="7">
        <v>300</v>
      </c>
      <c r="L164" s="7">
        <v>4000</v>
      </c>
      <c r="M164" s="7">
        <v>-2400</v>
      </c>
      <c r="N164" s="7">
        <v>1900</v>
      </c>
      <c r="O164" s="7">
        <v>16000</v>
      </c>
    </row>
    <row r="165" spans="1:15">
      <c r="A165" s="2" t="s">
        <v>218</v>
      </c>
      <c r="B165" s="7">
        <v>17</v>
      </c>
      <c r="C165" s="2" t="s">
        <v>219</v>
      </c>
      <c r="D165" s="7">
        <v>1000</v>
      </c>
      <c r="E165" s="7">
        <v>1000</v>
      </c>
      <c r="F165" s="7">
        <v>0</v>
      </c>
      <c r="G165" s="7">
        <v>0</v>
      </c>
      <c r="H165" s="7">
        <v>0</v>
      </c>
      <c r="I165" s="7">
        <v>100</v>
      </c>
      <c r="J165" s="7">
        <v>1900</v>
      </c>
      <c r="K165" s="7">
        <v>300</v>
      </c>
      <c r="L165" s="7">
        <v>4000</v>
      </c>
      <c r="M165" s="7">
        <v>-2400</v>
      </c>
      <c r="N165" s="7">
        <v>1900</v>
      </c>
      <c r="O165" s="7">
        <v>17000</v>
      </c>
    </row>
    <row r="166" spans="1:15">
      <c r="A166" s="2" t="s">
        <v>218</v>
      </c>
      <c r="B166" s="7">
        <v>18</v>
      </c>
      <c r="C166" s="2" t="s">
        <v>219</v>
      </c>
      <c r="D166" s="7">
        <v>1000</v>
      </c>
      <c r="E166" s="7">
        <v>1000</v>
      </c>
      <c r="F166" s="7">
        <v>0</v>
      </c>
      <c r="G166" s="7">
        <v>0</v>
      </c>
      <c r="H166" s="7">
        <v>0</v>
      </c>
      <c r="I166" s="7">
        <v>100</v>
      </c>
      <c r="J166" s="7">
        <v>1900</v>
      </c>
      <c r="K166" s="7">
        <v>300</v>
      </c>
      <c r="L166" s="7">
        <v>4000</v>
      </c>
      <c r="M166" s="7">
        <v>-2400</v>
      </c>
      <c r="N166" s="7">
        <v>1900</v>
      </c>
      <c r="O166" s="7">
        <v>18000</v>
      </c>
    </row>
    <row r="167" spans="1:15">
      <c r="A167" s="2" t="s">
        <v>218</v>
      </c>
      <c r="B167" s="7">
        <v>19</v>
      </c>
      <c r="C167" s="2" t="s">
        <v>219</v>
      </c>
      <c r="D167" s="7">
        <v>1000</v>
      </c>
      <c r="E167" s="7">
        <v>1000</v>
      </c>
      <c r="F167" s="7">
        <v>0</v>
      </c>
      <c r="G167" s="7">
        <v>0</v>
      </c>
      <c r="H167" s="7">
        <v>0</v>
      </c>
      <c r="I167" s="7">
        <v>100</v>
      </c>
      <c r="J167" s="7">
        <v>1900</v>
      </c>
      <c r="K167" s="7">
        <v>300</v>
      </c>
      <c r="L167" s="7">
        <v>4000</v>
      </c>
      <c r="M167" s="7">
        <v>-2400</v>
      </c>
      <c r="N167" s="7">
        <v>1900</v>
      </c>
      <c r="O167" s="7">
        <v>19000</v>
      </c>
    </row>
    <row r="168" spans="1:15">
      <c r="A168" s="2" t="s">
        <v>218</v>
      </c>
      <c r="B168" s="7">
        <v>20</v>
      </c>
      <c r="C168" s="2" t="s">
        <v>219</v>
      </c>
      <c r="D168" s="7">
        <v>1000</v>
      </c>
      <c r="E168" s="7">
        <v>1000</v>
      </c>
      <c r="F168" s="7">
        <v>0</v>
      </c>
      <c r="G168" s="7">
        <v>0</v>
      </c>
      <c r="H168" s="7">
        <v>0</v>
      </c>
      <c r="I168" s="7">
        <v>100</v>
      </c>
      <c r="J168" s="7">
        <v>1900</v>
      </c>
      <c r="K168" s="7">
        <v>300</v>
      </c>
      <c r="L168" s="7">
        <v>4000</v>
      </c>
      <c r="M168" s="7">
        <v>-2400</v>
      </c>
      <c r="N168" s="7">
        <v>1900</v>
      </c>
      <c r="O168" s="7">
        <v>20000</v>
      </c>
    </row>
    <row r="169" spans="1:15">
      <c r="A169" s="2" t="s">
        <v>218</v>
      </c>
      <c r="B169" s="7">
        <v>21</v>
      </c>
      <c r="C169" s="2" t="s">
        <v>219</v>
      </c>
      <c r="D169" s="7">
        <v>1000</v>
      </c>
      <c r="E169" s="7">
        <v>1000</v>
      </c>
      <c r="F169" s="7">
        <v>0</v>
      </c>
      <c r="G169" s="7">
        <v>0</v>
      </c>
      <c r="H169" s="7">
        <v>0</v>
      </c>
      <c r="I169" s="7">
        <v>100</v>
      </c>
      <c r="J169" s="7">
        <v>1900</v>
      </c>
      <c r="K169" s="7">
        <v>300</v>
      </c>
      <c r="L169" s="7">
        <v>4000</v>
      </c>
      <c r="M169" s="7">
        <v>-2400</v>
      </c>
      <c r="N169" s="7">
        <v>1900</v>
      </c>
      <c r="O169" s="7">
        <v>21000</v>
      </c>
    </row>
    <row r="170" spans="1:15">
      <c r="A170" s="2" t="s">
        <v>218</v>
      </c>
      <c r="B170" s="7">
        <v>22</v>
      </c>
      <c r="C170" s="2" t="s">
        <v>219</v>
      </c>
      <c r="D170" s="7">
        <v>1000</v>
      </c>
      <c r="E170" s="7">
        <v>1000</v>
      </c>
      <c r="F170" s="7">
        <v>0</v>
      </c>
      <c r="G170" s="7">
        <v>0</v>
      </c>
      <c r="H170" s="7">
        <v>0</v>
      </c>
      <c r="I170" s="7">
        <v>100</v>
      </c>
      <c r="J170" s="7">
        <v>1900</v>
      </c>
      <c r="K170" s="7">
        <v>300</v>
      </c>
      <c r="L170" s="7">
        <v>4000</v>
      </c>
      <c r="M170" s="7">
        <v>-2400</v>
      </c>
      <c r="N170" s="7">
        <v>1900</v>
      </c>
      <c r="O170" s="7">
        <v>22000</v>
      </c>
    </row>
    <row r="171" spans="1:15">
      <c r="A171" s="2" t="s">
        <v>218</v>
      </c>
      <c r="B171" s="7">
        <v>23</v>
      </c>
      <c r="C171" s="2" t="s">
        <v>219</v>
      </c>
      <c r="D171" s="7">
        <v>1000</v>
      </c>
      <c r="E171" s="7">
        <v>1000</v>
      </c>
      <c r="F171" s="7">
        <v>0</v>
      </c>
      <c r="G171" s="7">
        <v>0</v>
      </c>
      <c r="H171" s="7">
        <v>0</v>
      </c>
      <c r="I171" s="7">
        <v>100</v>
      </c>
      <c r="J171" s="7">
        <v>1900</v>
      </c>
      <c r="K171" s="7">
        <v>300</v>
      </c>
      <c r="L171" s="7">
        <v>4000</v>
      </c>
      <c r="M171" s="7">
        <v>-2400</v>
      </c>
      <c r="N171" s="7">
        <v>1900</v>
      </c>
      <c r="O171" s="7">
        <v>23000</v>
      </c>
    </row>
    <row r="172" spans="1:15">
      <c r="A172" s="2" t="s">
        <v>218</v>
      </c>
      <c r="B172" s="7">
        <v>24</v>
      </c>
      <c r="C172" s="2" t="s">
        <v>219</v>
      </c>
      <c r="D172" s="7">
        <v>1000</v>
      </c>
      <c r="E172" s="7">
        <v>1000</v>
      </c>
      <c r="F172" s="7">
        <v>0</v>
      </c>
      <c r="G172" s="7">
        <v>0</v>
      </c>
      <c r="H172" s="7">
        <v>0</v>
      </c>
      <c r="I172" s="7">
        <v>100</v>
      </c>
      <c r="J172" s="7">
        <v>1900</v>
      </c>
      <c r="K172" s="7">
        <v>300</v>
      </c>
      <c r="L172" s="7">
        <v>4000</v>
      </c>
      <c r="M172" s="7">
        <v>-2400</v>
      </c>
      <c r="N172" s="7">
        <v>1900</v>
      </c>
      <c r="O172" s="7">
        <v>24000</v>
      </c>
    </row>
    <row r="173" spans="1:15">
      <c r="A173" s="2" t="s">
        <v>218</v>
      </c>
      <c r="B173" s="7">
        <v>25</v>
      </c>
      <c r="C173" s="2" t="s">
        <v>219</v>
      </c>
      <c r="D173" s="7">
        <v>1000</v>
      </c>
      <c r="E173" s="7">
        <v>1000</v>
      </c>
      <c r="F173" s="7">
        <v>0</v>
      </c>
      <c r="G173" s="7">
        <v>0</v>
      </c>
      <c r="H173" s="7">
        <v>0</v>
      </c>
      <c r="I173" s="7">
        <v>100</v>
      </c>
      <c r="J173" s="7">
        <v>1900</v>
      </c>
      <c r="K173" s="7">
        <v>300</v>
      </c>
      <c r="L173" s="7">
        <v>4000</v>
      </c>
      <c r="M173" s="7">
        <v>-2400</v>
      </c>
      <c r="N173" s="7">
        <v>1900</v>
      </c>
      <c r="O173" s="7">
        <v>25000</v>
      </c>
    </row>
    <row r="174" spans="1:15">
      <c r="A174" s="2" t="s">
        <v>218</v>
      </c>
      <c r="B174" s="7">
        <v>26</v>
      </c>
      <c r="C174" s="2" t="s">
        <v>219</v>
      </c>
      <c r="D174" s="7">
        <v>1000</v>
      </c>
      <c r="E174" s="7">
        <v>1000</v>
      </c>
      <c r="F174" s="7">
        <v>0</v>
      </c>
      <c r="G174" s="7">
        <v>0</v>
      </c>
      <c r="H174" s="7">
        <v>0</v>
      </c>
      <c r="I174" s="7">
        <v>100</v>
      </c>
      <c r="J174" s="7">
        <v>1900</v>
      </c>
      <c r="K174" s="7">
        <v>300</v>
      </c>
      <c r="L174" s="7">
        <v>4000</v>
      </c>
      <c r="M174" s="7">
        <v>-2400</v>
      </c>
      <c r="N174" s="7">
        <v>1900</v>
      </c>
      <c r="O174" s="7">
        <v>26000</v>
      </c>
    </row>
    <row r="175" spans="1:15">
      <c r="A175" s="2" t="s">
        <v>218</v>
      </c>
      <c r="B175" s="7">
        <v>27</v>
      </c>
      <c r="C175" s="2" t="s">
        <v>219</v>
      </c>
      <c r="D175" s="7">
        <v>1000</v>
      </c>
      <c r="E175" s="7">
        <v>1000</v>
      </c>
      <c r="F175" s="7">
        <v>0</v>
      </c>
      <c r="G175" s="7">
        <v>0</v>
      </c>
      <c r="H175" s="7">
        <v>0</v>
      </c>
      <c r="I175" s="7">
        <v>100</v>
      </c>
      <c r="J175" s="7">
        <v>1900</v>
      </c>
      <c r="K175" s="7">
        <v>300</v>
      </c>
      <c r="L175" s="7">
        <v>4000</v>
      </c>
      <c r="M175" s="7">
        <v>-2400</v>
      </c>
      <c r="N175" s="7">
        <v>1900</v>
      </c>
      <c r="O175" s="7">
        <v>27000</v>
      </c>
    </row>
    <row r="176" spans="1:15">
      <c r="A176" s="2" t="s">
        <v>218</v>
      </c>
      <c r="B176" s="7">
        <v>28</v>
      </c>
      <c r="C176" s="2" t="s">
        <v>219</v>
      </c>
      <c r="D176" s="7">
        <v>1000</v>
      </c>
      <c r="E176" s="7">
        <v>1000</v>
      </c>
      <c r="F176" s="7">
        <v>0</v>
      </c>
      <c r="G176" s="7">
        <v>0</v>
      </c>
      <c r="H176" s="7">
        <v>0</v>
      </c>
      <c r="I176" s="7">
        <v>100</v>
      </c>
      <c r="J176" s="7">
        <v>1900</v>
      </c>
      <c r="K176" s="7">
        <v>300</v>
      </c>
      <c r="L176" s="7">
        <v>4000</v>
      </c>
      <c r="M176" s="7">
        <v>-2400</v>
      </c>
      <c r="N176" s="7">
        <v>1900</v>
      </c>
      <c r="O176" s="7">
        <v>28000</v>
      </c>
    </row>
    <row r="177" spans="1:15">
      <c r="A177" s="2" t="s">
        <v>218</v>
      </c>
      <c r="B177" s="7">
        <v>29</v>
      </c>
      <c r="C177" s="2" t="s">
        <v>219</v>
      </c>
      <c r="D177" s="7">
        <v>1000</v>
      </c>
      <c r="E177" s="7">
        <v>1000</v>
      </c>
      <c r="F177" s="7">
        <v>0</v>
      </c>
      <c r="G177" s="7">
        <v>0</v>
      </c>
      <c r="H177" s="7">
        <v>0</v>
      </c>
      <c r="I177" s="7">
        <v>100</v>
      </c>
      <c r="J177" s="7">
        <v>1900</v>
      </c>
      <c r="K177" s="7">
        <v>300</v>
      </c>
      <c r="L177" s="7">
        <v>4000</v>
      </c>
      <c r="M177" s="7">
        <v>-2400</v>
      </c>
      <c r="N177" s="7">
        <v>1900</v>
      </c>
      <c r="O177" s="7">
        <v>29000</v>
      </c>
    </row>
    <row r="178" spans="1:15">
      <c r="A178" s="2" t="s">
        <v>218</v>
      </c>
      <c r="B178" s="7">
        <v>30</v>
      </c>
      <c r="C178" s="2" t="s">
        <v>219</v>
      </c>
      <c r="D178" s="7">
        <v>1000</v>
      </c>
      <c r="E178" s="7">
        <v>1000</v>
      </c>
      <c r="F178" s="7">
        <v>0</v>
      </c>
      <c r="G178" s="7">
        <v>0</v>
      </c>
      <c r="H178" s="7">
        <v>0</v>
      </c>
      <c r="I178" s="7">
        <v>100</v>
      </c>
      <c r="J178" s="7">
        <v>1900</v>
      </c>
      <c r="K178" s="7">
        <v>300</v>
      </c>
      <c r="L178" s="7">
        <v>4000</v>
      </c>
      <c r="M178" s="7">
        <v>-2400</v>
      </c>
      <c r="N178" s="7">
        <v>1900</v>
      </c>
      <c r="O178" s="7">
        <v>30000</v>
      </c>
    </row>
    <row r="179" spans="1:15">
      <c r="A179" s="2" t="s">
        <v>218</v>
      </c>
      <c r="B179" s="7">
        <v>31</v>
      </c>
      <c r="C179" s="2" t="s">
        <v>219</v>
      </c>
      <c r="D179" s="7">
        <v>1000</v>
      </c>
      <c r="E179" s="7">
        <v>1000</v>
      </c>
      <c r="F179" s="7">
        <v>0</v>
      </c>
      <c r="G179" s="7">
        <v>0</v>
      </c>
      <c r="H179" s="7">
        <v>0</v>
      </c>
      <c r="I179" s="7">
        <v>100</v>
      </c>
      <c r="J179" s="7">
        <v>1900</v>
      </c>
      <c r="K179" s="7">
        <v>300</v>
      </c>
      <c r="L179" s="7">
        <v>4000</v>
      </c>
      <c r="M179" s="7">
        <v>-2400</v>
      </c>
      <c r="N179" s="7">
        <v>1900</v>
      </c>
      <c r="O179" s="7">
        <v>31000</v>
      </c>
    </row>
    <row r="180" spans="1:15">
      <c r="A180" s="2" t="s">
        <v>218</v>
      </c>
      <c r="B180" s="7">
        <v>32</v>
      </c>
      <c r="C180" s="2" t="s">
        <v>219</v>
      </c>
      <c r="D180" s="7">
        <v>1000</v>
      </c>
      <c r="E180" s="7">
        <v>1000</v>
      </c>
      <c r="F180" s="7">
        <v>0</v>
      </c>
      <c r="G180" s="7">
        <v>0</v>
      </c>
      <c r="H180" s="7">
        <v>0</v>
      </c>
      <c r="I180" s="7">
        <v>100</v>
      </c>
      <c r="J180" s="7">
        <v>1900</v>
      </c>
      <c r="K180" s="7">
        <v>300</v>
      </c>
      <c r="L180" s="7">
        <v>4000</v>
      </c>
      <c r="M180" s="7">
        <v>-2400</v>
      </c>
      <c r="N180" s="7">
        <v>1900</v>
      </c>
      <c r="O180" s="7">
        <v>32000</v>
      </c>
    </row>
    <row r="181" spans="1:15">
      <c r="A181" s="2" t="s">
        <v>218</v>
      </c>
      <c r="B181" s="7">
        <v>33</v>
      </c>
      <c r="C181" s="2" t="s">
        <v>219</v>
      </c>
      <c r="D181" s="7">
        <v>1000</v>
      </c>
      <c r="E181" s="7">
        <v>1000</v>
      </c>
      <c r="F181" s="7">
        <v>0</v>
      </c>
      <c r="G181" s="7">
        <v>0</v>
      </c>
      <c r="H181" s="7">
        <v>0</v>
      </c>
      <c r="I181" s="7">
        <v>100</v>
      </c>
      <c r="J181" s="7">
        <v>1900</v>
      </c>
      <c r="K181" s="7">
        <v>300</v>
      </c>
      <c r="L181" s="7">
        <v>4000</v>
      </c>
      <c r="M181" s="7">
        <v>-2400</v>
      </c>
      <c r="N181" s="7">
        <v>1900</v>
      </c>
      <c r="O181" s="7">
        <v>33000</v>
      </c>
    </row>
    <row r="182" spans="1:15">
      <c r="A182" s="2" t="s">
        <v>218</v>
      </c>
      <c r="B182" s="7">
        <v>34</v>
      </c>
      <c r="C182" s="2" t="s">
        <v>219</v>
      </c>
      <c r="D182" s="7">
        <v>1000</v>
      </c>
      <c r="E182" s="7">
        <v>1000</v>
      </c>
      <c r="F182" s="7">
        <v>0</v>
      </c>
      <c r="G182" s="7">
        <v>0</v>
      </c>
      <c r="H182" s="7">
        <v>0</v>
      </c>
      <c r="I182" s="7">
        <v>100</v>
      </c>
      <c r="J182" s="7">
        <v>1900</v>
      </c>
      <c r="K182" s="7">
        <v>300</v>
      </c>
      <c r="L182" s="7">
        <v>4000</v>
      </c>
      <c r="M182" s="7">
        <v>-2400</v>
      </c>
      <c r="N182" s="7">
        <v>1900</v>
      </c>
      <c r="O182" s="7">
        <v>34000</v>
      </c>
    </row>
    <row r="183" spans="1:15">
      <c r="A183" s="2" t="s">
        <v>218</v>
      </c>
      <c r="B183" s="7">
        <v>35</v>
      </c>
      <c r="C183" s="2" t="s">
        <v>219</v>
      </c>
      <c r="D183" s="7">
        <v>1000</v>
      </c>
      <c r="E183" s="7">
        <v>1000</v>
      </c>
      <c r="F183" s="7">
        <v>0</v>
      </c>
      <c r="G183" s="7">
        <v>0</v>
      </c>
      <c r="H183" s="7">
        <v>0</v>
      </c>
      <c r="I183" s="7">
        <v>100</v>
      </c>
      <c r="J183" s="7">
        <v>1900</v>
      </c>
      <c r="K183" s="7">
        <v>300</v>
      </c>
      <c r="L183" s="7">
        <v>4000</v>
      </c>
      <c r="M183" s="7">
        <v>-2400</v>
      </c>
      <c r="N183" s="7">
        <v>1900</v>
      </c>
      <c r="O183" s="7">
        <v>35000</v>
      </c>
    </row>
    <row r="184" spans="1:15">
      <c r="A184" s="2" t="s">
        <v>218</v>
      </c>
      <c r="B184" s="7">
        <v>36</v>
      </c>
      <c r="C184" s="2" t="s">
        <v>219</v>
      </c>
      <c r="D184" s="7">
        <v>1000</v>
      </c>
      <c r="E184" s="7">
        <v>1000</v>
      </c>
      <c r="F184" s="7">
        <v>0</v>
      </c>
      <c r="G184" s="7">
        <v>0</v>
      </c>
      <c r="H184" s="7">
        <v>0</v>
      </c>
      <c r="I184" s="7">
        <v>100</v>
      </c>
      <c r="J184" s="7">
        <v>1900</v>
      </c>
      <c r="K184" s="7">
        <v>300</v>
      </c>
      <c r="L184" s="7">
        <v>4000</v>
      </c>
      <c r="M184" s="7">
        <v>-2400</v>
      </c>
      <c r="N184" s="7">
        <v>1900</v>
      </c>
      <c r="O184" s="7">
        <v>36000</v>
      </c>
    </row>
    <row r="185" spans="1:15">
      <c r="A185" s="2" t="s">
        <v>220</v>
      </c>
      <c r="B185" s="7">
        <v>1</v>
      </c>
      <c r="C185" s="2" t="s">
        <v>221</v>
      </c>
      <c r="D185" s="7">
        <v>200</v>
      </c>
      <c r="E185" s="7">
        <v>200</v>
      </c>
      <c r="F185" s="7">
        <v>0</v>
      </c>
      <c r="G185" s="7">
        <v>0</v>
      </c>
      <c r="H185" s="7">
        <v>0</v>
      </c>
      <c r="I185" s="7">
        <v>20</v>
      </c>
      <c r="J185" s="7">
        <v>380</v>
      </c>
      <c r="K185" s="7">
        <v>60</v>
      </c>
      <c r="L185" s="7">
        <v>4000</v>
      </c>
      <c r="M185" s="7">
        <v>-3680</v>
      </c>
      <c r="N185" s="7">
        <v>380</v>
      </c>
      <c r="O185" s="7">
        <v>200</v>
      </c>
    </row>
    <row r="186" spans="1:15">
      <c r="A186" s="2" t="s">
        <v>220</v>
      </c>
      <c r="B186" s="7">
        <v>2</v>
      </c>
      <c r="C186" s="2" t="s">
        <v>221</v>
      </c>
      <c r="D186" s="7">
        <v>200</v>
      </c>
      <c r="E186" s="7">
        <v>200</v>
      </c>
      <c r="F186" s="7">
        <v>0</v>
      </c>
      <c r="G186" s="7">
        <v>0</v>
      </c>
      <c r="H186" s="7">
        <v>0</v>
      </c>
      <c r="I186" s="7">
        <v>20</v>
      </c>
      <c r="J186" s="7">
        <v>380</v>
      </c>
      <c r="K186" s="7">
        <v>60</v>
      </c>
      <c r="L186" s="7">
        <v>4000</v>
      </c>
      <c r="M186" s="7">
        <v>-3680</v>
      </c>
      <c r="N186" s="7">
        <v>380</v>
      </c>
      <c r="O186" s="7">
        <v>400</v>
      </c>
    </row>
    <row r="187" spans="1:15">
      <c r="A187" s="2" t="s">
        <v>220</v>
      </c>
      <c r="B187" s="7">
        <v>3</v>
      </c>
      <c r="C187" s="2" t="s">
        <v>221</v>
      </c>
      <c r="D187" s="7">
        <v>200</v>
      </c>
      <c r="E187" s="7">
        <v>200</v>
      </c>
      <c r="F187" s="7">
        <v>0</v>
      </c>
      <c r="G187" s="7">
        <v>0</v>
      </c>
      <c r="H187" s="7">
        <v>0</v>
      </c>
      <c r="I187" s="7">
        <v>20</v>
      </c>
      <c r="J187" s="7">
        <v>380</v>
      </c>
      <c r="K187" s="7">
        <v>60</v>
      </c>
      <c r="L187" s="7">
        <v>4000</v>
      </c>
      <c r="M187" s="7">
        <v>-3680</v>
      </c>
      <c r="N187" s="7">
        <v>380</v>
      </c>
      <c r="O187" s="7">
        <v>600</v>
      </c>
    </row>
    <row r="188" spans="1:15">
      <c r="A188" s="2" t="s">
        <v>220</v>
      </c>
      <c r="B188" s="7">
        <v>4</v>
      </c>
      <c r="C188" s="2" t="s">
        <v>221</v>
      </c>
      <c r="D188" s="7">
        <v>200</v>
      </c>
      <c r="E188" s="7">
        <v>200</v>
      </c>
      <c r="F188" s="7">
        <v>0</v>
      </c>
      <c r="G188" s="7">
        <v>0</v>
      </c>
      <c r="H188" s="7">
        <v>0</v>
      </c>
      <c r="I188" s="7">
        <v>20</v>
      </c>
      <c r="J188" s="7">
        <v>380</v>
      </c>
      <c r="K188" s="7">
        <v>60</v>
      </c>
      <c r="L188" s="7">
        <v>4000</v>
      </c>
      <c r="M188" s="7">
        <v>-3680</v>
      </c>
      <c r="N188" s="7">
        <v>380</v>
      </c>
      <c r="O188" s="7">
        <v>800</v>
      </c>
    </row>
    <row r="189" spans="1:15">
      <c r="A189" s="2" t="s">
        <v>220</v>
      </c>
      <c r="B189" s="7">
        <v>5</v>
      </c>
      <c r="C189" s="2" t="s">
        <v>221</v>
      </c>
      <c r="D189" s="7">
        <v>200</v>
      </c>
      <c r="E189" s="7">
        <v>200</v>
      </c>
      <c r="F189" s="7">
        <v>0</v>
      </c>
      <c r="G189" s="7">
        <v>0</v>
      </c>
      <c r="H189" s="7">
        <v>0</v>
      </c>
      <c r="I189" s="7">
        <v>20</v>
      </c>
      <c r="J189" s="7">
        <v>380</v>
      </c>
      <c r="K189" s="7">
        <v>60</v>
      </c>
      <c r="L189" s="7">
        <v>4000</v>
      </c>
      <c r="M189" s="7">
        <v>-3680</v>
      </c>
      <c r="N189" s="7">
        <v>380</v>
      </c>
      <c r="O189" s="7">
        <v>1000</v>
      </c>
    </row>
    <row r="190" spans="1:15">
      <c r="A190" s="2" t="s">
        <v>220</v>
      </c>
      <c r="B190" s="7">
        <v>6</v>
      </c>
      <c r="C190" s="2" t="s">
        <v>221</v>
      </c>
      <c r="D190" s="7">
        <v>200</v>
      </c>
      <c r="E190" s="7">
        <v>200</v>
      </c>
      <c r="F190" s="7">
        <v>0</v>
      </c>
      <c r="G190" s="7">
        <v>0</v>
      </c>
      <c r="H190" s="7">
        <v>0</v>
      </c>
      <c r="I190" s="7">
        <v>20</v>
      </c>
      <c r="J190" s="7">
        <v>380</v>
      </c>
      <c r="K190" s="7">
        <v>60</v>
      </c>
      <c r="L190" s="7">
        <v>4000</v>
      </c>
      <c r="M190" s="7">
        <v>-3680</v>
      </c>
      <c r="N190" s="7">
        <v>380</v>
      </c>
      <c r="O190" s="7">
        <v>1200</v>
      </c>
    </row>
    <row r="191" spans="1:15">
      <c r="A191" s="2" t="s">
        <v>220</v>
      </c>
      <c r="B191" s="7">
        <v>7</v>
      </c>
      <c r="C191" s="2" t="s">
        <v>221</v>
      </c>
      <c r="D191" s="7">
        <v>200</v>
      </c>
      <c r="E191" s="7">
        <v>200</v>
      </c>
      <c r="F191" s="7">
        <v>0</v>
      </c>
      <c r="G191" s="7">
        <v>0</v>
      </c>
      <c r="H191" s="7">
        <v>0</v>
      </c>
      <c r="I191" s="7">
        <v>20</v>
      </c>
      <c r="J191" s="7">
        <v>380</v>
      </c>
      <c r="K191" s="7">
        <v>60</v>
      </c>
      <c r="L191" s="7">
        <v>4000</v>
      </c>
      <c r="M191" s="7">
        <v>-3680</v>
      </c>
      <c r="N191" s="7">
        <v>380</v>
      </c>
      <c r="O191" s="7">
        <v>1400</v>
      </c>
    </row>
    <row r="192" spans="1:15">
      <c r="A192" s="2" t="s">
        <v>220</v>
      </c>
      <c r="B192" s="7">
        <v>8</v>
      </c>
      <c r="C192" s="2" t="s">
        <v>221</v>
      </c>
      <c r="D192" s="7">
        <v>200</v>
      </c>
      <c r="E192" s="7">
        <v>200</v>
      </c>
      <c r="F192" s="7">
        <v>0</v>
      </c>
      <c r="G192" s="7">
        <v>0</v>
      </c>
      <c r="H192" s="7">
        <v>0</v>
      </c>
      <c r="I192" s="7">
        <v>20</v>
      </c>
      <c r="J192" s="7">
        <v>380</v>
      </c>
      <c r="K192" s="7">
        <v>60</v>
      </c>
      <c r="L192" s="7">
        <v>4000</v>
      </c>
      <c r="M192" s="7">
        <v>-3680</v>
      </c>
      <c r="N192" s="7">
        <v>380</v>
      </c>
      <c r="O192" s="7">
        <v>1600</v>
      </c>
    </row>
    <row r="193" spans="1:15">
      <c r="A193" s="2" t="s">
        <v>220</v>
      </c>
      <c r="B193" s="7">
        <v>9</v>
      </c>
      <c r="C193" s="2" t="s">
        <v>221</v>
      </c>
      <c r="D193" s="7">
        <v>200</v>
      </c>
      <c r="E193" s="7">
        <v>200</v>
      </c>
      <c r="F193" s="7">
        <v>0</v>
      </c>
      <c r="G193" s="7">
        <v>0</v>
      </c>
      <c r="H193" s="7">
        <v>0</v>
      </c>
      <c r="I193" s="7">
        <v>20</v>
      </c>
      <c r="J193" s="7">
        <v>380</v>
      </c>
      <c r="K193" s="7">
        <v>60</v>
      </c>
      <c r="L193" s="7">
        <v>4000</v>
      </c>
      <c r="M193" s="7">
        <v>-3680</v>
      </c>
      <c r="N193" s="7">
        <v>380</v>
      </c>
      <c r="O193" s="7">
        <v>1800</v>
      </c>
    </row>
    <row r="194" spans="1:15">
      <c r="A194" s="2" t="s">
        <v>220</v>
      </c>
      <c r="B194" s="7">
        <v>10</v>
      </c>
      <c r="C194" s="2" t="s">
        <v>221</v>
      </c>
      <c r="D194" s="7">
        <v>200</v>
      </c>
      <c r="E194" s="7">
        <v>200</v>
      </c>
      <c r="F194" s="7">
        <v>0</v>
      </c>
      <c r="G194" s="7">
        <v>0</v>
      </c>
      <c r="H194" s="7">
        <v>0</v>
      </c>
      <c r="I194" s="7">
        <v>20</v>
      </c>
      <c r="J194" s="7">
        <v>380</v>
      </c>
      <c r="K194" s="7">
        <v>60</v>
      </c>
      <c r="L194" s="7">
        <v>4000</v>
      </c>
      <c r="M194" s="7">
        <v>-3680</v>
      </c>
      <c r="N194" s="7">
        <v>380</v>
      </c>
      <c r="O194" s="7">
        <v>2000</v>
      </c>
    </row>
    <row r="195" spans="1:15">
      <c r="A195" s="2" t="s">
        <v>220</v>
      </c>
      <c r="B195" s="7">
        <v>11</v>
      </c>
      <c r="C195" s="2" t="s">
        <v>221</v>
      </c>
      <c r="D195" s="7">
        <v>200</v>
      </c>
      <c r="E195" s="7">
        <v>200</v>
      </c>
      <c r="F195" s="7">
        <v>0</v>
      </c>
      <c r="G195" s="7">
        <v>0</v>
      </c>
      <c r="H195" s="7">
        <v>0</v>
      </c>
      <c r="I195" s="7">
        <v>20</v>
      </c>
      <c r="J195" s="7">
        <v>380</v>
      </c>
      <c r="K195" s="7">
        <v>60</v>
      </c>
      <c r="L195" s="7">
        <v>4000</v>
      </c>
      <c r="M195" s="7">
        <v>-3680</v>
      </c>
      <c r="N195" s="7">
        <v>380</v>
      </c>
      <c r="O195" s="7">
        <v>2200</v>
      </c>
    </row>
    <row r="196" spans="1:15">
      <c r="A196" s="2" t="s">
        <v>220</v>
      </c>
      <c r="B196" s="7">
        <v>12</v>
      </c>
      <c r="C196" s="2" t="s">
        <v>221</v>
      </c>
      <c r="D196" s="7">
        <v>200</v>
      </c>
      <c r="E196" s="7">
        <v>200</v>
      </c>
      <c r="F196" s="7">
        <v>0</v>
      </c>
      <c r="G196" s="7">
        <v>0</v>
      </c>
      <c r="H196" s="7">
        <v>0</v>
      </c>
      <c r="I196" s="7">
        <v>20</v>
      </c>
      <c r="J196" s="7">
        <v>380</v>
      </c>
      <c r="K196" s="7">
        <v>60</v>
      </c>
      <c r="L196" s="7">
        <v>4000</v>
      </c>
      <c r="M196" s="7">
        <v>-3680</v>
      </c>
      <c r="N196" s="7">
        <v>380</v>
      </c>
      <c r="O196" s="7">
        <v>2400</v>
      </c>
    </row>
    <row r="197" spans="1:15">
      <c r="A197" s="2" t="s">
        <v>220</v>
      </c>
      <c r="B197" s="7">
        <v>13</v>
      </c>
      <c r="C197" s="2" t="s">
        <v>221</v>
      </c>
      <c r="D197" s="7">
        <v>200</v>
      </c>
      <c r="E197" s="7">
        <v>200</v>
      </c>
      <c r="F197" s="7">
        <v>0</v>
      </c>
      <c r="G197" s="7">
        <v>0</v>
      </c>
      <c r="H197" s="7">
        <v>0</v>
      </c>
      <c r="I197" s="7">
        <v>20</v>
      </c>
      <c r="J197" s="7">
        <v>380</v>
      </c>
      <c r="K197" s="7">
        <v>60</v>
      </c>
      <c r="L197" s="7">
        <v>4000</v>
      </c>
      <c r="M197" s="7">
        <v>-3680</v>
      </c>
      <c r="N197" s="7">
        <v>380</v>
      </c>
      <c r="O197" s="7">
        <v>2600</v>
      </c>
    </row>
    <row r="198" spans="1:15">
      <c r="A198" s="2" t="s">
        <v>220</v>
      </c>
      <c r="B198" s="7">
        <v>14</v>
      </c>
      <c r="C198" s="2" t="s">
        <v>221</v>
      </c>
      <c r="D198" s="7">
        <v>200</v>
      </c>
      <c r="E198" s="7">
        <v>200</v>
      </c>
      <c r="F198" s="7">
        <v>0</v>
      </c>
      <c r="G198" s="7">
        <v>0</v>
      </c>
      <c r="H198" s="7">
        <v>0</v>
      </c>
      <c r="I198" s="7">
        <v>20</v>
      </c>
      <c r="J198" s="7">
        <v>380</v>
      </c>
      <c r="K198" s="7">
        <v>60</v>
      </c>
      <c r="L198" s="7">
        <v>4000</v>
      </c>
      <c r="M198" s="7">
        <v>-3680</v>
      </c>
      <c r="N198" s="7">
        <v>380</v>
      </c>
      <c r="O198" s="7">
        <v>2800</v>
      </c>
    </row>
    <row r="199" spans="1:15">
      <c r="A199" s="2" t="s">
        <v>220</v>
      </c>
      <c r="B199" s="7">
        <v>15</v>
      </c>
      <c r="C199" s="2" t="s">
        <v>221</v>
      </c>
      <c r="D199" s="7">
        <v>200</v>
      </c>
      <c r="E199" s="7">
        <v>200</v>
      </c>
      <c r="F199" s="7">
        <v>0</v>
      </c>
      <c r="G199" s="7">
        <v>0</v>
      </c>
      <c r="H199" s="7">
        <v>0</v>
      </c>
      <c r="I199" s="7">
        <v>20</v>
      </c>
      <c r="J199" s="7">
        <v>380</v>
      </c>
      <c r="K199" s="7">
        <v>60</v>
      </c>
      <c r="L199" s="7">
        <v>4000</v>
      </c>
      <c r="M199" s="7">
        <v>-3680</v>
      </c>
      <c r="N199" s="7">
        <v>380</v>
      </c>
      <c r="O199" s="7">
        <v>3000</v>
      </c>
    </row>
    <row r="200" spans="1:15">
      <c r="A200" s="2" t="s">
        <v>220</v>
      </c>
      <c r="B200" s="7">
        <v>16</v>
      </c>
      <c r="C200" s="2" t="s">
        <v>221</v>
      </c>
      <c r="D200" s="7">
        <v>200</v>
      </c>
      <c r="E200" s="7">
        <v>200</v>
      </c>
      <c r="F200" s="7">
        <v>0</v>
      </c>
      <c r="G200" s="7">
        <v>0</v>
      </c>
      <c r="H200" s="7">
        <v>0</v>
      </c>
      <c r="I200" s="7">
        <v>20</v>
      </c>
      <c r="J200" s="7">
        <v>380</v>
      </c>
      <c r="K200" s="7">
        <v>60</v>
      </c>
      <c r="L200" s="7">
        <v>4000</v>
      </c>
      <c r="M200" s="7">
        <v>-3680</v>
      </c>
      <c r="N200" s="7">
        <v>380</v>
      </c>
      <c r="O200" s="7">
        <v>3200</v>
      </c>
    </row>
    <row r="201" spans="1:15">
      <c r="A201" s="2" t="s">
        <v>220</v>
      </c>
      <c r="B201" s="7">
        <v>17</v>
      </c>
      <c r="C201" s="2" t="s">
        <v>221</v>
      </c>
      <c r="D201" s="7">
        <v>200</v>
      </c>
      <c r="E201" s="7">
        <v>200</v>
      </c>
      <c r="F201" s="7">
        <v>0</v>
      </c>
      <c r="G201" s="7">
        <v>0</v>
      </c>
      <c r="H201" s="7">
        <v>0</v>
      </c>
      <c r="I201" s="7">
        <v>20</v>
      </c>
      <c r="J201" s="7">
        <v>380</v>
      </c>
      <c r="K201" s="7">
        <v>60</v>
      </c>
      <c r="L201" s="7">
        <v>4000</v>
      </c>
      <c r="M201" s="7">
        <v>-3680</v>
      </c>
      <c r="N201" s="7">
        <v>380</v>
      </c>
      <c r="O201" s="7">
        <v>3400</v>
      </c>
    </row>
    <row r="202" spans="1:15">
      <c r="A202" s="2" t="s">
        <v>220</v>
      </c>
      <c r="B202" s="7">
        <v>18</v>
      </c>
      <c r="C202" s="2" t="s">
        <v>221</v>
      </c>
      <c r="D202" s="7">
        <v>200</v>
      </c>
      <c r="E202" s="7">
        <v>200</v>
      </c>
      <c r="F202" s="7">
        <v>0</v>
      </c>
      <c r="G202" s="7">
        <v>0</v>
      </c>
      <c r="H202" s="7">
        <v>0</v>
      </c>
      <c r="I202" s="7">
        <v>20</v>
      </c>
      <c r="J202" s="7">
        <v>380</v>
      </c>
      <c r="K202" s="7">
        <v>60</v>
      </c>
      <c r="L202" s="7">
        <v>4000</v>
      </c>
      <c r="M202" s="7">
        <v>-3680</v>
      </c>
      <c r="N202" s="7">
        <v>380</v>
      </c>
      <c r="O202" s="7">
        <v>3600</v>
      </c>
    </row>
    <row r="203" spans="1:15">
      <c r="A203" s="2" t="s">
        <v>220</v>
      </c>
      <c r="B203" s="7">
        <v>19</v>
      </c>
      <c r="C203" s="2" t="s">
        <v>221</v>
      </c>
      <c r="D203" s="7">
        <v>200</v>
      </c>
      <c r="E203" s="7">
        <v>200</v>
      </c>
      <c r="F203" s="7">
        <v>0</v>
      </c>
      <c r="G203" s="7">
        <v>0</v>
      </c>
      <c r="H203" s="7">
        <v>0</v>
      </c>
      <c r="I203" s="7">
        <v>20</v>
      </c>
      <c r="J203" s="7">
        <v>380</v>
      </c>
      <c r="K203" s="7">
        <v>60</v>
      </c>
      <c r="L203" s="7">
        <v>4000</v>
      </c>
      <c r="M203" s="7">
        <v>-3680</v>
      </c>
      <c r="N203" s="7">
        <v>380</v>
      </c>
      <c r="O203" s="7">
        <v>3800</v>
      </c>
    </row>
    <row r="204" spans="1:15">
      <c r="A204" s="2" t="s">
        <v>220</v>
      </c>
      <c r="B204" s="7">
        <v>20</v>
      </c>
      <c r="C204" s="2" t="s">
        <v>221</v>
      </c>
      <c r="D204" s="7">
        <v>200</v>
      </c>
      <c r="E204" s="7">
        <v>200</v>
      </c>
      <c r="F204" s="7">
        <v>0</v>
      </c>
      <c r="G204" s="7">
        <v>0</v>
      </c>
      <c r="H204" s="7">
        <v>0</v>
      </c>
      <c r="I204" s="7">
        <v>20</v>
      </c>
      <c r="J204" s="7">
        <v>380</v>
      </c>
      <c r="K204" s="7">
        <v>60</v>
      </c>
      <c r="L204" s="7">
        <v>4000</v>
      </c>
      <c r="M204" s="7">
        <v>-3680</v>
      </c>
      <c r="N204" s="7">
        <v>380</v>
      </c>
      <c r="O204" s="7">
        <v>4000</v>
      </c>
    </row>
    <row r="205" spans="1:15">
      <c r="A205" s="2" t="s">
        <v>220</v>
      </c>
      <c r="B205" s="7">
        <v>21</v>
      </c>
      <c r="C205" s="2" t="s">
        <v>221</v>
      </c>
      <c r="D205" s="7">
        <v>200</v>
      </c>
      <c r="E205" s="7">
        <v>200</v>
      </c>
      <c r="F205" s="7">
        <v>0</v>
      </c>
      <c r="G205" s="7">
        <v>0</v>
      </c>
      <c r="H205" s="7">
        <v>0</v>
      </c>
      <c r="I205" s="7">
        <v>20</v>
      </c>
      <c r="J205" s="7">
        <v>380</v>
      </c>
      <c r="K205" s="7">
        <v>60</v>
      </c>
      <c r="L205" s="7">
        <v>4000</v>
      </c>
      <c r="M205" s="7">
        <v>-3680</v>
      </c>
      <c r="N205" s="7">
        <v>380</v>
      </c>
      <c r="O205" s="7">
        <v>4200</v>
      </c>
    </row>
    <row r="206" spans="1:15">
      <c r="A206" s="2" t="s">
        <v>220</v>
      </c>
      <c r="B206" s="7">
        <v>22</v>
      </c>
      <c r="C206" s="2" t="s">
        <v>221</v>
      </c>
      <c r="D206" s="7">
        <v>200</v>
      </c>
      <c r="E206" s="7">
        <v>200</v>
      </c>
      <c r="F206" s="7">
        <v>0</v>
      </c>
      <c r="G206" s="7">
        <v>0</v>
      </c>
      <c r="H206" s="7">
        <v>0</v>
      </c>
      <c r="I206" s="7">
        <v>20</v>
      </c>
      <c r="J206" s="7">
        <v>380</v>
      </c>
      <c r="K206" s="7">
        <v>60</v>
      </c>
      <c r="L206" s="7">
        <v>4000</v>
      </c>
      <c r="M206" s="7">
        <v>-3680</v>
      </c>
      <c r="N206" s="7">
        <v>380</v>
      </c>
      <c r="O206" s="7">
        <v>4400</v>
      </c>
    </row>
    <row r="207" spans="1:15">
      <c r="A207" s="2" t="s">
        <v>220</v>
      </c>
      <c r="B207" s="7">
        <v>23</v>
      </c>
      <c r="C207" s="2" t="s">
        <v>221</v>
      </c>
      <c r="D207" s="7">
        <v>200</v>
      </c>
      <c r="E207" s="7">
        <v>200</v>
      </c>
      <c r="F207" s="7">
        <v>0</v>
      </c>
      <c r="G207" s="7">
        <v>0</v>
      </c>
      <c r="H207" s="7">
        <v>0</v>
      </c>
      <c r="I207" s="7">
        <v>20</v>
      </c>
      <c r="J207" s="7">
        <v>380</v>
      </c>
      <c r="K207" s="7">
        <v>60</v>
      </c>
      <c r="L207" s="7">
        <v>4000</v>
      </c>
      <c r="M207" s="7">
        <v>-3680</v>
      </c>
      <c r="N207" s="7">
        <v>380</v>
      </c>
      <c r="O207" s="7">
        <v>4600</v>
      </c>
    </row>
    <row r="208" spans="1:15">
      <c r="A208" s="2" t="s">
        <v>220</v>
      </c>
      <c r="B208" s="7">
        <v>24</v>
      </c>
      <c r="C208" s="2" t="s">
        <v>221</v>
      </c>
      <c r="D208" s="7">
        <v>200</v>
      </c>
      <c r="E208" s="7">
        <v>200</v>
      </c>
      <c r="F208" s="7">
        <v>0</v>
      </c>
      <c r="G208" s="7">
        <v>0</v>
      </c>
      <c r="H208" s="7">
        <v>0</v>
      </c>
      <c r="I208" s="7">
        <v>20</v>
      </c>
      <c r="J208" s="7">
        <v>380</v>
      </c>
      <c r="K208" s="7">
        <v>60</v>
      </c>
      <c r="L208" s="7">
        <v>4000</v>
      </c>
      <c r="M208" s="7">
        <v>-3680</v>
      </c>
      <c r="N208" s="7">
        <v>380</v>
      </c>
      <c r="O208" s="7">
        <v>4800</v>
      </c>
    </row>
    <row r="209" spans="1:15">
      <c r="A209" s="2" t="s">
        <v>220</v>
      </c>
      <c r="B209" s="7">
        <v>25</v>
      </c>
      <c r="C209" s="2" t="s">
        <v>221</v>
      </c>
      <c r="D209" s="7">
        <v>200</v>
      </c>
      <c r="E209" s="7">
        <v>200</v>
      </c>
      <c r="F209" s="7">
        <v>0</v>
      </c>
      <c r="G209" s="7">
        <v>0</v>
      </c>
      <c r="H209" s="7">
        <v>0</v>
      </c>
      <c r="I209" s="7">
        <v>20</v>
      </c>
      <c r="J209" s="7">
        <v>380</v>
      </c>
      <c r="K209" s="7">
        <v>60</v>
      </c>
      <c r="L209" s="7">
        <v>4000</v>
      </c>
      <c r="M209" s="7">
        <v>-3680</v>
      </c>
      <c r="N209" s="7">
        <v>380</v>
      </c>
      <c r="O209" s="7">
        <v>5000</v>
      </c>
    </row>
    <row r="210" spans="1:15">
      <c r="A210" s="2" t="s">
        <v>220</v>
      </c>
      <c r="B210" s="7">
        <v>26</v>
      </c>
      <c r="C210" s="2" t="s">
        <v>221</v>
      </c>
      <c r="D210" s="7">
        <v>200</v>
      </c>
      <c r="E210" s="7">
        <v>200</v>
      </c>
      <c r="F210" s="7">
        <v>0</v>
      </c>
      <c r="G210" s="7">
        <v>0</v>
      </c>
      <c r="H210" s="7">
        <v>0</v>
      </c>
      <c r="I210" s="7">
        <v>20</v>
      </c>
      <c r="J210" s="7">
        <v>380</v>
      </c>
      <c r="K210" s="7">
        <v>60</v>
      </c>
      <c r="L210" s="7">
        <v>4000</v>
      </c>
      <c r="M210" s="7">
        <v>-3680</v>
      </c>
      <c r="N210" s="7">
        <v>380</v>
      </c>
      <c r="O210" s="7">
        <v>5200</v>
      </c>
    </row>
    <row r="211" spans="1:15">
      <c r="A211" s="2" t="s">
        <v>220</v>
      </c>
      <c r="B211" s="7">
        <v>27</v>
      </c>
      <c r="C211" s="2" t="s">
        <v>221</v>
      </c>
      <c r="D211" s="7">
        <v>200</v>
      </c>
      <c r="E211" s="7">
        <v>200</v>
      </c>
      <c r="F211" s="7">
        <v>0</v>
      </c>
      <c r="G211" s="7">
        <v>0</v>
      </c>
      <c r="H211" s="7">
        <v>0</v>
      </c>
      <c r="I211" s="7">
        <v>20</v>
      </c>
      <c r="J211" s="7">
        <v>380</v>
      </c>
      <c r="K211" s="7">
        <v>60</v>
      </c>
      <c r="L211" s="7">
        <v>4000</v>
      </c>
      <c r="M211" s="7">
        <v>-3680</v>
      </c>
      <c r="N211" s="7">
        <v>380</v>
      </c>
      <c r="O211" s="7">
        <v>5400</v>
      </c>
    </row>
    <row r="212" spans="1:15">
      <c r="A212" s="2" t="s">
        <v>220</v>
      </c>
      <c r="B212" s="7">
        <v>28</v>
      </c>
      <c r="C212" s="2" t="s">
        <v>221</v>
      </c>
      <c r="D212" s="7">
        <v>200</v>
      </c>
      <c r="E212" s="7">
        <v>200</v>
      </c>
      <c r="F212" s="7">
        <v>0</v>
      </c>
      <c r="G212" s="7">
        <v>0</v>
      </c>
      <c r="H212" s="7">
        <v>0</v>
      </c>
      <c r="I212" s="7">
        <v>20</v>
      </c>
      <c r="J212" s="7">
        <v>380</v>
      </c>
      <c r="K212" s="7">
        <v>60</v>
      </c>
      <c r="L212" s="7">
        <v>4000</v>
      </c>
      <c r="M212" s="7">
        <v>-3680</v>
      </c>
      <c r="N212" s="7">
        <v>380</v>
      </c>
      <c r="O212" s="7">
        <v>5600</v>
      </c>
    </row>
    <row r="213" spans="1:15">
      <c r="A213" s="2" t="s">
        <v>220</v>
      </c>
      <c r="B213" s="7">
        <v>29</v>
      </c>
      <c r="C213" s="2" t="s">
        <v>221</v>
      </c>
      <c r="D213" s="7">
        <v>200</v>
      </c>
      <c r="E213" s="7">
        <v>200</v>
      </c>
      <c r="F213" s="7">
        <v>0</v>
      </c>
      <c r="G213" s="7">
        <v>0</v>
      </c>
      <c r="H213" s="7">
        <v>0</v>
      </c>
      <c r="I213" s="7">
        <v>20</v>
      </c>
      <c r="J213" s="7">
        <v>380</v>
      </c>
      <c r="K213" s="7">
        <v>60</v>
      </c>
      <c r="L213" s="7">
        <v>4000</v>
      </c>
      <c r="M213" s="7">
        <v>-3680</v>
      </c>
      <c r="N213" s="7">
        <v>380</v>
      </c>
      <c r="O213" s="7">
        <v>5800</v>
      </c>
    </row>
    <row r="214" spans="1:15">
      <c r="A214" s="2" t="s">
        <v>220</v>
      </c>
      <c r="B214" s="7">
        <v>30</v>
      </c>
      <c r="C214" s="2" t="s">
        <v>221</v>
      </c>
      <c r="D214" s="7">
        <v>200</v>
      </c>
      <c r="E214" s="7">
        <v>200</v>
      </c>
      <c r="F214" s="7">
        <v>0</v>
      </c>
      <c r="G214" s="7">
        <v>0</v>
      </c>
      <c r="H214" s="7">
        <v>0</v>
      </c>
      <c r="I214" s="7">
        <v>20</v>
      </c>
      <c r="J214" s="7">
        <v>380</v>
      </c>
      <c r="K214" s="7">
        <v>60</v>
      </c>
      <c r="L214" s="7">
        <v>4000</v>
      </c>
      <c r="M214" s="7">
        <v>-3680</v>
      </c>
      <c r="N214" s="7">
        <v>380</v>
      </c>
      <c r="O214" s="7">
        <v>6000</v>
      </c>
    </row>
    <row r="215" spans="1:15">
      <c r="A215" s="2" t="s">
        <v>220</v>
      </c>
      <c r="B215" s="7">
        <v>31</v>
      </c>
      <c r="C215" s="2" t="s">
        <v>221</v>
      </c>
      <c r="D215" s="7">
        <v>200</v>
      </c>
      <c r="E215" s="7">
        <v>200</v>
      </c>
      <c r="F215" s="7">
        <v>0</v>
      </c>
      <c r="G215" s="7">
        <v>0</v>
      </c>
      <c r="H215" s="7">
        <v>0</v>
      </c>
      <c r="I215" s="7">
        <v>20</v>
      </c>
      <c r="J215" s="7">
        <v>380</v>
      </c>
      <c r="K215" s="7">
        <v>60</v>
      </c>
      <c r="L215" s="7">
        <v>4000</v>
      </c>
      <c r="M215" s="7">
        <v>-3680</v>
      </c>
      <c r="N215" s="7">
        <v>380</v>
      </c>
      <c r="O215" s="7">
        <v>6200</v>
      </c>
    </row>
    <row r="216" spans="1:15">
      <c r="A216" s="2" t="s">
        <v>220</v>
      </c>
      <c r="B216" s="7">
        <v>32</v>
      </c>
      <c r="C216" s="2" t="s">
        <v>221</v>
      </c>
      <c r="D216" s="7">
        <v>200</v>
      </c>
      <c r="E216" s="7">
        <v>200</v>
      </c>
      <c r="F216" s="7">
        <v>0</v>
      </c>
      <c r="G216" s="7">
        <v>0</v>
      </c>
      <c r="H216" s="7">
        <v>0</v>
      </c>
      <c r="I216" s="7">
        <v>20</v>
      </c>
      <c r="J216" s="7">
        <v>380</v>
      </c>
      <c r="K216" s="7">
        <v>60</v>
      </c>
      <c r="L216" s="7">
        <v>4000</v>
      </c>
      <c r="M216" s="7">
        <v>-3680</v>
      </c>
      <c r="N216" s="7">
        <v>380</v>
      </c>
      <c r="O216" s="7">
        <v>6400</v>
      </c>
    </row>
    <row r="217" spans="1:15">
      <c r="A217" s="2" t="s">
        <v>220</v>
      </c>
      <c r="B217" s="7">
        <v>33</v>
      </c>
      <c r="C217" s="2" t="s">
        <v>221</v>
      </c>
      <c r="D217" s="7">
        <v>200</v>
      </c>
      <c r="E217" s="7">
        <v>200</v>
      </c>
      <c r="F217" s="7">
        <v>0</v>
      </c>
      <c r="G217" s="7">
        <v>0</v>
      </c>
      <c r="H217" s="7">
        <v>0</v>
      </c>
      <c r="I217" s="7">
        <v>20</v>
      </c>
      <c r="J217" s="7">
        <v>380</v>
      </c>
      <c r="K217" s="7">
        <v>60</v>
      </c>
      <c r="L217" s="7">
        <v>4000</v>
      </c>
      <c r="M217" s="7">
        <v>-3680</v>
      </c>
      <c r="N217" s="7">
        <v>380</v>
      </c>
      <c r="O217" s="7">
        <v>6600</v>
      </c>
    </row>
    <row r="218" spans="1:15">
      <c r="A218" s="2" t="s">
        <v>220</v>
      </c>
      <c r="B218" s="7">
        <v>34</v>
      </c>
      <c r="C218" s="2" t="s">
        <v>221</v>
      </c>
      <c r="D218" s="7">
        <v>200</v>
      </c>
      <c r="E218" s="7">
        <v>200</v>
      </c>
      <c r="F218" s="7">
        <v>0</v>
      </c>
      <c r="G218" s="7">
        <v>0</v>
      </c>
      <c r="H218" s="7">
        <v>0</v>
      </c>
      <c r="I218" s="7">
        <v>20</v>
      </c>
      <c r="J218" s="7">
        <v>380</v>
      </c>
      <c r="K218" s="7">
        <v>60</v>
      </c>
      <c r="L218" s="7">
        <v>4000</v>
      </c>
      <c r="M218" s="7">
        <v>-3680</v>
      </c>
      <c r="N218" s="7">
        <v>380</v>
      </c>
      <c r="O218" s="7">
        <v>6800</v>
      </c>
    </row>
    <row r="219" spans="1:15">
      <c r="A219" s="2" t="s">
        <v>220</v>
      </c>
      <c r="B219" s="7">
        <v>35</v>
      </c>
      <c r="C219" s="2" t="s">
        <v>221</v>
      </c>
      <c r="D219" s="7">
        <v>200</v>
      </c>
      <c r="E219" s="7">
        <v>200</v>
      </c>
      <c r="F219" s="7">
        <v>0</v>
      </c>
      <c r="G219" s="7">
        <v>0</v>
      </c>
      <c r="H219" s="7">
        <v>0</v>
      </c>
      <c r="I219" s="7">
        <v>20</v>
      </c>
      <c r="J219" s="7">
        <v>380</v>
      </c>
      <c r="K219" s="7">
        <v>60</v>
      </c>
      <c r="L219" s="7">
        <v>4000</v>
      </c>
      <c r="M219" s="7">
        <v>-3680</v>
      </c>
      <c r="N219" s="7">
        <v>380</v>
      </c>
      <c r="O219" s="7">
        <v>7000</v>
      </c>
    </row>
    <row r="220" spans="1:15">
      <c r="A220" s="2" t="s">
        <v>220</v>
      </c>
      <c r="B220" s="7">
        <v>36</v>
      </c>
      <c r="C220" s="2" t="s">
        <v>221</v>
      </c>
      <c r="D220" s="7">
        <v>200</v>
      </c>
      <c r="E220" s="7">
        <v>200</v>
      </c>
      <c r="F220" s="7">
        <v>0</v>
      </c>
      <c r="G220" s="7">
        <v>0</v>
      </c>
      <c r="H220" s="7">
        <v>0</v>
      </c>
      <c r="I220" s="7">
        <v>20</v>
      </c>
      <c r="J220" s="7">
        <v>380</v>
      </c>
      <c r="K220" s="7">
        <v>60</v>
      </c>
      <c r="L220" s="7">
        <v>4000</v>
      </c>
      <c r="M220" s="7">
        <v>-3680</v>
      </c>
      <c r="N220" s="7">
        <v>380</v>
      </c>
      <c r="O220" s="7">
        <v>7200</v>
      </c>
    </row>
    <row r="221" spans="1:15">
      <c r="A221" s="2" t="s">
        <v>222</v>
      </c>
      <c r="B221" s="7">
        <v>1</v>
      </c>
      <c r="C221" s="2" t="s">
        <v>223</v>
      </c>
      <c r="D221" s="7">
        <v>1000</v>
      </c>
      <c r="E221" s="7">
        <v>1000</v>
      </c>
      <c r="F221" s="7">
        <v>0</v>
      </c>
      <c r="G221" s="7">
        <v>0</v>
      </c>
      <c r="H221" s="7">
        <v>0</v>
      </c>
      <c r="I221" s="7">
        <v>20</v>
      </c>
      <c r="J221" s="7">
        <v>380</v>
      </c>
      <c r="K221" s="7">
        <v>320</v>
      </c>
      <c r="L221" s="7">
        <v>4000</v>
      </c>
      <c r="M221" s="7">
        <v>-3940</v>
      </c>
      <c r="N221" s="7">
        <v>380</v>
      </c>
      <c r="O221" s="7">
        <v>99</v>
      </c>
    </row>
    <row r="222" spans="1:15">
      <c r="A222" s="2" t="s">
        <v>222</v>
      </c>
      <c r="B222" s="7">
        <v>2</v>
      </c>
      <c r="C222" s="2" t="s">
        <v>223</v>
      </c>
      <c r="D222" s="7">
        <v>1000</v>
      </c>
      <c r="E222" s="7">
        <v>1882</v>
      </c>
      <c r="F222" s="7">
        <v>19</v>
      </c>
      <c r="G222" s="7">
        <v>0</v>
      </c>
      <c r="H222" s="7">
        <v>0</v>
      </c>
      <c r="I222" s="7">
        <v>20</v>
      </c>
      <c r="J222" s="7">
        <v>380</v>
      </c>
      <c r="K222" s="7">
        <v>594.1</v>
      </c>
      <c r="L222" s="7">
        <v>4000</v>
      </c>
      <c r="M222" s="7">
        <v>-4214.1</v>
      </c>
      <c r="N222" s="7">
        <v>380</v>
      </c>
      <c r="O222" s="7">
        <v>287.1499999999999</v>
      </c>
    </row>
    <row r="223" spans="1:15">
      <c r="A223" s="2" t="s">
        <v>222</v>
      </c>
      <c r="B223" s="7">
        <v>3</v>
      </c>
      <c r="C223" s="2" t="s">
        <v>223</v>
      </c>
      <c r="D223" s="7">
        <v>1000</v>
      </c>
      <c r="E223" s="7">
        <v>2675.8</v>
      </c>
      <c r="F223" s="7">
        <v>37.05</v>
      </c>
      <c r="G223" s="7">
        <v>0</v>
      </c>
      <c r="H223" s="7">
        <v>0</v>
      </c>
      <c r="I223" s="7">
        <v>20</v>
      </c>
      <c r="J223" s="7">
        <v>380</v>
      </c>
      <c r="K223" s="7">
        <v>841.265</v>
      </c>
      <c r="L223" s="7">
        <v>4000</v>
      </c>
      <c r="M223" s="7">
        <v>-4461.265</v>
      </c>
      <c r="N223" s="7">
        <v>380</v>
      </c>
      <c r="O223" s="7">
        <v>555.5824999999998</v>
      </c>
    </row>
    <row r="224" spans="1:15">
      <c r="A224" s="2" t="s">
        <v>222</v>
      </c>
      <c r="B224" s="7">
        <v>4</v>
      </c>
      <c r="C224" s="2" t="s">
        <v>223</v>
      </c>
      <c r="D224" s="7">
        <v>1000</v>
      </c>
      <c r="E224" s="7">
        <v>3390.22</v>
      </c>
      <c r="F224" s="7">
        <v>54.19750000000001</v>
      </c>
      <c r="G224" s="7">
        <v>0</v>
      </c>
      <c r="H224" s="7">
        <v>0</v>
      </c>
      <c r="I224" s="7">
        <v>20</v>
      </c>
      <c r="J224" s="7">
        <v>380</v>
      </c>
      <c r="K224" s="7">
        <v>1064.16475</v>
      </c>
      <c r="L224" s="7">
        <v>4000</v>
      </c>
      <c r="M224" s="7">
        <v>-4684.16475</v>
      </c>
      <c r="N224" s="7">
        <v>380</v>
      </c>
      <c r="O224" s="7">
        <v>896.3143749999997</v>
      </c>
    </row>
    <row r="225" spans="1:15">
      <c r="A225" s="2" t="s">
        <v>222</v>
      </c>
      <c r="B225" s="7">
        <v>5</v>
      </c>
      <c r="C225" s="2" t="s">
        <v>223</v>
      </c>
      <c r="D225" s="7">
        <v>1000</v>
      </c>
      <c r="E225" s="7">
        <v>4033.198</v>
      </c>
      <c r="F225" s="7">
        <v>70.48762499999999</v>
      </c>
      <c r="G225" s="7">
        <v>0</v>
      </c>
      <c r="H225" s="7">
        <v>0</v>
      </c>
      <c r="I225" s="7">
        <v>20</v>
      </c>
      <c r="J225" s="7">
        <v>380</v>
      </c>
      <c r="K225" s="7">
        <v>1265.2032125</v>
      </c>
      <c r="L225" s="7">
        <v>4000</v>
      </c>
      <c r="M225" s="7">
        <v>-4885.203212500001</v>
      </c>
      <c r="N225" s="7">
        <v>380</v>
      </c>
      <c r="O225" s="7">
        <v>1302.158556249999</v>
      </c>
    </row>
    <row r="226" spans="1:15">
      <c r="A226" s="2" t="s">
        <v>222</v>
      </c>
      <c r="B226" s="7">
        <v>6</v>
      </c>
      <c r="C226" s="2" t="s">
        <v>223</v>
      </c>
      <c r="D226" s="7">
        <v>1000</v>
      </c>
      <c r="E226" s="7">
        <v>4611.878200000001</v>
      </c>
      <c r="F226" s="7">
        <v>85.96324375</v>
      </c>
      <c r="G226" s="7">
        <v>0</v>
      </c>
      <c r="H226" s="7">
        <v>0</v>
      </c>
      <c r="I226" s="7">
        <v>20</v>
      </c>
      <c r="J226" s="7">
        <v>380</v>
      </c>
      <c r="K226" s="7">
        <v>1446.545081875</v>
      </c>
      <c r="L226" s="7">
        <v>4000</v>
      </c>
      <c r="M226" s="7">
        <v>-5066.545081875001</v>
      </c>
      <c r="N226" s="7">
        <v>380</v>
      </c>
      <c r="O226" s="7">
        <v>1766.644538437499</v>
      </c>
    </row>
    <row r="227" spans="1:15">
      <c r="A227" s="2" t="s">
        <v>222</v>
      </c>
      <c r="B227" s="7">
        <v>7</v>
      </c>
      <c r="C227" s="2" t="s">
        <v>223</v>
      </c>
      <c r="D227" s="7">
        <v>1000</v>
      </c>
      <c r="E227" s="7">
        <v>5132.69038</v>
      </c>
      <c r="F227" s="7">
        <v>100.6650815625</v>
      </c>
      <c r="G227" s="7">
        <v>0</v>
      </c>
      <c r="H227" s="7">
        <v>0</v>
      </c>
      <c r="I227" s="7">
        <v>30.4162436</v>
      </c>
      <c r="J227" s="7">
        <v>577.9086284</v>
      </c>
      <c r="K227" s="7">
        <v>1620.55589838125</v>
      </c>
      <c r="L227" s="7">
        <v>4000</v>
      </c>
      <c r="M227" s="7">
        <v>-5042.647269981249</v>
      </c>
      <c r="N227" s="7">
        <v>577.9086284</v>
      </c>
      <c r="O227" s="7">
        <v>2283.426018335625</v>
      </c>
    </row>
    <row r="228" spans="1:15">
      <c r="A228" s="2" t="s">
        <v>222</v>
      </c>
      <c r="B228" s="7">
        <v>8</v>
      </c>
      <c r="C228" s="2" t="s">
        <v>223</v>
      </c>
      <c r="D228" s="7">
        <v>1000</v>
      </c>
      <c r="E228" s="7">
        <v>5592.04672276</v>
      </c>
      <c r="F228" s="7">
        <v>124.527258904375</v>
      </c>
      <c r="G228" s="7">
        <v>0</v>
      </c>
      <c r="H228" s="7">
        <v>0</v>
      </c>
      <c r="I228" s="7">
        <v>30.4162436</v>
      </c>
      <c r="J228" s="7">
        <v>577.9086284</v>
      </c>
      <c r="K228" s="7">
        <v>1770.293889880187</v>
      </c>
      <c r="L228" s="7">
        <v>4000</v>
      </c>
      <c r="M228" s="7">
        <v>-5192.385261480187</v>
      </c>
      <c r="N228" s="7">
        <v>577.9086284</v>
      </c>
      <c r="O228" s="7">
        <v>2847.336241376843</v>
      </c>
    </row>
    <row r="229" spans="1:15">
      <c r="A229" s="2" t="s">
        <v>222</v>
      </c>
      <c r="B229" s="7">
        <v>9</v>
      </c>
      <c r="C229" s="2" t="s">
        <v>223</v>
      </c>
      <c r="D229" s="7">
        <v>1000</v>
      </c>
      <c r="E229" s="7">
        <v>6005.467431244</v>
      </c>
      <c r="F229" s="7">
        <v>147.1963273791563</v>
      </c>
      <c r="G229" s="7">
        <v>0</v>
      </c>
      <c r="H229" s="7">
        <v>0</v>
      </c>
      <c r="I229" s="7">
        <v>30.4162436</v>
      </c>
      <c r="J229" s="7">
        <v>577.9086284</v>
      </c>
      <c r="K229" s="7">
        <v>1905.654636662778</v>
      </c>
      <c r="L229" s="7">
        <v>4000</v>
      </c>
      <c r="M229" s="7">
        <v>-5327.746008262779</v>
      </c>
      <c r="N229" s="7">
        <v>577.9086284</v>
      </c>
      <c r="O229" s="7">
        <v>3453.721988690201</v>
      </c>
    </row>
    <row r="230" spans="1:15">
      <c r="A230" s="2" t="s">
        <v>222</v>
      </c>
      <c r="B230" s="7">
        <v>10</v>
      </c>
      <c r="C230" s="2" t="s">
        <v>223</v>
      </c>
      <c r="D230" s="7">
        <v>1000</v>
      </c>
      <c r="E230" s="7">
        <v>6377.5460688796</v>
      </c>
      <c r="F230" s="7">
        <v>168.7319424301984</v>
      </c>
      <c r="G230" s="7">
        <v>0</v>
      </c>
      <c r="H230" s="7">
        <v>0</v>
      </c>
      <c r="I230" s="7">
        <v>30.4162436</v>
      </c>
      <c r="J230" s="7">
        <v>577.9086284</v>
      </c>
      <c r="K230" s="7">
        <v>2028.046035478979</v>
      </c>
      <c r="L230" s="7">
        <v>4000</v>
      </c>
      <c r="M230" s="7">
        <v>-5450.137407078979</v>
      </c>
      <c r="N230" s="7">
        <v>577.9086284</v>
      </c>
      <c r="O230" s="7">
        <v>4098.39238051967</v>
      </c>
    </row>
    <row r="231" spans="1:15">
      <c r="A231" s="2" t="s">
        <v>222</v>
      </c>
      <c r="B231" s="7">
        <v>11</v>
      </c>
      <c r="C231" s="2" t="s">
        <v>223</v>
      </c>
      <c r="D231" s="7">
        <v>1000</v>
      </c>
      <c r="E231" s="7">
        <v>6712.416842751641</v>
      </c>
      <c r="F231" s="7">
        <v>189.1907767286885</v>
      </c>
      <c r="G231" s="7">
        <v>0</v>
      </c>
      <c r="H231" s="7">
        <v>0</v>
      </c>
      <c r="I231" s="7">
        <v>30.4162436</v>
      </c>
      <c r="J231" s="7">
        <v>577.9086284</v>
      </c>
      <c r="K231" s="7">
        <v>2138.736684789837</v>
      </c>
      <c r="L231" s="7">
        <v>4000</v>
      </c>
      <c r="M231" s="7">
        <v>-5560.828056389837</v>
      </c>
      <c r="N231" s="7">
        <v>577.9086284</v>
      </c>
      <c r="O231" s="7">
        <v>4777.572791451268</v>
      </c>
    </row>
    <row r="232" spans="1:15">
      <c r="A232" s="2" t="s">
        <v>222</v>
      </c>
      <c r="B232" s="7">
        <v>12</v>
      </c>
      <c r="C232" s="2" t="s">
        <v>223</v>
      </c>
      <c r="D232" s="7">
        <v>1000</v>
      </c>
      <c r="E232" s="7">
        <v>7013.800539236477</v>
      </c>
      <c r="F232" s="7">
        <v>208.6266693122541</v>
      </c>
      <c r="G232" s="7">
        <v>0</v>
      </c>
      <c r="H232" s="7">
        <v>0</v>
      </c>
      <c r="I232" s="7">
        <v>30.4162436</v>
      </c>
      <c r="J232" s="7">
        <v>577.9086284</v>
      </c>
      <c r="K232" s="7">
        <v>2238.86974002707</v>
      </c>
      <c r="L232" s="7">
        <v>4000</v>
      </c>
      <c r="M232" s="7">
        <v>-5660.96111162707</v>
      </c>
      <c r="N232" s="7">
        <v>577.9086284</v>
      </c>
      <c r="O232" s="7">
        <v>5487.863366660527</v>
      </c>
    </row>
    <row r="233" spans="1:15">
      <c r="A233" s="2" t="s">
        <v>222</v>
      </c>
      <c r="B233" s="7">
        <v>13</v>
      </c>
      <c r="C233" s="2" t="s">
        <v>223</v>
      </c>
      <c r="D233" s="7">
        <v>1000</v>
      </c>
      <c r="E233" s="7">
        <v>7285.04586607283</v>
      </c>
      <c r="F233" s="7">
        <v>227.0907672666414</v>
      </c>
      <c r="G233" s="7">
        <v>0</v>
      </c>
      <c r="H233" s="7">
        <v>0</v>
      </c>
      <c r="I233" s="7">
        <v>35.84115013672705</v>
      </c>
      <c r="J233" s="7">
        <v>680.9818525978139</v>
      </c>
      <c r="K233" s="7">
        <v>2334.900293591897</v>
      </c>
      <c r="L233" s="7">
        <v>4000</v>
      </c>
      <c r="M233" s="7">
        <v>-5653.918440994083</v>
      </c>
      <c r="N233" s="7">
        <v>680.9818525978139</v>
      </c>
      <c r="O233" s="7">
        <v>6225.930434124306</v>
      </c>
    </row>
    <row r="234" spans="1:15">
      <c r="A234" s="2" t="s">
        <v>222</v>
      </c>
      <c r="B234" s="7">
        <v>14</v>
      </c>
      <c r="C234" s="2" t="s">
        <v>223</v>
      </c>
      <c r="D234" s="7">
        <v>1000</v>
      </c>
      <c r="E234" s="7">
        <v>7524.284244342492</v>
      </c>
      <c r="F234" s="7">
        <v>249.7853215332</v>
      </c>
      <c r="G234" s="7">
        <v>0</v>
      </c>
      <c r="H234" s="7">
        <v>0</v>
      </c>
      <c r="I234" s="7">
        <v>35.84115013672705</v>
      </c>
      <c r="J234" s="7">
        <v>680.9818525978139</v>
      </c>
      <c r="K234" s="7">
        <v>2418.019084206075</v>
      </c>
      <c r="L234" s="7">
        <v>4000</v>
      </c>
      <c r="M234" s="7">
        <v>-5737.037231608261</v>
      </c>
      <c r="N234" s="7">
        <v>680.9818525978139</v>
      </c>
      <c r="O234" s="7">
        <v>6989.056067128378</v>
      </c>
    </row>
    <row r="235" spans="1:15">
      <c r="A235" s="2" t="s">
        <v>222</v>
      </c>
      <c r="B235" s="7">
        <v>15</v>
      </c>
      <c r="C235" s="2" t="s">
        <v>223</v>
      </c>
      <c r="D235" s="7">
        <v>1000</v>
      </c>
      <c r="E235" s="7">
        <v>7739.598784785189</v>
      </c>
      <c r="F235" s="7">
        <v>271.3451480864307</v>
      </c>
      <c r="G235" s="7">
        <v>0</v>
      </c>
      <c r="H235" s="7">
        <v>0</v>
      </c>
      <c r="I235" s="7">
        <v>35.84115013672705</v>
      </c>
      <c r="J235" s="7">
        <v>680.9818525978139</v>
      </c>
      <c r="K235" s="7">
        <v>2493.393359615499</v>
      </c>
      <c r="L235" s="7">
        <v>4000</v>
      </c>
      <c r="M235" s="7">
        <v>-5812.411507017685</v>
      </c>
      <c r="N235" s="7">
        <v>680.9818525978139</v>
      </c>
      <c r="O235" s="7">
        <v>7774.791145504383</v>
      </c>
    </row>
    <row r="236" spans="1:15">
      <c r="A236" s="2" t="s">
        <v>222</v>
      </c>
      <c r="B236" s="7">
        <v>16</v>
      </c>
      <c r="C236" s="2" t="s">
        <v>223</v>
      </c>
      <c r="D236" s="7">
        <v>1000</v>
      </c>
      <c r="E236" s="7">
        <v>7933.381871183617</v>
      </c>
      <c r="F236" s="7">
        <v>291.8269833119999</v>
      </c>
      <c r="G236" s="7">
        <v>0</v>
      </c>
      <c r="H236" s="7">
        <v>0</v>
      </c>
      <c r="I236" s="7">
        <v>35.84115013672705</v>
      </c>
      <c r="J236" s="7">
        <v>680.9818525978139</v>
      </c>
      <c r="K236" s="7">
        <v>2561.769203147812</v>
      </c>
      <c r="L236" s="7">
        <v>4000</v>
      </c>
      <c r="M236" s="7">
        <v>-5880.787350549998</v>
      </c>
      <c r="N236" s="7">
        <v>680.9818525978139</v>
      </c>
      <c r="O236" s="7">
        <v>8580.928624281507</v>
      </c>
    </row>
    <row r="237" spans="1:15">
      <c r="A237" s="2" t="s">
        <v>222</v>
      </c>
      <c r="B237" s="7">
        <v>17</v>
      </c>
      <c r="C237" s="2" t="s">
        <v>223</v>
      </c>
      <c r="D237" s="7">
        <v>1000</v>
      </c>
      <c r="E237" s="7">
        <v>8107.7866489422</v>
      </c>
      <c r="F237" s="7">
        <v>311.2847267762905</v>
      </c>
      <c r="G237" s="7">
        <v>0</v>
      </c>
      <c r="H237" s="7">
        <v>0</v>
      </c>
      <c r="I237" s="7">
        <v>35.84115013672705</v>
      </c>
      <c r="J237" s="7">
        <v>680.9818525978139</v>
      </c>
      <c r="K237" s="7">
        <v>2623.819508207533</v>
      </c>
      <c r="L237" s="7">
        <v>4000</v>
      </c>
      <c r="M237" s="7">
        <v>-5942.837655609719</v>
      </c>
      <c r="N237" s="7">
        <v>680.9818525978139</v>
      </c>
      <c r="O237" s="7">
        <v>9405.479468007705</v>
      </c>
    </row>
    <row r="238" spans="1:15">
      <c r="A238" s="2" t="s">
        <v>222</v>
      </c>
      <c r="B238" s="7">
        <v>18</v>
      </c>
      <c r="C238" s="2" t="s">
        <v>223</v>
      </c>
      <c r="D238" s="7">
        <v>1000</v>
      </c>
      <c r="E238" s="7">
        <v>8264.750948924926</v>
      </c>
      <c r="F238" s="7">
        <v>329.7695830673667</v>
      </c>
      <c r="G238" s="7">
        <v>0</v>
      </c>
      <c r="H238" s="7">
        <v>0</v>
      </c>
      <c r="I238" s="7">
        <v>35.84115013672705</v>
      </c>
      <c r="J238" s="7">
        <v>680.9818525978139</v>
      </c>
      <c r="K238" s="7">
        <v>2680.151226347888</v>
      </c>
      <c r="L238" s="7">
        <v>4000</v>
      </c>
      <c r="M238" s="7">
        <v>-5999.169373750074</v>
      </c>
      <c r="N238" s="7">
        <v>680.9818525978139</v>
      </c>
      <c r="O238" s="7">
        <v>10246.65098454673</v>
      </c>
    </row>
    <row r="239" spans="1:15">
      <c r="A239" s="2" t="s">
        <v>222</v>
      </c>
      <c r="B239" s="7">
        <v>19</v>
      </c>
      <c r="C239" s="2" t="s">
        <v>223</v>
      </c>
      <c r="D239" s="7">
        <v>1000</v>
      </c>
      <c r="E239" s="7">
        <v>8406.018818909379</v>
      </c>
      <c r="F239" s="7">
        <v>347.3301965438891</v>
      </c>
      <c r="G239" s="7">
        <v>0</v>
      </c>
      <c r="H239" s="7">
        <v>0</v>
      </c>
      <c r="I239" s="7">
        <v>38.66650753641612</v>
      </c>
      <c r="J239" s="7">
        <v>734.6636431919063</v>
      </c>
      <c r="K239" s="7">
        <v>2734.137251481175</v>
      </c>
      <c r="L239" s="7">
        <v>4000</v>
      </c>
      <c r="M239" s="7">
        <v>-5999.473608289269</v>
      </c>
      <c r="N239" s="7">
        <v>734.6636431919063</v>
      </c>
      <c r="O239" s="7">
        <v>11102.68605088804</v>
      </c>
    </row>
    <row r="240" spans="1:15">
      <c r="A240" s="2" t="s">
        <v>222</v>
      </c>
      <c r="B240" s="7">
        <v>20</v>
      </c>
      <c r="C240" s="2" t="s">
        <v>223</v>
      </c>
      <c r="D240" s="7">
        <v>1000</v>
      </c>
      <c r="E240" s="7">
        <v>8530.617080235666</v>
      </c>
      <c r="F240" s="7">
        <v>366.6968688762899</v>
      </c>
      <c r="G240" s="7">
        <v>0</v>
      </c>
      <c r="H240" s="7">
        <v>0</v>
      </c>
      <c r="I240" s="7">
        <v>38.66650753641612</v>
      </c>
      <c r="J240" s="7">
        <v>734.6636431919063</v>
      </c>
      <c r="K240" s="7">
        <v>2781.200066045261</v>
      </c>
      <c r="L240" s="7">
        <v>4000</v>
      </c>
      <c r="M240" s="7">
        <v>-6046.536422853354</v>
      </c>
      <c r="N240" s="7">
        <v>734.6636431919063</v>
      </c>
      <c r="O240" s="7">
        <v>11972.1492769786</v>
      </c>
    </row>
    <row r="241" spans="1:15">
      <c r="A241" s="2" t="s">
        <v>222</v>
      </c>
      <c r="B241" s="7">
        <v>21</v>
      </c>
      <c r="C241" s="2" t="s">
        <v>223</v>
      </c>
      <c r="D241" s="7">
        <v>1000</v>
      </c>
      <c r="E241" s="7">
        <v>8642.755515429326</v>
      </c>
      <c r="F241" s="7">
        <v>385.0952075920707</v>
      </c>
      <c r="G241" s="7">
        <v>0</v>
      </c>
      <c r="H241" s="7">
        <v>0</v>
      </c>
      <c r="I241" s="7">
        <v>38.66650753641612</v>
      </c>
      <c r="J241" s="7">
        <v>734.6636431919063</v>
      </c>
      <c r="K241" s="7">
        <v>2824.040765961249</v>
      </c>
      <c r="L241" s="7">
        <v>4000</v>
      </c>
      <c r="M241" s="7">
        <v>-6089.377122769343</v>
      </c>
      <c r="N241" s="7">
        <v>734.6636431919063</v>
      </c>
      <c r="O241" s="7">
        <v>12853.74626352432</v>
      </c>
    </row>
    <row r="242" spans="1:15">
      <c r="A242" s="2" t="s">
        <v>222</v>
      </c>
      <c r="B242" s="7">
        <v>22</v>
      </c>
      <c r="C242" s="2" t="s">
        <v>223</v>
      </c>
      <c r="D242" s="7">
        <v>1000</v>
      </c>
      <c r="E242" s="7">
        <v>8743.680107103619</v>
      </c>
      <c r="F242" s="7">
        <v>402.5736293720625</v>
      </c>
      <c r="G242" s="7">
        <v>0</v>
      </c>
      <c r="H242" s="7">
        <v>0</v>
      </c>
      <c r="I242" s="7">
        <v>38.66650753641612</v>
      </c>
      <c r="J242" s="7">
        <v>734.6636431919063</v>
      </c>
      <c r="K242" s="7">
        <v>2863.057354353533</v>
      </c>
      <c r="L242" s="7">
        <v>4000</v>
      </c>
      <c r="M242" s="7">
        <v>-6128.393711161627</v>
      </c>
      <c r="N242" s="7">
        <v>734.6636431919063</v>
      </c>
      <c r="O242" s="7">
        <v>13746.30963032646</v>
      </c>
    </row>
    <row r="243" spans="1:15">
      <c r="A243" s="2" t="s">
        <v>222</v>
      </c>
      <c r="B243" s="7">
        <v>23</v>
      </c>
      <c r="C243" s="2" t="s">
        <v>223</v>
      </c>
      <c r="D243" s="7">
        <v>1000</v>
      </c>
      <c r="E243" s="7">
        <v>8834.512239610482</v>
      </c>
      <c r="F243" s="7">
        <v>419.1781300630547</v>
      </c>
      <c r="G243" s="7">
        <v>0</v>
      </c>
      <c r="H243" s="7">
        <v>0</v>
      </c>
      <c r="I243" s="7">
        <v>38.66650753641612</v>
      </c>
      <c r="J243" s="7">
        <v>734.6636431919063</v>
      </c>
      <c r="K243" s="7">
        <v>2898.609244451088</v>
      </c>
      <c r="L243" s="7">
        <v>4000</v>
      </c>
      <c r="M243" s="7">
        <v>-6163.945601259182</v>
      </c>
      <c r="N243" s="7">
        <v>734.6636431919063</v>
      </c>
      <c r="O243" s="7">
        <v>14648.78643541384</v>
      </c>
    </row>
    <row r="244" spans="1:15">
      <c r="A244" s="2" t="s">
        <v>222</v>
      </c>
      <c r="B244" s="7">
        <v>24</v>
      </c>
      <c r="C244" s="2" t="s">
        <v>223</v>
      </c>
      <c r="D244" s="7">
        <v>1000</v>
      </c>
      <c r="E244" s="7">
        <v>8916.261158866659</v>
      </c>
      <c r="F244" s="7">
        <v>434.9524057194973</v>
      </c>
      <c r="G244" s="7">
        <v>0</v>
      </c>
      <c r="H244" s="7">
        <v>0</v>
      </c>
      <c r="I244" s="7">
        <v>38.66650753641612</v>
      </c>
      <c r="J244" s="7">
        <v>734.6636431919063</v>
      </c>
      <c r="K244" s="7">
        <v>2931.021058056162</v>
      </c>
      <c r="L244" s="7">
        <v>4000</v>
      </c>
      <c r="M244" s="7">
        <v>-6196.357414864256</v>
      </c>
      <c r="N244" s="7">
        <v>734.6636431919063</v>
      </c>
      <c r="O244" s="7">
        <v>15560.22684620966</v>
      </c>
    </row>
    <row r="245" spans="1:15">
      <c r="A245" s="2" t="s">
        <v>222</v>
      </c>
      <c r="B245" s="7">
        <v>25</v>
      </c>
      <c r="C245" s="2" t="s">
        <v>223</v>
      </c>
      <c r="D245" s="7">
        <v>1000</v>
      </c>
      <c r="E245" s="7">
        <v>8989.835186197219</v>
      </c>
      <c r="F245" s="7">
        <v>449.9379675931176</v>
      </c>
      <c r="G245" s="7">
        <v>0</v>
      </c>
      <c r="H245" s="7">
        <v>0</v>
      </c>
      <c r="I245" s="7">
        <v>40.13798808302731</v>
      </c>
      <c r="J245" s="7">
        <v>762.6217735775189</v>
      </c>
      <c r="K245" s="7">
        <v>2962.057527738752</v>
      </c>
      <c r="L245" s="7">
        <v>4000</v>
      </c>
      <c r="M245" s="7">
        <v>-6199.435754161233</v>
      </c>
      <c r="N245" s="7">
        <v>762.6217735775189</v>
      </c>
      <c r="O245" s="7">
        <v>16479.70036380488</v>
      </c>
    </row>
    <row r="246" spans="1:15">
      <c r="A246" s="2" t="s">
        <v>222</v>
      </c>
      <c r="B246" s="7">
        <v>26</v>
      </c>
      <c r="C246" s="2" t="s">
        <v>223</v>
      </c>
      <c r="D246" s="7">
        <v>1000</v>
      </c>
      <c r="E246" s="7">
        <v>9054.727478302773</v>
      </c>
      <c r="F246" s="7">
        <v>465.5721578923377</v>
      </c>
      <c r="G246" s="7">
        <v>0</v>
      </c>
      <c r="H246" s="7">
        <v>0</v>
      </c>
      <c r="I246" s="7">
        <v>40.13798808302731</v>
      </c>
      <c r="J246" s="7">
        <v>762.6217735775189</v>
      </c>
      <c r="K246" s="7">
        <v>2989.342310520028</v>
      </c>
      <c r="L246" s="7">
        <v>4000</v>
      </c>
      <c r="M246" s="7">
        <v>-6226.720536942509</v>
      </c>
      <c r="N246" s="7">
        <v>762.6217735775189</v>
      </c>
      <c r="O246" s="7">
        <v>17406.44482012563</v>
      </c>
    </row>
    <row r="247" spans="1:15">
      <c r="A247" s="2" t="s">
        <v>222</v>
      </c>
      <c r="B247" s="7">
        <v>27</v>
      </c>
      <c r="C247" s="2" t="s">
        <v>223</v>
      </c>
      <c r="D247" s="7">
        <v>1000</v>
      </c>
      <c r="E247" s="7">
        <v>9113.130541197772</v>
      </c>
      <c r="F247" s="7">
        <v>480.4246386765967</v>
      </c>
      <c r="G247" s="7">
        <v>0</v>
      </c>
      <c r="H247" s="7">
        <v>0</v>
      </c>
      <c r="I247" s="7">
        <v>40.13798808302731</v>
      </c>
      <c r="J247" s="7">
        <v>762.6217735775189</v>
      </c>
      <c r="K247" s="7">
        <v>3014.289469780657</v>
      </c>
      <c r="L247" s="7">
        <v>4000</v>
      </c>
      <c r="M247" s="7">
        <v>-6251.667696203138</v>
      </c>
      <c r="N247" s="7">
        <v>762.6217735775189</v>
      </c>
      <c r="O247" s="7">
        <v>18339.77220677508</v>
      </c>
    </row>
    <row r="248" spans="1:15">
      <c r="A248" s="2" t="s">
        <v>222</v>
      </c>
      <c r="B248" s="7">
        <v>28</v>
      </c>
      <c r="C248" s="2" t="s">
        <v>223</v>
      </c>
      <c r="D248" s="7">
        <v>1000</v>
      </c>
      <c r="E248" s="7">
        <v>9165.693297803271</v>
      </c>
      <c r="F248" s="7">
        <v>494.5344954216428</v>
      </c>
      <c r="G248" s="7">
        <v>0</v>
      </c>
      <c r="H248" s="7">
        <v>0</v>
      </c>
      <c r="I248" s="7">
        <v>40.13798808302731</v>
      </c>
      <c r="J248" s="7">
        <v>762.6217735775189</v>
      </c>
      <c r="K248" s="7">
        <v>3037.11322513483</v>
      </c>
      <c r="L248" s="7">
        <v>4000</v>
      </c>
      <c r="M248" s="7">
        <v>-6274.491451557311</v>
      </c>
      <c r="N248" s="7">
        <v>762.6217735775189</v>
      </c>
      <c r="O248" s="7">
        <v>19279.06136192234</v>
      </c>
    </row>
    <row r="249" spans="1:15">
      <c r="A249" s="2" t="s">
        <v>222</v>
      </c>
      <c r="B249" s="7">
        <v>29</v>
      </c>
      <c r="C249" s="2" t="s">
        <v>223</v>
      </c>
      <c r="D249" s="7">
        <v>1000</v>
      </c>
      <c r="E249" s="7">
        <v>9212.999778748219</v>
      </c>
      <c r="F249" s="7">
        <v>507.9388593294365</v>
      </c>
      <c r="G249" s="7">
        <v>0</v>
      </c>
      <c r="H249" s="7">
        <v>0</v>
      </c>
      <c r="I249" s="7">
        <v>40.13798808302731</v>
      </c>
      <c r="J249" s="7">
        <v>762.6217735775189</v>
      </c>
      <c r="K249" s="7">
        <v>3058.007351372211</v>
      </c>
      <c r="L249" s="7">
        <v>4000</v>
      </c>
      <c r="M249" s="7">
        <v>-6295.385577794692</v>
      </c>
      <c r="N249" s="7">
        <v>762.6217735775189</v>
      </c>
      <c r="O249" s="7">
        <v>20223.75138335948</v>
      </c>
    </row>
    <row r="250" spans="1:15">
      <c r="A250" s="2" t="s">
        <v>222</v>
      </c>
      <c r="B250" s="7">
        <v>30</v>
      </c>
      <c r="C250" s="2" t="s">
        <v>223</v>
      </c>
      <c r="D250" s="7">
        <v>1000</v>
      </c>
      <c r="E250" s="7">
        <v>9255.575611598671</v>
      </c>
      <c r="F250" s="7">
        <v>520.6730050418407</v>
      </c>
      <c r="G250" s="7">
        <v>0</v>
      </c>
      <c r="H250" s="7">
        <v>0</v>
      </c>
      <c r="I250" s="7">
        <v>40.13798808302731</v>
      </c>
      <c r="J250" s="7">
        <v>762.6217735775189</v>
      </c>
      <c r="K250" s="7">
        <v>3077.147174083549</v>
      </c>
      <c r="L250" s="7">
        <v>4000</v>
      </c>
      <c r="M250" s="7">
        <v>-6314.525400506031</v>
      </c>
      <c r="N250" s="7">
        <v>762.6217735775189</v>
      </c>
      <c r="O250" s="7">
        <v>21173.33569536729</v>
      </c>
    </row>
    <row r="251" spans="1:15">
      <c r="A251" s="2" t="s">
        <v>222</v>
      </c>
      <c r="B251" s="7">
        <v>31</v>
      </c>
      <c r="C251" s="2" t="s">
        <v>223</v>
      </c>
      <c r="D251" s="7">
        <v>1000</v>
      </c>
      <c r="E251" s="7">
        <v>9293.893861164081</v>
      </c>
      <c r="F251" s="7">
        <v>532.7704434686245</v>
      </c>
      <c r="G251" s="7">
        <v>0</v>
      </c>
      <c r="H251" s="7">
        <v>0</v>
      </c>
      <c r="I251" s="7">
        <v>40.90435307433548</v>
      </c>
      <c r="J251" s="7">
        <v>777.1827084123739</v>
      </c>
      <c r="K251" s="7">
        <v>3095.457733157872</v>
      </c>
      <c r="L251" s="7">
        <v>4000</v>
      </c>
      <c r="M251" s="7">
        <v>-6318.275024745499</v>
      </c>
      <c r="N251" s="7">
        <v>777.1827084123739</v>
      </c>
      <c r="O251" s="7">
        <v>22127.31838600341</v>
      </c>
    </row>
    <row r="252" spans="1:15">
      <c r="A252" s="2" t="s">
        <v>222</v>
      </c>
      <c r="B252" s="7">
        <v>32</v>
      </c>
      <c r="C252" s="2" t="s">
        <v>223</v>
      </c>
      <c r="D252" s="7">
        <v>1000</v>
      </c>
      <c r="E252" s="7">
        <v>9327.69055728077</v>
      </c>
      <c r="F252" s="7">
        <v>544.9910567158121</v>
      </c>
      <c r="G252" s="7">
        <v>0</v>
      </c>
      <c r="H252" s="7">
        <v>0</v>
      </c>
      <c r="I252" s="7">
        <v>40.90435307433548</v>
      </c>
      <c r="J252" s="7">
        <v>777.1827084123739</v>
      </c>
      <c r="K252" s="7">
        <v>3111.707048616473</v>
      </c>
      <c r="L252" s="7">
        <v>4000</v>
      </c>
      <c r="M252" s="7">
        <v>-6334.524340204099</v>
      </c>
      <c r="N252" s="7">
        <v>777.1827084123739</v>
      </c>
      <c r="O252" s="7">
        <v>23085.29177691356</v>
      </c>
    </row>
    <row r="253" spans="1:15">
      <c r="A253" s="2" t="s">
        <v>222</v>
      </c>
      <c r="B253" s="7">
        <v>33</v>
      </c>
      <c r="C253" s="2" t="s">
        <v>223</v>
      </c>
      <c r="D253" s="7">
        <v>1000</v>
      </c>
      <c r="E253" s="7">
        <v>9358.107583785792</v>
      </c>
      <c r="F253" s="7">
        <v>556.6006393006401</v>
      </c>
      <c r="G253" s="7">
        <v>0</v>
      </c>
      <c r="H253" s="7">
        <v>0</v>
      </c>
      <c r="I253" s="7">
        <v>40.90435307433548</v>
      </c>
      <c r="J253" s="7">
        <v>777.1827084123739</v>
      </c>
      <c r="K253" s="7">
        <v>3126.636947860393</v>
      </c>
      <c r="L253" s="7">
        <v>4000</v>
      </c>
      <c r="M253" s="7">
        <v>-6349.45423944802</v>
      </c>
      <c r="N253" s="7">
        <v>777.1827084123739</v>
      </c>
      <c r="O253" s="7">
        <v>24046.88734960346</v>
      </c>
    </row>
    <row r="254" spans="1:15">
      <c r="A254" s="2" t="s">
        <v>222</v>
      </c>
      <c r="B254" s="7">
        <v>34</v>
      </c>
      <c r="C254" s="2" t="s">
        <v>223</v>
      </c>
      <c r="D254" s="7">
        <v>1000</v>
      </c>
      <c r="E254" s="7">
        <v>9385.482907640311</v>
      </c>
      <c r="F254" s="7">
        <v>567.6297427562267</v>
      </c>
      <c r="G254" s="7">
        <v>0</v>
      </c>
      <c r="H254" s="7">
        <v>0</v>
      </c>
      <c r="I254" s="7">
        <v>40.90435307433548</v>
      </c>
      <c r="J254" s="7">
        <v>777.1827084123739</v>
      </c>
      <c r="K254" s="7">
        <v>3140.364096744542</v>
      </c>
      <c r="L254" s="7">
        <v>4000</v>
      </c>
      <c r="M254" s="7">
        <v>-6363.181388332168</v>
      </c>
      <c r="N254" s="7">
        <v>777.1827084123739</v>
      </c>
      <c r="O254" s="7">
        <v>25011.77190985158</v>
      </c>
    </row>
    <row r="255" spans="1:15">
      <c r="A255" s="2" t="s">
        <v>222</v>
      </c>
      <c r="B255" s="7">
        <v>35</v>
      </c>
      <c r="C255" s="2" t="s">
        <v>223</v>
      </c>
      <c r="D255" s="7">
        <v>1000</v>
      </c>
      <c r="E255" s="7">
        <v>9410.120699109379</v>
      </c>
      <c r="F255" s="7">
        <v>578.107391039034</v>
      </c>
      <c r="G255" s="7">
        <v>0</v>
      </c>
      <c r="H255" s="7">
        <v>0</v>
      </c>
      <c r="I255" s="7">
        <v>40.90435307433548</v>
      </c>
      <c r="J255" s="7">
        <v>777.1827084123739</v>
      </c>
      <c r="K255" s="7">
        <v>3152.994258326666</v>
      </c>
      <c r="L255" s="7">
        <v>4000</v>
      </c>
      <c r="M255" s="7">
        <v>-6375.811549914292</v>
      </c>
      <c r="N255" s="7">
        <v>777.1827084123739</v>
      </c>
      <c r="O255" s="7">
        <v>25979.64413166075</v>
      </c>
    </row>
    <row r="256" spans="1:15">
      <c r="A256" s="2" t="s">
        <v>222</v>
      </c>
      <c r="B256" s="7">
        <v>36</v>
      </c>
      <c r="C256" s="2" t="s">
        <v>223</v>
      </c>
      <c r="D256" s="7">
        <v>1000</v>
      </c>
      <c r="E256" s="7">
        <v>9432.294711431538</v>
      </c>
      <c r="F256" s="7">
        <v>588.061156907701</v>
      </c>
      <c r="G256" s="7">
        <v>0</v>
      </c>
      <c r="H256" s="7">
        <v>0</v>
      </c>
      <c r="I256" s="7">
        <v>40.90435307433548</v>
      </c>
      <c r="J256" s="7">
        <v>777.1827084123739</v>
      </c>
      <c r="K256" s="7">
        <v>3164.623344957647</v>
      </c>
      <c r="L256" s="7">
        <v>4000</v>
      </c>
      <c r="M256" s="7">
        <v>-6387.440636545273</v>
      </c>
      <c r="N256" s="7">
        <v>777.1827084123739</v>
      </c>
      <c r="O256" s="7">
        <v>26950.23144299557</v>
      </c>
    </row>
    <row r="257" spans="1:15">
      <c r="A257" s="2" t="s">
        <v>224</v>
      </c>
      <c r="B257" s="7">
        <v>1</v>
      </c>
      <c r="C257" s="2" t="s">
        <v>225</v>
      </c>
      <c r="D257" s="7">
        <v>1000</v>
      </c>
      <c r="E257" s="7">
        <v>1000</v>
      </c>
      <c r="F257" s="7">
        <v>0</v>
      </c>
      <c r="G257" s="7">
        <v>0</v>
      </c>
      <c r="H257" s="7">
        <v>0</v>
      </c>
      <c r="I257" s="7">
        <v>20</v>
      </c>
      <c r="J257" s="7">
        <v>830</v>
      </c>
      <c r="K257" s="7">
        <v>395</v>
      </c>
      <c r="L257" s="7">
        <v>4000</v>
      </c>
      <c r="M257" s="7">
        <v>-3565</v>
      </c>
      <c r="N257" s="7">
        <v>830</v>
      </c>
      <c r="O257" s="7">
        <v>99</v>
      </c>
    </row>
    <row r="258" spans="1:15">
      <c r="A258" s="2" t="s">
        <v>224</v>
      </c>
      <c r="B258" s="7">
        <v>2</v>
      </c>
      <c r="C258" s="2" t="s">
        <v>225</v>
      </c>
      <c r="D258" s="7">
        <v>1000</v>
      </c>
      <c r="E258" s="7">
        <v>1882</v>
      </c>
      <c r="F258" s="7">
        <v>19</v>
      </c>
      <c r="G258" s="7">
        <v>0</v>
      </c>
      <c r="H258" s="7">
        <v>0</v>
      </c>
      <c r="I258" s="7">
        <v>20</v>
      </c>
      <c r="J258" s="7">
        <v>1257.5</v>
      </c>
      <c r="K258" s="7">
        <v>740.35</v>
      </c>
      <c r="L258" s="7">
        <v>4000</v>
      </c>
      <c r="M258" s="7">
        <v>-3482.85</v>
      </c>
      <c r="N258" s="7">
        <v>1257.5</v>
      </c>
      <c r="O258" s="7">
        <v>287.1499999999999</v>
      </c>
    </row>
    <row r="259" spans="1:15">
      <c r="A259" s="2" t="s">
        <v>224</v>
      </c>
      <c r="B259" s="7">
        <v>3</v>
      </c>
      <c r="C259" s="2" t="s">
        <v>225</v>
      </c>
      <c r="D259" s="7">
        <v>1000</v>
      </c>
      <c r="E259" s="7">
        <v>2675.8</v>
      </c>
      <c r="F259" s="7">
        <v>37.05</v>
      </c>
      <c r="G259" s="7">
        <v>0</v>
      </c>
      <c r="H259" s="7">
        <v>0</v>
      </c>
      <c r="I259" s="7">
        <v>20</v>
      </c>
      <c r="J259" s="7">
        <v>1663.625</v>
      </c>
      <c r="K259" s="7">
        <v>1055.2025</v>
      </c>
      <c r="L259" s="7">
        <v>4000</v>
      </c>
      <c r="M259" s="7">
        <v>-3391.5775</v>
      </c>
      <c r="N259" s="7">
        <v>1663.625</v>
      </c>
      <c r="O259" s="7">
        <v>555.5824999999998</v>
      </c>
    </row>
    <row r="260" spans="1:15">
      <c r="A260" s="2" t="s">
        <v>224</v>
      </c>
      <c r="B260" s="7">
        <v>4</v>
      </c>
      <c r="C260" s="2" t="s">
        <v>225</v>
      </c>
      <c r="D260" s="7">
        <v>1000</v>
      </c>
      <c r="E260" s="7">
        <v>3390.22</v>
      </c>
      <c r="F260" s="7">
        <v>54.19750000000001</v>
      </c>
      <c r="G260" s="7">
        <v>0</v>
      </c>
      <c r="H260" s="7">
        <v>0</v>
      </c>
      <c r="I260" s="7">
        <v>20</v>
      </c>
      <c r="J260" s="7">
        <v>2049.44375</v>
      </c>
      <c r="K260" s="7">
        <v>1342.405375</v>
      </c>
      <c r="L260" s="7">
        <v>4000</v>
      </c>
      <c r="M260" s="7">
        <v>-3292.961625</v>
      </c>
      <c r="N260" s="7">
        <v>2049.44375</v>
      </c>
      <c r="O260" s="7">
        <v>896.3143749999997</v>
      </c>
    </row>
    <row r="261" spans="1:15">
      <c r="A261" s="2" t="s">
        <v>224</v>
      </c>
      <c r="B261" s="7">
        <v>5</v>
      </c>
      <c r="C261" s="2" t="s">
        <v>225</v>
      </c>
      <c r="D261" s="7">
        <v>1000</v>
      </c>
      <c r="E261" s="7">
        <v>4033.198</v>
      </c>
      <c r="F261" s="7">
        <v>70.48762499999999</v>
      </c>
      <c r="G261" s="7">
        <v>0</v>
      </c>
      <c r="H261" s="7">
        <v>0</v>
      </c>
      <c r="I261" s="7">
        <v>20</v>
      </c>
      <c r="J261" s="7">
        <v>2415.9715625</v>
      </c>
      <c r="K261" s="7">
        <v>1604.53180625</v>
      </c>
      <c r="L261" s="7">
        <v>4000</v>
      </c>
      <c r="M261" s="7">
        <v>-3188.56024375</v>
      </c>
      <c r="N261" s="7">
        <v>2415.9715625</v>
      </c>
      <c r="O261" s="7">
        <v>1302.158556249999</v>
      </c>
    </row>
    <row r="262" spans="1:15">
      <c r="A262" s="2" t="s">
        <v>224</v>
      </c>
      <c r="B262" s="7">
        <v>6</v>
      </c>
      <c r="C262" s="2" t="s">
        <v>225</v>
      </c>
      <c r="D262" s="7">
        <v>1000</v>
      </c>
      <c r="E262" s="7">
        <v>4611.878200000001</v>
      </c>
      <c r="F262" s="7">
        <v>85.96324375</v>
      </c>
      <c r="G262" s="7">
        <v>0</v>
      </c>
      <c r="H262" s="7">
        <v>0</v>
      </c>
      <c r="I262" s="7">
        <v>20</v>
      </c>
      <c r="J262" s="7">
        <v>2764.172984375</v>
      </c>
      <c r="K262" s="7">
        <v>1843.9072459375</v>
      </c>
      <c r="L262" s="7">
        <v>4000</v>
      </c>
      <c r="M262" s="7">
        <v>-3079.7342615625</v>
      </c>
      <c r="N262" s="7">
        <v>2764.172984375</v>
      </c>
      <c r="O262" s="7">
        <v>1766.644538437499</v>
      </c>
    </row>
    <row r="263" spans="1:15">
      <c r="A263" s="2" t="s">
        <v>224</v>
      </c>
      <c r="B263" s="7">
        <v>7</v>
      </c>
      <c r="C263" s="2" t="s">
        <v>225</v>
      </c>
      <c r="D263" s="7">
        <v>1000</v>
      </c>
      <c r="E263" s="7">
        <v>5132.69038</v>
      </c>
      <c r="F263" s="7">
        <v>100.6650815625</v>
      </c>
      <c r="G263" s="7">
        <v>0</v>
      </c>
      <c r="H263" s="7">
        <v>0</v>
      </c>
      <c r="I263" s="7">
        <v>30.4162436</v>
      </c>
      <c r="J263" s="7">
        <v>3292.87296355625</v>
      </c>
      <c r="K263" s="7">
        <v>2073.049954240625</v>
      </c>
      <c r="L263" s="7">
        <v>4000</v>
      </c>
      <c r="M263" s="7">
        <v>-2780.176990684375</v>
      </c>
      <c r="N263" s="7">
        <v>3292.87296355625</v>
      </c>
      <c r="O263" s="7">
        <v>2283.426018335625</v>
      </c>
    </row>
    <row r="264" spans="1:15">
      <c r="A264" s="2" t="s">
        <v>224</v>
      </c>
      <c r="B264" s="7">
        <v>8</v>
      </c>
      <c r="C264" s="2" t="s">
        <v>225</v>
      </c>
      <c r="D264" s="7">
        <v>1000</v>
      </c>
      <c r="E264" s="7">
        <v>5592.04672276</v>
      </c>
      <c r="F264" s="7">
        <v>124.527258904375</v>
      </c>
      <c r="G264" s="7">
        <v>0</v>
      </c>
      <c r="H264" s="7">
        <v>0</v>
      </c>
      <c r="I264" s="7">
        <v>30.4162436</v>
      </c>
      <c r="J264" s="7">
        <v>3607.124746798437</v>
      </c>
      <c r="K264" s="7">
        <v>2275.163242946594</v>
      </c>
      <c r="L264" s="7">
        <v>4000</v>
      </c>
      <c r="M264" s="7">
        <v>-2668.038496148156</v>
      </c>
      <c r="N264" s="7">
        <v>3607.124746798437</v>
      </c>
      <c r="O264" s="7">
        <v>2847.336241376843</v>
      </c>
    </row>
    <row r="265" spans="1:15">
      <c r="A265" s="2" t="s">
        <v>224</v>
      </c>
      <c r="B265" s="7">
        <v>9</v>
      </c>
      <c r="C265" s="2" t="s">
        <v>225</v>
      </c>
      <c r="D265" s="7">
        <v>1000</v>
      </c>
      <c r="E265" s="7">
        <v>6005.467431244</v>
      </c>
      <c r="F265" s="7">
        <v>147.1963273791563</v>
      </c>
      <c r="G265" s="7">
        <v>0</v>
      </c>
      <c r="H265" s="7">
        <v>0</v>
      </c>
      <c r="I265" s="7">
        <v>30.4162436</v>
      </c>
      <c r="J265" s="7">
        <v>3905.663940878515</v>
      </c>
      <c r="K265" s="7">
        <v>2460.280522075864</v>
      </c>
      <c r="L265" s="7">
        <v>4000</v>
      </c>
      <c r="M265" s="7">
        <v>-2554.616581197349</v>
      </c>
      <c r="N265" s="7">
        <v>3905.663940878515</v>
      </c>
      <c r="O265" s="7">
        <v>3453.721988690201</v>
      </c>
    </row>
    <row r="266" spans="1:15">
      <c r="A266" s="2" t="s">
        <v>224</v>
      </c>
      <c r="B266" s="7">
        <v>10</v>
      </c>
      <c r="C266" s="2" t="s">
        <v>225</v>
      </c>
      <c r="D266" s="7">
        <v>1000</v>
      </c>
      <c r="E266" s="7">
        <v>6377.5460688796</v>
      </c>
      <c r="F266" s="7">
        <v>168.7319424301984</v>
      </c>
      <c r="G266" s="7">
        <v>0</v>
      </c>
      <c r="H266" s="7">
        <v>0</v>
      </c>
      <c r="I266" s="7">
        <v>30.4162436</v>
      </c>
      <c r="J266" s="7">
        <v>4189.276175254588</v>
      </c>
      <c r="K266" s="7">
        <v>2629.940626621411</v>
      </c>
      <c r="L266" s="7">
        <v>4000</v>
      </c>
      <c r="M266" s="7">
        <v>-2440.664451366822</v>
      </c>
      <c r="N266" s="7">
        <v>4189.276175254588</v>
      </c>
      <c r="O266" s="7">
        <v>4098.39238051967</v>
      </c>
    </row>
    <row r="267" spans="1:15">
      <c r="A267" s="2" t="s">
        <v>224</v>
      </c>
      <c r="B267" s="7">
        <v>11</v>
      </c>
      <c r="C267" s="2" t="s">
        <v>225</v>
      </c>
      <c r="D267" s="7">
        <v>1000</v>
      </c>
      <c r="E267" s="7">
        <v>6712.416842751641</v>
      </c>
      <c r="F267" s="7">
        <v>189.1907767286885</v>
      </c>
      <c r="G267" s="7">
        <v>0</v>
      </c>
      <c r="H267" s="7">
        <v>0</v>
      </c>
      <c r="I267" s="7">
        <v>30.4162436</v>
      </c>
      <c r="J267" s="7">
        <v>4458.70779791186</v>
      </c>
      <c r="K267" s="7">
        <v>2785.536546375146</v>
      </c>
      <c r="L267" s="7">
        <v>4000</v>
      </c>
      <c r="M267" s="7">
        <v>-2326.828748463286</v>
      </c>
      <c r="N267" s="7">
        <v>4458.70779791186</v>
      </c>
      <c r="O267" s="7">
        <v>4777.572791451268</v>
      </c>
    </row>
    <row r="268" spans="1:15">
      <c r="A268" s="2" t="s">
        <v>224</v>
      </c>
      <c r="B268" s="7">
        <v>12</v>
      </c>
      <c r="C268" s="2" t="s">
        <v>225</v>
      </c>
      <c r="D268" s="7">
        <v>1000</v>
      </c>
      <c r="E268" s="7">
        <v>7013.800539236477</v>
      </c>
      <c r="F268" s="7">
        <v>208.6266693122541</v>
      </c>
      <c r="G268" s="7">
        <v>0</v>
      </c>
      <c r="H268" s="7">
        <v>0</v>
      </c>
      <c r="I268" s="7">
        <v>30.4162436</v>
      </c>
      <c r="J268" s="7">
        <v>4714.667839436266</v>
      </c>
      <c r="K268" s="7">
        <v>2928.329608533115</v>
      </c>
      <c r="L268" s="7">
        <v>4000</v>
      </c>
      <c r="M268" s="7">
        <v>-2213.661769096849</v>
      </c>
      <c r="N268" s="7">
        <v>4714.667839436266</v>
      </c>
      <c r="O268" s="7">
        <v>5487.863366660527</v>
      </c>
    </row>
    <row r="269" spans="1:15">
      <c r="A269" s="2" t="s">
        <v>224</v>
      </c>
      <c r="B269" s="7">
        <v>13</v>
      </c>
      <c r="C269" s="2" t="s">
        <v>225</v>
      </c>
      <c r="D269" s="7">
        <v>1000</v>
      </c>
      <c r="E269" s="7">
        <v>7285.04586607283</v>
      </c>
      <c r="F269" s="7">
        <v>227.0907672666414</v>
      </c>
      <c r="G269" s="7">
        <v>0</v>
      </c>
      <c r="H269" s="7">
        <v>0</v>
      </c>
      <c r="I269" s="7">
        <v>35.84115013672705</v>
      </c>
      <c r="J269" s="7">
        <v>5060.903103082266</v>
      </c>
      <c r="K269" s="7">
        <v>3064.887168672639</v>
      </c>
      <c r="L269" s="7">
        <v>4000</v>
      </c>
      <c r="M269" s="7">
        <v>-2003.984065590373</v>
      </c>
      <c r="N269" s="7">
        <v>5060.903103082266</v>
      </c>
      <c r="O269" s="7">
        <v>6225.930434124306</v>
      </c>
    </row>
    <row r="270" spans="1:15">
      <c r="A270" s="2" t="s">
        <v>224</v>
      </c>
      <c r="B270" s="7">
        <v>14</v>
      </c>
      <c r="C270" s="2" t="s">
        <v>225</v>
      </c>
      <c r="D270" s="7">
        <v>1000</v>
      </c>
      <c r="E270" s="7">
        <v>7524.284244342492</v>
      </c>
      <c r="F270" s="7">
        <v>249.7853215332</v>
      </c>
      <c r="G270" s="7">
        <v>0</v>
      </c>
      <c r="H270" s="7">
        <v>0</v>
      </c>
      <c r="I270" s="7">
        <v>35.84115013672705</v>
      </c>
      <c r="J270" s="7">
        <v>5291.907040558044</v>
      </c>
      <c r="K270" s="7">
        <v>3186.50661553278</v>
      </c>
      <c r="L270" s="7">
        <v>4000</v>
      </c>
      <c r="M270" s="7">
        <v>-1894.599574974735</v>
      </c>
      <c r="N270" s="7">
        <v>5291.907040558044</v>
      </c>
      <c r="O270" s="7">
        <v>6989.056067128378</v>
      </c>
    </row>
    <row r="271" spans="1:15">
      <c r="A271" s="2" t="s">
        <v>224</v>
      </c>
      <c r="B271" s="7">
        <v>15</v>
      </c>
      <c r="C271" s="2" t="s">
        <v>225</v>
      </c>
      <c r="D271" s="7">
        <v>1000</v>
      </c>
      <c r="E271" s="7">
        <v>7739.598784785189</v>
      </c>
      <c r="F271" s="7">
        <v>271.3451480864307</v>
      </c>
      <c r="G271" s="7">
        <v>0</v>
      </c>
      <c r="H271" s="7">
        <v>0</v>
      </c>
      <c r="I271" s="7">
        <v>35.84115013672705</v>
      </c>
      <c r="J271" s="7">
        <v>5511.360781160032</v>
      </c>
      <c r="K271" s="7">
        <v>3298.456514375869</v>
      </c>
      <c r="L271" s="7">
        <v>4000</v>
      </c>
      <c r="M271" s="7">
        <v>-1787.095733215837</v>
      </c>
      <c r="N271" s="7">
        <v>5511.360781160032</v>
      </c>
      <c r="O271" s="7">
        <v>7774.791145504383</v>
      </c>
    </row>
    <row r="272" spans="1:15">
      <c r="A272" s="2" t="s">
        <v>224</v>
      </c>
      <c r="B272" s="7">
        <v>16</v>
      </c>
      <c r="C272" s="2" t="s">
        <v>225</v>
      </c>
      <c r="D272" s="7">
        <v>1000</v>
      </c>
      <c r="E272" s="7">
        <v>7933.381871183617</v>
      </c>
      <c r="F272" s="7">
        <v>291.8269833119999</v>
      </c>
      <c r="G272" s="7">
        <v>0</v>
      </c>
      <c r="H272" s="7">
        <v>0</v>
      </c>
      <c r="I272" s="7">
        <v>35.84115013672705</v>
      </c>
      <c r="J272" s="7">
        <v>5719.841834731922</v>
      </c>
      <c r="K272" s="7">
        <v>3401.579200170163</v>
      </c>
      <c r="L272" s="7">
        <v>4000</v>
      </c>
      <c r="M272" s="7">
        <v>-1681.737365438241</v>
      </c>
      <c r="N272" s="7">
        <v>5719.841834731922</v>
      </c>
      <c r="O272" s="7">
        <v>8580.928624281507</v>
      </c>
    </row>
    <row r="273" spans="1:15">
      <c r="A273" s="2" t="s">
        <v>224</v>
      </c>
      <c r="B273" s="7">
        <v>17</v>
      </c>
      <c r="C273" s="2" t="s">
        <v>225</v>
      </c>
      <c r="D273" s="7">
        <v>1000</v>
      </c>
      <c r="E273" s="7">
        <v>8107.7866489422</v>
      </c>
      <c r="F273" s="7">
        <v>311.2847267762905</v>
      </c>
      <c r="G273" s="7">
        <v>0</v>
      </c>
      <c r="H273" s="7">
        <v>0</v>
      </c>
      <c r="I273" s="7">
        <v>35.84115013672705</v>
      </c>
      <c r="J273" s="7">
        <v>5917.898835625216</v>
      </c>
      <c r="K273" s="7">
        <v>3496.639005378766</v>
      </c>
      <c r="L273" s="7">
        <v>4000</v>
      </c>
      <c r="M273" s="7">
        <v>-1578.740169753551</v>
      </c>
      <c r="N273" s="7">
        <v>5917.898835625216</v>
      </c>
      <c r="O273" s="7">
        <v>9405.479468007705</v>
      </c>
    </row>
    <row r="274" spans="1:15">
      <c r="A274" s="2" t="s">
        <v>224</v>
      </c>
      <c r="B274" s="7">
        <v>18</v>
      </c>
      <c r="C274" s="2" t="s">
        <v>225</v>
      </c>
      <c r="D274" s="7">
        <v>1000</v>
      </c>
      <c r="E274" s="7">
        <v>8264.750948924926</v>
      </c>
      <c r="F274" s="7">
        <v>329.7695830673667</v>
      </c>
      <c r="G274" s="7">
        <v>0</v>
      </c>
      <c r="H274" s="7">
        <v>0</v>
      </c>
      <c r="I274" s="7">
        <v>35.84115013672705</v>
      </c>
      <c r="J274" s="7">
        <v>6106.052986473846</v>
      </c>
      <c r="K274" s="7">
        <v>3584.32974866056</v>
      </c>
      <c r="L274" s="7">
        <v>4000</v>
      </c>
      <c r="M274" s="7">
        <v>-1478.276762186714</v>
      </c>
      <c r="N274" s="7">
        <v>6106.052986473846</v>
      </c>
      <c r="O274" s="7">
        <v>10246.65098454673</v>
      </c>
    </row>
    <row r="275" spans="1:15">
      <c r="A275" s="2" t="s">
        <v>224</v>
      </c>
      <c r="B275" s="7">
        <v>19</v>
      </c>
      <c r="C275" s="2" t="s">
        <v>225</v>
      </c>
      <c r="D275" s="7">
        <v>1000</v>
      </c>
      <c r="E275" s="7">
        <v>8406.018818909379</v>
      </c>
      <c r="F275" s="7">
        <v>347.3301965438891</v>
      </c>
      <c r="G275" s="7">
        <v>0</v>
      </c>
      <c r="H275" s="7">
        <v>0</v>
      </c>
      <c r="I275" s="7">
        <v>38.66650753641612</v>
      </c>
      <c r="J275" s="7">
        <v>6338.481220374136</v>
      </c>
      <c r="K275" s="7">
        <v>3668.106847678213</v>
      </c>
      <c r="L275" s="7">
        <v>4000</v>
      </c>
      <c r="M275" s="7">
        <v>-1329.625627304077</v>
      </c>
      <c r="N275" s="7">
        <v>6338.481220374136</v>
      </c>
      <c r="O275" s="7">
        <v>11102.68605088804</v>
      </c>
    </row>
    <row r="276" spans="1:15">
      <c r="A276" s="2" t="s">
        <v>224</v>
      </c>
      <c r="B276" s="7">
        <v>20</v>
      </c>
      <c r="C276" s="2" t="s">
        <v>225</v>
      </c>
      <c r="D276" s="7">
        <v>1000</v>
      </c>
      <c r="E276" s="7">
        <v>8530.617080235666</v>
      </c>
      <c r="F276" s="7">
        <v>366.6968688762899</v>
      </c>
      <c r="G276" s="7">
        <v>0</v>
      </c>
      <c r="H276" s="7">
        <v>0</v>
      </c>
      <c r="I276" s="7">
        <v>38.66650753641612</v>
      </c>
      <c r="J276" s="7">
        <v>6508.290341515024</v>
      </c>
      <c r="K276" s="7">
        <v>3743.471182432447</v>
      </c>
      <c r="L276" s="7">
        <v>4000</v>
      </c>
      <c r="M276" s="7">
        <v>-1235.180840917423</v>
      </c>
      <c r="N276" s="7">
        <v>6508.290341515024</v>
      </c>
      <c r="O276" s="7">
        <v>11972.1492769786</v>
      </c>
    </row>
    <row r="277" spans="1:15">
      <c r="A277" s="2" t="s">
        <v>224</v>
      </c>
      <c r="B277" s="7">
        <v>21</v>
      </c>
      <c r="C277" s="2" t="s">
        <v>225</v>
      </c>
      <c r="D277" s="7">
        <v>1000</v>
      </c>
      <c r="E277" s="7">
        <v>8642.755515429326</v>
      </c>
      <c r="F277" s="7">
        <v>385.0952075920707</v>
      </c>
      <c r="G277" s="7">
        <v>0</v>
      </c>
      <c r="H277" s="7">
        <v>0</v>
      </c>
      <c r="I277" s="7">
        <v>38.66650753641612</v>
      </c>
      <c r="J277" s="7">
        <v>6669.609006598867</v>
      </c>
      <c r="K277" s="7">
        <v>3813.198326529076</v>
      </c>
      <c r="L277" s="7">
        <v>4000</v>
      </c>
      <c r="M277" s="7">
        <v>-1143.589319930209</v>
      </c>
      <c r="N277" s="7">
        <v>6669.609006598867</v>
      </c>
      <c r="O277" s="7">
        <v>12853.74626352432</v>
      </c>
    </row>
    <row r="278" spans="1:15">
      <c r="A278" s="2" t="s">
        <v>224</v>
      </c>
      <c r="B278" s="7">
        <v>22</v>
      </c>
      <c r="C278" s="2" t="s">
        <v>225</v>
      </c>
      <c r="D278" s="7">
        <v>1000</v>
      </c>
      <c r="E278" s="7">
        <v>8743.680107103619</v>
      </c>
      <c r="F278" s="7">
        <v>402.5736293720625</v>
      </c>
      <c r="G278" s="7">
        <v>0</v>
      </c>
      <c r="H278" s="7">
        <v>0</v>
      </c>
      <c r="I278" s="7">
        <v>38.66650753641612</v>
      </c>
      <c r="J278" s="7">
        <v>6822.86173842852</v>
      </c>
      <c r="K278" s="7">
        <v>3877.757036892969</v>
      </c>
      <c r="L278" s="7">
        <v>4000</v>
      </c>
      <c r="M278" s="7">
        <v>-1054.895298464449</v>
      </c>
      <c r="N278" s="7">
        <v>6822.86173842852</v>
      </c>
      <c r="O278" s="7">
        <v>13746.30963032646</v>
      </c>
    </row>
    <row r="279" spans="1:15">
      <c r="A279" s="2" t="s">
        <v>224</v>
      </c>
      <c r="B279" s="7">
        <v>23</v>
      </c>
      <c r="C279" s="2" t="s">
        <v>225</v>
      </c>
      <c r="D279" s="7">
        <v>1000</v>
      </c>
      <c r="E279" s="7">
        <v>8834.512239610482</v>
      </c>
      <c r="F279" s="7">
        <v>419.1781300630547</v>
      </c>
      <c r="G279" s="7">
        <v>0</v>
      </c>
      <c r="H279" s="7">
        <v>0</v>
      </c>
      <c r="I279" s="7">
        <v>38.66650753641612</v>
      </c>
      <c r="J279" s="7">
        <v>6968.451833666689</v>
      </c>
      <c r="K279" s="7">
        <v>3937.573942863552</v>
      </c>
      <c r="L279" s="7">
        <v>4000</v>
      </c>
      <c r="M279" s="7">
        <v>-969.1221091968628</v>
      </c>
      <c r="N279" s="7">
        <v>6968.451833666689</v>
      </c>
      <c r="O279" s="7">
        <v>14648.78643541384</v>
      </c>
    </row>
    <row r="280" spans="1:15">
      <c r="A280" s="2" t="s">
        <v>224</v>
      </c>
      <c r="B280" s="7">
        <v>24</v>
      </c>
      <c r="C280" s="2" t="s">
        <v>225</v>
      </c>
      <c r="D280" s="7">
        <v>1000</v>
      </c>
      <c r="E280" s="7">
        <v>8916.261158866659</v>
      </c>
      <c r="F280" s="7">
        <v>434.9524057194973</v>
      </c>
      <c r="G280" s="7">
        <v>0</v>
      </c>
      <c r="H280" s="7">
        <v>0</v>
      </c>
      <c r="I280" s="7">
        <v>38.66650753641612</v>
      </c>
      <c r="J280" s="7">
        <v>7106.762424142949</v>
      </c>
      <c r="K280" s="7">
        <v>3993.037521548003</v>
      </c>
      <c r="L280" s="7">
        <v>4000</v>
      </c>
      <c r="M280" s="7">
        <v>-886.2750974050537</v>
      </c>
      <c r="N280" s="7">
        <v>7106.762424142949</v>
      </c>
      <c r="O280" s="7">
        <v>15560.22684620966</v>
      </c>
    </row>
    <row r="281" spans="1:15">
      <c r="A281" s="2" t="s">
        <v>224</v>
      </c>
      <c r="B281" s="7">
        <v>25</v>
      </c>
      <c r="C281" s="2" t="s">
        <v>225</v>
      </c>
      <c r="D281" s="7">
        <v>1000</v>
      </c>
      <c r="E281" s="7">
        <v>8989.835186197219</v>
      </c>
      <c r="F281" s="7">
        <v>449.9379675931176</v>
      </c>
      <c r="G281" s="7">
        <v>0</v>
      </c>
      <c r="H281" s="7">
        <v>0</v>
      </c>
      <c r="I281" s="7">
        <v>40.13798808302731</v>
      </c>
      <c r="J281" s="7">
        <v>7266.115615481011</v>
      </c>
      <c r="K281" s="7">
        <v>4045.973168056</v>
      </c>
      <c r="L281" s="7">
        <v>4000</v>
      </c>
      <c r="M281" s="7">
        <v>-779.8575525749893</v>
      </c>
      <c r="N281" s="7">
        <v>7266.115615481011</v>
      </c>
      <c r="O281" s="7">
        <v>16479.70036380488</v>
      </c>
    </row>
    <row r="282" spans="1:15">
      <c r="A282" s="2" t="s">
        <v>224</v>
      </c>
      <c r="B282" s="7">
        <v>26</v>
      </c>
      <c r="C282" s="2" t="s">
        <v>225</v>
      </c>
      <c r="D282" s="7">
        <v>1000</v>
      </c>
      <c r="E282" s="7">
        <v>9054.727478302773</v>
      </c>
      <c r="F282" s="7">
        <v>465.5721578923377</v>
      </c>
      <c r="G282" s="7">
        <v>0</v>
      </c>
      <c r="H282" s="7">
        <v>0</v>
      </c>
      <c r="I282" s="7">
        <v>40.13798808302731</v>
      </c>
      <c r="J282" s="7">
        <v>7390.940923385835</v>
      </c>
      <c r="K282" s="7">
        <v>4094.062168821414</v>
      </c>
      <c r="L282" s="7">
        <v>4000</v>
      </c>
      <c r="M282" s="7">
        <v>-703.1212454355791</v>
      </c>
      <c r="N282" s="7">
        <v>7390.940923385835</v>
      </c>
      <c r="O282" s="7">
        <v>17406.44482012563</v>
      </c>
    </row>
    <row r="283" spans="1:15">
      <c r="A283" s="2" t="s">
        <v>224</v>
      </c>
      <c r="B283" s="7">
        <v>27</v>
      </c>
      <c r="C283" s="2" t="s">
        <v>225</v>
      </c>
      <c r="D283" s="7">
        <v>1000</v>
      </c>
      <c r="E283" s="7">
        <v>9113.130541197772</v>
      </c>
      <c r="F283" s="7">
        <v>480.4246386765967</v>
      </c>
      <c r="G283" s="7">
        <v>0</v>
      </c>
      <c r="H283" s="7">
        <v>0</v>
      </c>
      <c r="I283" s="7">
        <v>40.13798808302731</v>
      </c>
      <c r="J283" s="7">
        <v>7509.524965895419</v>
      </c>
      <c r="K283" s="7">
        <v>4138.773335166974</v>
      </c>
      <c r="L283" s="7">
        <v>4000</v>
      </c>
      <c r="M283" s="7">
        <v>-629.248369271555</v>
      </c>
      <c r="N283" s="7">
        <v>7509.524965895419</v>
      </c>
      <c r="O283" s="7">
        <v>18339.77220677508</v>
      </c>
    </row>
    <row r="284" spans="1:15">
      <c r="A284" s="2" t="s">
        <v>224</v>
      </c>
      <c r="B284" s="7">
        <v>28</v>
      </c>
      <c r="C284" s="2" t="s">
        <v>225</v>
      </c>
      <c r="D284" s="7">
        <v>1000</v>
      </c>
      <c r="E284" s="7">
        <v>9165.693297803271</v>
      </c>
      <c r="F284" s="7">
        <v>494.5344954216428</v>
      </c>
      <c r="G284" s="7">
        <v>0</v>
      </c>
      <c r="H284" s="7">
        <v>0</v>
      </c>
      <c r="I284" s="7">
        <v>40.13798808302731</v>
      </c>
      <c r="J284" s="7">
        <v>7622.179806279523</v>
      </c>
      <c r="K284" s="7">
        <v>4180.372897251831</v>
      </c>
      <c r="L284" s="7">
        <v>4000</v>
      </c>
      <c r="M284" s="7">
        <v>-558.1930909723078</v>
      </c>
      <c r="N284" s="7">
        <v>7622.179806279523</v>
      </c>
      <c r="O284" s="7">
        <v>19279.06136192234</v>
      </c>
    </row>
    <row r="285" spans="1:15">
      <c r="A285" s="2" t="s">
        <v>224</v>
      </c>
      <c r="B285" s="7">
        <v>29</v>
      </c>
      <c r="C285" s="2" t="s">
        <v>225</v>
      </c>
      <c r="D285" s="7">
        <v>1000</v>
      </c>
      <c r="E285" s="7">
        <v>9212.999778748219</v>
      </c>
      <c r="F285" s="7">
        <v>507.9388593294365</v>
      </c>
      <c r="G285" s="7">
        <v>0</v>
      </c>
      <c r="H285" s="7">
        <v>0</v>
      </c>
      <c r="I285" s="7">
        <v>40.13798808302731</v>
      </c>
      <c r="J285" s="7">
        <v>7729.201904644423</v>
      </c>
      <c r="K285" s="7">
        <v>4219.104039883361</v>
      </c>
      <c r="L285" s="7">
        <v>4000</v>
      </c>
      <c r="M285" s="7">
        <v>-489.9021352389382</v>
      </c>
      <c r="N285" s="7">
        <v>7729.201904644423</v>
      </c>
      <c r="O285" s="7">
        <v>20223.75138335948</v>
      </c>
    </row>
    <row r="286" spans="1:15">
      <c r="A286" s="2" t="s">
        <v>224</v>
      </c>
      <c r="B286" s="7">
        <v>30</v>
      </c>
      <c r="C286" s="2" t="s">
        <v>225</v>
      </c>
      <c r="D286" s="7">
        <v>1000</v>
      </c>
      <c r="E286" s="7">
        <v>9255.575611598671</v>
      </c>
      <c r="F286" s="7">
        <v>520.6730050418407</v>
      </c>
      <c r="G286" s="7">
        <v>0</v>
      </c>
      <c r="H286" s="7">
        <v>0</v>
      </c>
      <c r="I286" s="7">
        <v>40.13798808302731</v>
      </c>
      <c r="J286" s="7">
        <v>7830.872898091077</v>
      </c>
      <c r="K286" s="7">
        <v>4255.189028169142</v>
      </c>
      <c r="L286" s="7">
        <v>4000</v>
      </c>
      <c r="M286" s="7">
        <v>-424.3161300780648</v>
      </c>
      <c r="N286" s="7">
        <v>7830.872898091077</v>
      </c>
      <c r="O286" s="7">
        <v>21173.33569536729</v>
      </c>
    </row>
    <row r="287" spans="1:15">
      <c r="A287" s="2" t="s">
        <v>224</v>
      </c>
      <c r="B287" s="7">
        <v>31</v>
      </c>
      <c r="C287" s="2" t="s">
        <v>225</v>
      </c>
      <c r="D287" s="7">
        <v>1000</v>
      </c>
      <c r="E287" s="7">
        <v>9293.893861164081</v>
      </c>
      <c r="F287" s="7">
        <v>532.7704434686245</v>
      </c>
      <c r="G287" s="7">
        <v>0</v>
      </c>
      <c r="H287" s="7">
        <v>0</v>
      </c>
      <c r="I287" s="7">
        <v>40.90435307433548</v>
      </c>
      <c r="J287" s="7">
        <v>7942.021276700254</v>
      </c>
      <c r="K287" s="7">
        <v>4289.597494539185</v>
      </c>
      <c r="L287" s="7">
        <v>4000</v>
      </c>
      <c r="M287" s="7">
        <v>-347.5762178389314</v>
      </c>
      <c r="N287" s="7">
        <v>7942.021276700254</v>
      </c>
      <c r="O287" s="7">
        <v>22127.31838600341</v>
      </c>
    </row>
    <row r="288" spans="1:15">
      <c r="A288" s="2" t="s">
        <v>224</v>
      </c>
      <c r="B288" s="7">
        <v>32</v>
      </c>
      <c r="C288" s="2" t="s">
        <v>225</v>
      </c>
      <c r="D288" s="7">
        <v>1000</v>
      </c>
      <c r="E288" s="7">
        <v>9327.69055728077</v>
      </c>
      <c r="F288" s="7">
        <v>544.9910567158121</v>
      </c>
      <c r="G288" s="7">
        <v>0</v>
      </c>
      <c r="H288" s="7">
        <v>0</v>
      </c>
      <c r="I288" s="7">
        <v>40.90435307433548</v>
      </c>
      <c r="J288" s="7">
        <v>8033.77934828586</v>
      </c>
      <c r="K288" s="7">
        <v>4321.13982192872</v>
      </c>
      <c r="L288" s="7">
        <v>4000</v>
      </c>
      <c r="M288" s="7">
        <v>-287.3604736428606</v>
      </c>
      <c r="N288" s="7">
        <v>8033.77934828586</v>
      </c>
      <c r="O288" s="7">
        <v>23085.29177691356</v>
      </c>
    </row>
    <row r="289" spans="1:15">
      <c r="A289" s="2" t="s">
        <v>224</v>
      </c>
      <c r="B289" s="7">
        <v>33</v>
      </c>
      <c r="C289" s="2" t="s">
        <v>225</v>
      </c>
      <c r="D289" s="7">
        <v>1000</v>
      </c>
      <c r="E289" s="7">
        <v>9358.107583785792</v>
      </c>
      <c r="F289" s="7">
        <v>556.6006393006401</v>
      </c>
      <c r="G289" s="7">
        <v>0</v>
      </c>
      <c r="H289" s="7">
        <v>0</v>
      </c>
      <c r="I289" s="7">
        <v>40.90435307433548</v>
      </c>
      <c r="J289" s="7">
        <v>8120.949516292185</v>
      </c>
      <c r="K289" s="7">
        <v>4350.598082507028</v>
      </c>
      <c r="L289" s="7">
        <v>4000</v>
      </c>
      <c r="M289" s="7">
        <v>-229.6485662148434</v>
      </c>
      <c r="N289" s="7">
        <v>8120.949516292185</v>
      </c>
      <c r="O289" s="7">
        <v>24046.88734960346</v>
      </c>
    </row>
    <row r="290" spans="1:15">
      <c r="A290" s="2" t="s">
        <v>224</v>
      </c>
      <c r="B290" s="7">
        <v>34</v>
      </c>
      <c r="C290" s="2" t="s">
        <v>225</v>
      </c>
      <c r="D290" s="7">
        <v>1000</v>
      </c>
      <c r="E290" s="7">
        <v>9385.482907640311</v>
      </c>
      <c r="F290" s="7">
        <v>567.6297427562267</v>
      </c>
      <c r="G290" s="7">
        <v>0</v>
      </c>
      <c r="H290" s="7">
        <v>0</v>
      </c>
      <c r="I290" s="7">
        <v>40.90435307433548</v>
      </c>
      <c r="J290" s="7">
        <v>8203.761175898193</v>
      </c>
      <c r="K290" s="7">
        <v>4378.127174658845</v>
      </c>
      <c r="L290" s="7">
        <v>4000</v>
      </c>
      <c r="M290" s="7">
        <v>-174.3659987606525</v>
      </c>
      <c r="N290" s="7">
        <v>8203.761175898193</v>
      </c>
      <c r="O290" s="7">
        <v>25011.77190985158</v>
      </c>
    </row>
    <row r="291" spans="1:15">
      <c r="A291" s="2" t="s">
        <v>224</v>
      </c>
      <c r="B291" s="7">
        <v>35</v>
      </c>
      <c r="C291" s="2" t="s">
        <v>225</v>
      </c>
      <c r="D291" s="7">
        <v>1000</v>
      </c>
      <c r="E291" s="7">
        <v>9410.120699109379</v>
      </c>
      <c r="F291" s="7">
        <v>578.107391039034</v>
      </c>
      <c r="G291" s="7">
        <v>0</v>
      </c>
      <c r="H291" s="7">
        <v>0</v>
      </c>
      <c r="I291" s="7">
        <v>40.90435307433548</v>
      </c>
      <c r="J291" s="7">
        <v>8282.432252523902</v>
      </c>
      <c r="K291" s="7">
        <v>4403.869182345254</v>
      </c>
      <c r="L291" s="7">
        <v>4000</v>
      </c>
      <c r="M291" s="7">
        <v>-121.4369298213514</v>
      </c>
      <c r="N291" s="7">
        <v>8282.432252523902</v>
      </c>
      <c r="O291" s="7">
        <v>25979.64413166075</v>
      </c>
    </row>
    <row r="292" spans="1:15">
      <c r="A292" s="2" t="s">
        <v>224</v>
      </c>
      <c r="B292" s="7">
        <v>36</v>
      </c>
      <c r="C292" s="2" t="s">
        <v>225</v>
      </c>
      <c r="D292" s="7">
        <v>1000</v>
      </c>
      <c r="E292" s="7">
        <v>9432.294711431538</v>
      </c>
      <c r="F292" s="7">
        <v>588.061156907701</v>
      </c>
      <c r="G292" s="7">
        <v>0</v>
      </c>
      <c r="H292" s="7">
        <v>0</v>
      </c>
      <c r="I292" s="7">
        <v>40.90435307433548</v>
      </c>
      <c r="J292" s="7">
        <v>8357.169775318325</v>
      </c>
      <c r="K292" s="7">
        <v>4427.954522775306</v>
      </c>
      <c r="L292" s="7">
        <v>4000</v>
      </c>
      <c r="M292" s="7">
        <v>-70.78474745698077</v>
      </c>
      <c r="N292" s="7">
        <v>8357.169775318325</v>
      </c>
      <c r="O292" s="7">
        <v>26950.23144299557</v>
      </c>
    </row>
    <row r="293" spans="1:15">
      <c r="A293" s="2" t="s">
        <v>226</v>
      </c>
      <c r="B293" s="7">
        <v>1</v>
      </c>
      <c r="C293" s="2" t="s">
        <v>227</v>
      </c>
      <c r="D293" s="7">
        <v>1000</v>
      </c>
      <c r="E293" s="7">
        <v>1000</v>
      </c>
      <c r="F293" s="7">
        <v>0</v>
      </c>
      <c r="G293" s="7">
        <v>0</v>
      </c>
      <c r="H293" s="7">
        <v>0</v>
      </c>
      <c r="I293" s="7">
        <v>20</v>
      </c>
      <c r="J293" s="7">
        <v>1130</v>
      </c>
      <c r="K293" s="7">
        <v>445</v>
      </c>
      <c r="L293" s="7">
        <v>4000</v>
      </c>
      <c r="M293" s="7">
        <v>-3315</v>
      </c>
      <c r="N293" s="7">
        <v>1130</v>
      </c>
      <c r="O293" s="7">
        <v>99</v>
      </c>
    </row>
    <row r="294" spans="1:15">
      <c r="A294" s="2" t="s">
        <v>226</v>
      </c>
      <c r="B294" s="7">
        <v>2</v>
      </c>
      <c r="C294" s="2" t="s">
        <v>227</v>
      </c>
      <c r="D294" s="7">
        <v>1000</v>
      </c>
      <c r="E294" s="7">
        <v>1882</v>
      </c>
      <c r="F294" s="7">
        <v>19</v>
      </c>
      <c r="G294" s="7">
        <v>0</v>
      </c>
      <c r="H294" s="7">
        <v>0</v>
      </c>
      <c r="I294" s="7">
        <v>20</v>
      </c>
      <c r="J294" s="7">
        <v>1842.5</v>
      </c>
      <c r="K294" s="7">
        <v>837.85</v>
      </c>
      <c r="L294" s="7">
        <v>4000</v>
      </c>
      <c r="M294" s="7">
        <v>-2995.35</v>
      </c>
      <c r="N294" s="7">
        <v>1842.5</v>
      </c>
      <c r="O294" s="7">
        <v>287.1499999999999</v>
      </c>
    </row>
    <row r="295" spans="1:15">
      <c r="A295" s="2" t="s">
        <v>226</v>
      </c>
      <c r="B295" s="7">
        <v>3</v>
      </c>
      <c r="C295" s="2" t="s">
        <v>227</v>
      </c>
      <c r="D295" s="7">
        <v>1000</v>
      </c>
      <c r="E295" s="7">
        <v>2675.8</v>
      </c>
      <c r="F295" s="7">
        <v>37.05</v>
      </c>
      <c r="G295" s="7">
        <v>0</v>
      </c>
      <c r="H295" s="7">
        <v>0</v>
      </c>
      <c r="I295" s="7">
        <v>20</v>
      </c>
      <c r="J295" s="7">
        <v>2519.375</v>
      </c>
      <c r="K295" s="7">
        <v>1197.8275</v>
      </c>
      <c r="L295" s="7">
        <v>4000</v>
      </c>
      <c r="M295" s="7">
        <v>-2678.4525</v>
      </c>
      <c r="N295" s="7">
        <v>2519.375</v>
      </c>
      <c r="O295" s="7">
        <v>555.5824999999998</v>
      </c>
    </row>
    <row r="296" spans="1:15">
      <c r="A296" s="2" t="s">
        <v>226</v>
      </c>
      <c r="B296" s="7">
        <v>4</v>
      </c>
      <c r="C296" s="2" t="s">
        <v>227</v>
      </c>
      <c r="D296" s="7">
        <v>1000</v>
      </c>
      <c r="E296" s="7">
        <v>3390.22</v>
      </c>
      <c r="F296" s="7">
        <v>54.19750000000001</v>
      </c>
      <c r="G296" s="7">
        <v>0</v>
      </c>
      <c r="H296" s="7">
        <v>0</v>
      </c>
      <c r="I296" s="7">
        <v>20</v>
      </c>
      <c r="J296" s="7">
        <v>3162.40625</v>
      </c>
      <c r="K296" s="7">
        <v>1527.899125</v>
      </c>
      <c r="L296" s="7">
        <v>4000</v>
      </c>
      <c r="M296" s="7">
        <v>-2365.492875</v>
      </c>
      <c r="N296" s="7">
        <v>3162.40625</v>
      </c>
      <c r="O296" s="7">
        <v>896.3143749999997</v>
      </c>
    </row>
    <row r="297" spans="1:15">
      <c r="A297" s="2" t="s">
        <v>226</v>
      </c>
      <c r="B297" s="7">
        <v>5</v>
      </c>
      <c r="C297" s="2" t="s">
        <v>227</v>
      </c>
      <c r="D297" s="7">
        <v>1000</v>
      </c>
      <c r="E297" s="7">
        <v>4033.198</v>
      </c>
      <c r="F297" s="7">
        <v>70.48762499999999</v>
      </c>
      <c r="G297" s="7">
        <v>0</v>
      </c>
      <c r="H297" s="7">
        <v>0</v>
      </c>
      <c r="I297" s="7">
        <v>20</v>
      </c>
      <c r="J297" s="7">
        <v>3773.2859375</v>
      </c>
      <c r="K297" s="7">
        <v>1830.75086875</v>
      </c>
      <c r="L297" s="7">
        <v>4000</v>
      </c>
      <c r="M297" s="7">
        <v>-2057.46493125</v>
      </c>
      <c r="N297" s="7">
        <v>3773.2859375</v>
      </c>
      <c r="O297" s="7">
        <v>1302.158556249999</v>
      </c>
    </row>
    <row r="298" spans="1:15">
      <c r="A298" s="2" t="s">
        <v>226</v>
      </c>
      <c r="B298" s="7">
        <v>6</v>
      </c>
      <c r="C298" s="2" t="s">
        <v>227</v>
      </c>
      <c r="D298" s="7">
        <v>1000</v>
      </c>
      <c r="E298" s="7">
        <v>4611.878200000001</v>
      </c>
      <c r="F298" s="7">
        <v>85.96324375</v>
      </c>
      <c r="G298" s="7">
        <v>0</v>
      </c>
      <c r="H298" s="7">
        <v>0</v>
      </c>
      <c r="I298" s="7">
        <v>20</v>
      </c>
      <c r="J298" s="7">
        <v>4353.621640625001</v>
      </c>
      <c r="K298" s="7">
        <v>2108.8153553125</v>
      </c>
      <c r="L298" s="7">
        <v>4000</v>
      </c>
      <c r="M298" s="7">
        <v>-1755.1937146875</v>
      </c>
      <c r="N298" s="7">
        <v>4353.621640625001</v>
      </c>
      <c r="O298" s="7">
        <v>1766.644538437499</v>
      </c>
    </row>
    <row r="299" spans="1:15">
      <c r="A299" s="2" t="s">
        <v>226</v>
      </c>
      <c r="B299" s="7">
        <v>7</v>
      </c>
      <c r="C299" s="2" t="s">
        <v>227</v>
      </c>
      <c r="D299" s="7">
        <v>1000</v>
      </c>
      <c r="E299" s="7">
        <v>5132.69038</v>
      </c>
      <c r="F299" s="7">
        <v>100.6650815625</v>
      </c>
      <c r="G299" s="7">
        <v>0</v>
      </c>
      <c r="H299" s="7">
        <v>0</v>
      </c>
      <c r="I299" s="7">
        <v>30.4162436</v>
      </c>
      <c r="J299" s="7">
        <v>5102.84918699375</v>
      </c>
      <c r="K299" s="7">
        <v>2374.712658146875</v>
      </c>
      <c r="L299" s="7">
        <v>4000</v>
      </c>
      <c r="M299" s="7">
        <v>-1271.863471153125</v>
      </c>
      <c r="N299" s="7">
        <v>5102.84918699375</v>
      </c>
      <c r="O299" s="7">
        <v>2283.426018335625</v>
      </c>
    </row>
    <row r="300" spans="1:15">
      <c r="A300" s="2" t="s">
        <v>226</v>
      </c>
      <c r="B300" s="7">
        <v>8</v>
      </c>
      <c r="C300" s="2" t="s">
        <v>227</v>
      </c>
      <c r="D300" s="7">
        <v>1000</v>
      </c>
      <c r="E300" s="7">
        <v>5592.04672276</v>
      </c>
      <c r="F300" s="7">
        <v>124.527258904375</v>
      </c>
      <c r="G300" s="7">
        <v>0</v>
      </c>
      <c r="H300" s="7">
        <v>0</v>
      </c>
      <c r="I300" s="7">
        <v>30.4162436</v>
      </c>
      <c r="J300" s="7">
        <v>5626.602159064063</v>
      </c>
      <c r="K300" s="7">
        <v>2611.742811657531</v>
      </c>
      <c r="L300" s="7">
        <v>4000</v>
      </c>
      <c r="M300" s="7">
        <v>-985.1406525934681</v>
      </c>
      <c r="N300" s="7">
        <v>5626.602159064063</v>
      </c>
      <c r="O300" s="7">
        <v>2847.336241376843</v>
      </c>
    </row>
    <row r="301" spans="1:15">
      <c r="A301" s="2" t="s">
        <v>226</v>
      </c>
      <c r="B301" s="7">
        <v>9</v>
      </c>
      <c r="C301" s="2" t="s">
        <v>227</v>
      </c>
      <c r="D301" s="7">
        <v>1000</v>
      </c>
      <c r="E301" s="7">
        <v>6005.467431244</v>
      </c>
      <c r="F301" s="7">
        <v>147.1963273791563</v>
      </c>
      <c r="G301" s="7">
        <v>0</v>
      </c>
      <c r="H301" s="7">
        <v>0</v>
      </c>
      <c r="I301" s="7">
        <v>30.4162436</v>
      </c>
      <c r="J301" s="7">
        <v>6124.167482530858</v>
      </c>
      <c r="K301" s="7">
        <v>2830.031112351255</v>
      </c>
      <c r="L301" s="7">
        <v>4000</v>
      </c>
      <c r="M301" s="7">
        <v>-705.8636298203965</v>
      </c>
      <c r="N301" s="7">
        <v>6124.167482530858</v>
      </c>
      <c r="O301" s="7">
        <v>3453.721988690201</v>
      </c>
    </row>
    <row r="302" spans="1:15">
      <c r="A302" s="2" t="s">
        <v>226</v>
      </c>
      <c r="B302" s="7">
        <v>10</v>
      </c>
      <c r="C302" s="2" t="s">
        <v>227</v>
      </c>
      <c r="D302" s="7">
        <v>1000</v>
      </c>
      <c r="E302" s="7">
        <v>6377.5460688796</v>
      </c>
      <c r="F302" s="7">
        <v>168.7319424301984</v>
      </c>
      <c r="G302" s="7">
        <v>0</v>
      </c>
      <c r="H302" s="7">
        <v>0</v>
      </c>
      <c r="I302" s="7">
        <v>30.4162436</v>
      </c>
      <c r="J302" s="7">
        <v>6596.854539824315</v>
      </c>
      <c r="K302" s="7">
        <v>3031.203687383032</v>
      </c>
      <c r="L302" s="7">
        <v>4000</v>
      </c>
      <c r="M302" s="7">
        <v>-434.3491475587166</v>
      </c>
      <c r="N302" s="7">
        <v>6596.854539824315</v>
      </c>
      <c r="O302" s="7">
        <v>4098.39238051967</v>
      </c>
    </row>
    <row r="303" spans="1:15">
      <c r="A303" s="2" t="s">
        <v>226</v>
      </c>
      <c r="B303" s="7">
        <v>11</v>
      </c>
      <c r="C303" s="2" t="s">
        <v>227</v>
      </c>
      <c r="D303" s="7">
        <v>1000</v>
      </c>
      <c r="E303" s="7">
        <v>6712.416842751641</v>
      </c>
      <c r="F303" s="7">
        <v>189.1907767286885</v>
      </c>
      <c r="G303" s="7">
        <v>0</v>
      </c>
      <c r="H303" s="7">
        <v>0</v>
      </c>
      <c r="I303" s="7">
        <v>30.4162436</v>
      </c>
      <c r="J303" s="7">
        <v>7045.9072442531</v>
      </c>
      <c r="K303" s="7">
        <v>3216.736454098686</v>
      </c>
      <c r="L303" s="7">
        <v>4000</v>
      </c>
      <c r="M303" s="7">
        <v>-170.8292098455868</v>
      </c>
      <c r="N303" s="7">
        <v>7045.9072442531</v>
      </c>
      <c r="O303" s="7">
        <v>4777.572791451268</v>
      </c>
    </row>
    <row r="304" spans="1:15">
      <c r="A304" s="2" t="s">
        <v>226</v>
      </c>
      <c r="B304" s="7">
        <v>12</v>
      </c>
      <c r="C304" s="2" t="s">
        <v>227</v>
      </c>
      <c r="D304" s="7">
        <v>1000</v>
      </c>
      <c r="E304" s="7">
        <v>7013.800539236477</v>
      </c>
      <c r="F304" s="7">
        <v>208.6266693122541</v>
      </c>
      <c r="G304" s="7">
        <v>0</v>
      </c>
      <c r="H304" s="7">
        <v>0</v>
      </c>
      <c r="I304" s="7">
        <v>30.4162436</v>
      </c>
      <c r="J304" s="7">
        <v>7472.507313460444</v>
      </c>
      <c r="K304" s="7">
        <v>3387.969520870478</v>
      </c>
      <c r="L304" s="7">
        <v>4000</v>
      </c>
      <c r="M304" s="7">
        <v>84.53779258996656</v>
      </c>
      <c r="N304" s="7">
        <v>7472.507313460444</v>
      </c>
      <c r="O304" s="7">
        <v>5487.863366660527</v>
      </c>
    </row>
    <row r="305" spans="1:15">
      <c r="A305" s="2" t="s">
        <v>226</v>
      </c>
      <c r="B305" s="7">
        <v>13</v>
      </c>
      <c r="C305" s="2" t="s">
        <v>227</v>
      </c>
      <c r="D305" s="7">
        <v>1000</v>
      </c>
      <c r="E305" s="7">
        <v>7285.04586607283</v>
      </c>
      <c r="F305" s="7">
        <v>227.0907672666414</v>
      </c>
      <c r="G305" s="7">
        <v>0</v>
      </c>
      <c r="H305" s="7">
        <v>0</v>
      </c>
      <c r="I305" s="7">
        <v>35.84115013672705</v>
      </c>
      <c r="J305" s="7">
        <v>7980.850603405235</v>
      </c>
      <c r="K305" s="7">
        <v>3551.545085393134</v>
      </c>
      <c r="L305" s="7">
        <v>4000</v>
      </c>
      <c r="M305" s="7">
        <v>429.3055180121009</v>
      </c>
      <c r="N305" s="7">
        <v>7980.850603405235</v>
      </c>
      <c r="O305" s="7">
        <v>6225.930434124306</v>
      </c>
    </row>
    <row r="306" spans="1:15">
      <c r="A306" s="2" t="s">
        <v>226</v>
      </c>
      <c r="B306" s="7">
        <v>14</v>
      </c>
      <c r="C306" s="2" t="s">
        <v>227</v>
      </c>
      <c r="D306" s="7">
        <v>1000</v>
      </c>
      <c r="E306" s="7">
        <v>7524.284244342492</v>
      </c>
      <c r="F306" s="7">
        <v>249.7853215332</v>
      </c>
      <c r="G306" s="7">
        <v>0</v>
      </c>
      <c r="H306" s="7">
        <v>0</v>
      </c>
      <c r="I306" s="7">
        <v>35.84115013672705</v>
      </c>
      <c r="J306" s="7">
        <v>8365.857165864865</v>
      </c>
      <c r="K306" s="7">
        <v>3698.83163641725</v>
      </c>
      <c r="L306" s="7">
        <v>4000</v>
      </c>
      <c r="M306" s="7">
        <v>667.0255294476156</v>
      </c>
      <c r="N306" s="7">
        <v>8365.857165864865</v>
      </c>
      <c r="O306" s="7">
        <v>6989.056067128378</v>
      </c>
    </row>
    <row r="307" spans="1:15">
      <c r="A307" s="2" t="s">
        <v>226</v>
      </c>
      <c r="B307" s="7">
        <v>15</v>
      </c>
      <c r="C307" s="2" t="s">
        <v>227</v>
      </c>
      <c r="D307" s="7">
        <v>1000</v>
      </c>
      <c r="E307" s="7">
        <v>7739.598784785189</v>
      </c>
      <c r="F307" s="7">
        <v>271.3451480864307</v>
      </c>
      <c r="G307" s="7">
        <v>0</v>
      </c>
      <c r="H307" s="7">
        <v>0</v>
      </c>
      <c r="I307" s="7">
        <v>35.84115013672705</v>
      </c>
      <c r="J307" s="7">
        <v>8731.613400201511</v>
      </c>
      <c r="K307" s="7">
        <v>3835.165284216116</v>
      </c>
      <c r="L307" s="7">
        <v>4000</v>
      </c>
      <c r="M307" s="7">
        <v>896.4481159853958</v>
      </c>
      <c r="N307" s="7">
        <v>8731.613400201511</v>
      </c>
      <c r="O307" s="7">
        <v>7774.791145504383</v>
      </c>
    </row>
    <row r="308" spans="1:15">
      <c r="A308" s="2" t="s">
        <v>226</v>
      </c>
      <c r="B308" s="7">
        <v>16</v>
      </c>
      <c r="C308" s="2" t="s">
        <v>227</v>
      </c>
      <c r="D308" s="7">
        <v>1000</v>
      </c>
      <c r="E308" s="7">
        <v>7933.381871183617</v>
      </c>
      <c r="F308" s="7">
        <v>291.8269833119999</v>
      </c>
      <c r="G308" s="7">
        <v>0</v>
      </c>
      <c r="H308" s="7">
        <v>0</v>
      </c>
      <c r="I308" s="7">
        <v>35.84115013672705</v>
      </c>
      <c r="J308" s="7">
        <v>9079.081822821327</v>
      </c>
      <c r="K308" s="7">
        <v>3961.452531518398</v>
      </c>
      <c r="L308" s="7">
        <v>4000</v>
      </c>
      <c r="M308" s="7">
        <v>1117.629291302928</v>
      </c>
      <c r="N308" s="7">
        <v>9079.081822821327</v>
      </c>
      <c r="O308" s="7">
        <v>8580.928624281507</v>
      </c>
    </row>
    <row r="309" spans="1:15">
      <c r="A309" s="2" t="s">
        <v>226</v>
      </c>
      <c r="B309" s="7">
        <v>17</v>
      </c>
      <c r="C309" s="2" t="s">
        <v>227</v>
      </c>
      <c r="D309" s="7">
        <v>1000</v>
      </c>
      <c r="E309" s="7">
        <v>8107.7866489422</v>
      </c>
      <c r="F309" s="7">
        <v>311.2847267762905</v>
      </c>
      <c r="G309" s="7">
        <v>0</v>
      </c>
      <c r="H309" s="7">
        <v>0</v>
      </c>
      <c r="I309" s="7">
        <v>35.84115013672705</v>
      </c>
      <c r="J309" s="7">
        <v>9409.176824310151</v>
      </c>
      <c r="K309" s="7">
        <v>4078.518670159589</v>
      </c>
      <c r="L309" s="7">
        <v>4000</v>
      </c>
      <c r="M309" s="7">
        <v>1330.658154150562</v>
      </c>
      <c r="N309" s="7">
        <v>9409.176824310151</v>
      </c>
      <c r="O309" s="7">
        <v>9405.479468007705</v>
      </c>
    </row>
    <row r="310" spans="1:15">
      <c r="A310" s="2" t="s">
        <v>226</v>
      </c>
      <c r="B310" s="7">
        <v>18</v>
      </c>
      <c r="C310" s="2" t="s">
        <v>227</v>
      </c>
      <c r="D310" s="7">
        <v>1000</v>
      </c>
      <c r="E310" s="7">
        <v>8264.750948924926</v>
      </c>
      <c r="F310" s="7">
        <v>329.7695830673667</v>
      </c>
      <c r="G310" s="7">
        <v>0</v>
      </c>
      <c r="H310" s="7">
        <v>0</v>
      </c>
      <c r="I310" s="7">
        <v>35.84115013672705</v>
      </c>
      <c r="J310" s="7">
        <v>9722.767075724532</v>
      </c>
      <c r="K310" s="7">
        <v>4187.115430202341</v>
      </c>
      <c r="L310" s="7">
        <v>4000</v>
      </c>
      <c r="M310" s="7">
        <v>1535.651645522191</v>
      </c>
      <c r="N310" s="7">
        <v>9722.767075724532</v>
      </c>
      <c r="O310" s="7">
        <v>10246.65098454673</v>
      </c>
    </row>
    <row r="311" spans="1:15">
      <c r="A311" s="2" t="s">
        <v>226</v>
      </c>
      <c r="B311" s="7">
        <v>19</v>
      </c>
      <c r="C311" s="2" t="s">
        <v>227</v>
      </c>
      <c r="D311" s="7">
        <v>1000</v>
      </c>
      <c r="E311" s="7">
        <v>8406.018818909379</v>
      </c>
      <c r="F311" s="7">
        <v>347.3301965438891</v>
      </c>
      <c r="G311" s="7">
        <v>0</v>
      </c>
      <c r="H311" s="7">
        <v>0</v>
      </c>
      <c r="I311" s="7">
        <v>38.66650753641612</v>
      </c>
      <c r="J311" s="7">
        <v>10074.35960516229</v>
      </c>
      <c r="K311" s="7">
        <v>4290.753245142905</v>
      </c>
      <c r="L311" s="7">
        <v>4000</v>
      </c>
      <c r="M311" s="7">
        <v>1783.606360019385</v>
      </c>
      <c r="N311" s="7">
        <v>10074.35960516229</v>
      </c>
      <c r="O311" s="7">
        <v>11102.68605088804</v>
      </c>
    </row>
    <row r="312" spans="1:15">
      <c r="A312" s="2" t="s">
        <v>226</v>
      </c>
      <c r="B312" s="7">
        <v>20</v>
      </c>
      <c r="C312" s="2" t="s">
        <v>227</v>
      </c>
      <c r="D312" s="7">
        <v>1000</v>
      </c>
      <c r="E312" s="7">
        <v>8530.617080235666</v>
      </c>
      <c r="F312" s="7">
        <v>366.6968688762899</v>
      </c>
      <c r="G312" s="7">
        <v>0</v>
      </c>
      <c r="H312" s="7">
        <v>0</v>
      </c>
      <c r="I312" s="7">
        <v>38.66650753641612</v>
      </c>
      <c r="J312" s="7">
        <v>10357.37480706377</v>
      </c>
      <c r="K312" s="7">
        <v>4384.985260023905</v>
      </c>
      <c r="L312" s="7">
        <v>4000</v>
      </c>
      <c r="M312" s="7">
        <v>1972.389547039866</v>
      </c>
      <c r="N312" s="7">
        <v>10357.37480706377</v>
      </c>
      <c r="O312" s="7">
        <v>11972.1492769786</v>
      </c>
    </row>
    <row r="313" spans="1:15">
      <c r="A313" s="2" t="s">
        <v>226</v>
      </c>
      <c r="B313" s="7">
        <v>21</v>
      </c>
      <c r="C313" s="2" t="s">
        <v>227</v>
      </c>
      <c r="D313" s="7">
        <v>1000</v>
      </c>
      <c r="E313" s="7">
        <v>8642.755515429326</v>
      </c>
      <c r="F313" s="7">
        <v>385.0952075920707</v>
      </c>
      <c r="G313" s="7">
        <v>0</v>
      </c>
      <c r="H313" s="7">
        <v>0</v>
      </c>
      <c r="I313" s="7">
        <v>38.66650753641612</v>
      </c>
      <c r="J313" s="7">
        <v>10626.23924887018</v>
      </c>
      <c r="K313" s="7">
        <v>4472.636700240961</v>
      </c>
      <c r="L313" s="7">
        <v>4000</v>
      </c>
      <c r="M313" s="7">
        <v>2153.602548629216</v>
      </c>
      <c r="N313" s="7">
        <v>10626.23924887018</v>
      </c>
      <c r="O313" s="7">
        <v>12853.74626352432</v>
      </c>
    </row>
    <row r="314" spans="1:15">
      <c r="A314" s="2" t="s">
        <v>226</v>
      </c>
      <c r="B314" s="7">
        <v>22</v>
      </c>
      <c r="C314" s="2" t="s">
        <v>227</v>
      </c>
      <c r="D314" s="7">
        <v>1000</v>
      </c>
      <c r="E314" s="7">
        <v>8743.680107103619</v>
      </c>
      <c r="F314" s="7">
        <v>402.5736293720625</v>
      </c>
      <c r="G314" s="7">
        <v>0</v>
      </c>
      <c r="H314" s="7">
        <v>0</v>
      </c>
      <c r="I314" s="7">
        <v>38.66650753641612</v>
      </c>
      <c r="J314" s="7">
        <v>10881.66046858626</v>
      </c>
      <c r="K314" s="7">
        <v>4554.22349191926</v>
      </c>
      <c r="L314" s="7">
        <v>4000</v>
      </c>
      <c r="M314" s="7">
        <v>2327.436976667002</v>
      </c>
      <c r="N314" s="7">
        <v>10881.66046858626</v>
      </c>
      <c r="O314" s="7">
        <v>13746.30963032646</v>
      </c>
    </row>
    <row r="315" spans="1:15">
      <c r="A315" s="2" t="s">
        <v>226</v>
      </c>
      <c r="B315" s="7">
        <v>23</v>
      </c>
      <c r="C315" s="2" t="s">
        <v>227</v>
      </c>
      <c r="D315" s="7">
        <v>1000</v>
      </c>
      <c r="E315" s="7">
        <v>8834.512239610482</v>
      </c>
      <c r="F315" s="7">
        <v>419.1781300630547</v>
      </c>
      <c r="G315" s="7">
        <v>0</v>
      </c>
      <c r="H315" s="7">
        <v>0</v>
      </c>
      <c r="I315" s="7">
        <v>38.66650753641612</v>
      </c>
      <c r="J315" s="7">
        <v>11124.31062731654</v>
      </c>
      <c r="K315" s="7">
        <v>4630.217075138527</v>
      </c>
      <c r="L315" s="7">
        <v>4000</v>
      </c>
      <c r="M315" s="7">
        <v>2494.093552178016</v>
      </c>
      <c r="N315" s="7">
        <v>11124.31062731654</v>
      </c>
      <c r="O315" s="7">
        <v>14648.78643541384</v>
      </c>
    </row>
    <row r="316" spans="1:15">
      <c r="A316" s="2" t="s">
        <v>226</v>
      </c>
      <c r="B316" s="7">
        <v>24</v>
      </c>
      <c r="C316" s="2" t="s">
        <v>227</v>
      </c>
      <c r="D316" s="7">
        <v>1000</v>
      </c>
      <c r="E316" s="7">
        <v>8916.261158866659</v>
      </c>
      <c r="F316" s="7">
        <v>434.9524057194973</v>
      </c>
      <c r="G316" s="7">
        <v>0</v>
      </c>
      <c r="H316" s="7">
        <v>0</v>
      </c>
      <c r="I316" s="7">
        <v>38.66650753641612</v>
      </c>
      <c r="J316" s="7">
        <v>11354.82827811031</v>
      </c>
      <c r="K316" s="7">
        <v>4701.04849720923</v>
      </c>
      <c r="L316" s="7">
        <v>4000</v>
      </c>
      <c r="M316" s="7">
        <v>2653.779780901082</v>
      </c>
      <c r="N316" s="7">
        <v>11354.82827811031</v>
      </c>
      <c r="O316" s="7">
        <v>15560.22684620966</v>
      </c>
    </row>
    <row r="317" spans="1:15">
      <c r="A317" s="2" t="s">
        <v>226</v>
      </c>
      <c r="B317" s="7">
        <v>25</v>
      </c>
      <c r="C317" s="2" t="s">
        <v>227</v>
      </c>
      <c r="D317" s="7">
        <v>1000</v>
      </c>
      <c r="E317" s="7">
        <v>8989.835186197219</v>
      </c>
      <c r="F317" s="7">
        <v>449.9379675931176</v>
      </c>
      <c r="G317" s="7">
        <v>0</v>
      </c>
      <c r="H317" s="7">
        <v>0</v>
      </c>
      <c r="I317" s="7">
        <v>40.13798808302731</v>
      </c>
      <c r="J317" s="7">
        <v>11601.77817675</v>
      </c>
      <c r="K317" s="7">
        <v>4768.583594934165</v>
      </c>
      <c r="L317" s="7">
        <v>4000</v>
      </c>
      <c r="M317" s="7">
        <v>2833.194581815838</v>
      </c>
      <c r="N317" s="7">
        <v>11601.77817675</v>
      </c>
      <c r="O317" s="7">
        <v>16479.70036380488</v>
      </c>
    </row>
    <row r="318" spans="1:15">
      <c r="A318" s="2" t="s">
        <v>226</v>
      </c>
      <c r="B318" s="7">
        <v>26</v>
      </c>
      <c r="C318" s="2" t="s">
        <v>227</v>
      </c>
      <c r="D318" s="7">
        <v>1000</v>
      </c>
      <c r="E318" s="7">
        <v>9054.727478302773</v>
      </c>
      <c r="F318" s="7">
        <v>465.5721578923377</v>
      </c>
      <c r="G318" s="7">
        <v>0</v>
      </c>
      <c r="H318" s="7">
        <v>0</v>
      </c>
      <c r="I318" s="7">
        <v>40.13798808302731</v>
      </c>
      <c r="J318" s="7">
        <v>11809.82035659138</v>
      </c>
      <c r="K318" s="7">
        <v>4830.542074355672</v>
      </c>
      <c r="L318" s="7">
        <v>4000</v>
      </c>
      <c r="M318" s="7">
        <v>2979.278282235708</v>
      </c>
      <c r="N318" s="7">
        <v>11809.82035659138</v>
      </c>
      <c r="O318" s="7">
        <v>17406.44482012563</v>
      </c>
    </row>
    <row r="319" spans="1:15">
      <c r="A319" s="2" t="s">
        <v>226</v>
      </c>
      <c r="B319" s="7">
        <v>27</v>
      </c>
      <c r="C319" s="2" t="s">
        <v>227</v>
      </c>
      <c r="D319" s="7">
        <v>1000</v>
      </c>
      <c r="E319" s="7">
        <v>9113.130541197772</v>
      </c>
      <c r="F319" s="7">
        <v>480.4246386765967</v>
      </c>
      <c r="G319" s="7">
        <v>0</v>
      </c>
      <c r="H319" s="7">
        <v>0</v>
      </c>
      <c r="I319" s="7">
        <v>40.13798808302731</v>
      </c>
      <c r="J319" s="7">
        <v>12007.46042744069</v>
      </c>
      <c r="K319" s="7">
        <v>4888.429245424518</v>
      </c>
      <c r="L319" s="7">
        <v>4000</v>
      </c>
      <c r="M319" s="7">
        <v>3119.031182016169</v>
      </c>
      <c r="N319" s="7">
        <v>12007.46042744069</v>
      </c>
      <c r="O319" s="7">
        <v>18339.77220677508</v>
      </c>
    </row>
    <row r="320" spans="1:15">
      <c r="A320" s="2" t="s">
        <v>226</v>
      </c>
      <c r="B320" s="7">
        <v>28</v>
      </c>
      <c r="C320" s="2" t="s">
        <v>227</v>
      </c>
      <c r="D320" s="7">
        <v>1000</v>
      </c>
      <c r="E320" s="7">
        <v>9165.693297803271</v>
      </c>
      <c r="F320" s="7">
        <v>494.5344954216428</v>
      </c>
      <c r="G320" s="7">
        <v>0</v>
      </c>
      <c r="H320" s="7">
        <v>0</v>
      </c>
      <c r="I320" s="7">
        <v>40.13798808302731</v>
      </c>
      <c r="J320" s="7">
        <v>12195.21849474753</v>
      </c>
      <c r="K320" s="7">
        <v>4942.546011996498</v>
      </c>
      <c r="L320" s="7">
        <v>4000</v>
      </c>
      <c r="M320" s="7">
        <v>3252.672482751029</v>
      </c>
      <c r="N320" s="7">
        <v>12195.21849474753</v>
      </c>
      <c r="O320" s="7">
        <v>19279.06136192234</v>
      </c>
    </row>
    <row r="321" spans="1:15">
      <c r="A321" s="2" t="s">
        <v>226</v>
      </c>
      <c r="B321" s="7">
        <v>29</v>
      </c>
      <c r="C321" s="2" t="s">
        <v>227</v>
      </c>
      <c r="D321" s="7">
        <v>1000</v>
      </c>
      <c r="E321" s="7">
        <v>9212.999778748219</v>
      </c>
      <c r="F321" s="7">
        <v>507.9388593294365</v>
      </c>
      <c r="G321" s="7">
        <v>0</v>
      </c>
      <c r="H321" s="7">
        <v>0</v>
      </c>
      <c r="I321" s="7">
        <v>40.13798808302731</v>
      </c>
      <c r="J321" s="7">
        <v>12373.58865868903</v>
      </c>
      <c r="K321" s="7">
        <v>4993.168498890795</v>
      </c>
      <c r="L321" s="7">
        <v>4000</v>
      </c>
      <c r="M321" s="7">
        <v>3380.420159798231</v>
      </c>
      <c r="N321" s="7">
        <v>12373.58865868903</v>
      </c>
      <c r="O321" s="7">
        <v>20223.75138335948</v>
      </c>
    </row>
    <row r="322" spans="1:15">
      <c r="A322" s="2" t="s">
        <v>226</v>
      </c>
      <c r="B322" s="7">
        <v>30</v>
      </c>
      <c r="C322" s="2" t="s">
        <v>227</v>
      </c>
      <c r="D322" s="7">
        <v>1000</v>
      </c>
      <c r="E322" s="7">
        <v>9255.575611598671</v>
      </c>
      <c r="F322" s="7">
        <v>520.6730050418407</v>
      </c>
      <c r="G322" s="7">
        <v>0</v>
      </c>
      <c r="H322" s="7">
        <v>0</v>
      </c>
      <c r="I322" s="7">
        <v>40.13798808302731</v>
      </c>
      <c r="J322" s="7">
        <v>12543.04031443345</v>
      </c>
      <c r="K322" s="7">
        <v>5040.550264226204</v>
      </c>
      <c r="L322" s="7">
        <v>4000</v>
      </c>
      <c r="M322" s="7">
        <v>3502.490050207246</v>
      </c>
      <c r="N322" s="7">
        <v>12543.04031443345</v>
      </c>
      <c r="O322" s="7">
        <v>21173.33569536729</v>
      </c>
    </row>
    <row r="323" spans="1:15">
      <c r="A323" s="2" t="s">
        <v>226</v>
      </c>
      <c r="B323" s="7">
        <v>31</v>
      </c>
      <c r="C323" s="2" t="s">
        <v>227</v>
      </c>
      <c r="D323" s="7">
        <v>1000</v>
      </c>
      <c r="E323" s="7">
        <v>9293.893861164081</v>
      </c>
      <c r="F323" s="7">
        <v>532.7704434686245</v>
      </c>
      <c r="G323" s="7">
        <v>0</v>
      </c>
      <c r="H323" s="7">
        <v>0</v>
      </c>
      <c r="I323" s="7">
        <v>40.90435307433548</v>
      </c>
      <c r="J323" s="7">
        <v>12718.58032222551</v>
      </c>
      <c r="K323" s="7">
        <v>5085.690668793394</v>
      </c>
      <c r="L323" s="7">
        <v>4000</v>
      </c>
      <c r="M323" s="7">
        <v>3632.889653432115</v>
      </c>
      <c r="N323" s="7">
        <v>12718.58032222551</v>
      </c>
      <c r="O323" s="7">
        <v>22127.31838600341</v>
      </c>
    </row>
    <row r="324" spans="1:15">
      <c r="A324" s="2" t="s">
        <v>226</v>
      </c>
      <c r="B324" s="7">
        <v>32</v>
      </c>
      <c r="C324" s="2" t="s">
        <v>227</v>
      </c>
      <c r="D324" s="7">
        <v>1000</v>
      </c>
      <c r="E324" s="7">
        <v>9327.69055728077</v>
      </c>
      <c r="F324" s="7">
        <v>544.9910567158121</v>
      </c>
      <c r="G324" s="7">
        <v>0</v>
      </c>
      <c r="H324" s="7">
        <v>0</v>
      </c>
      <c r="I324" s="7">
        <v>40.90435307433548</v>
      </c>
      <c r="J324" s="7">
        <v>12871.51044153485</v>
      </c>
      <c r="K324" s="7">
        <v>5127.428337470219</v>
      </c>
      <c r="L324" s="7">
        <v>4000</v>
      </c>
      <c r="M324" s="7">
        <v>3744.082104064633</v>
      </c>
      <c r="N324" s="7">
        <v>12871.51044153485</v>
      </c>
      <c r="O324" s="7">
        <v>23085.29177691356</v>
      </c>
    </row>
    <row r="325" spans="1:15">
      <c r="A325" s="2" t="s">
        <v>226</v>
      </c>
      <c r="B325" s="7">
        <v>33</v>
      </c>
      <c r="C325" s="2" t="s">
        <v>227</v>
      </c>
      <c r="D325" s="7">
        <v>1000</v>
      </c>
      <c r="E325" s="7">
        <v>9358.107583785792</v>
      </c>
      <c r="F325" s="7">
        <v>556.6006393006401</v>
      </c>
      <c r="G325" s="7">
        <v>0</v>
      </c>
      <c r="H325" s="7">
        <v>0</v>
      </c>
      <c r="I325" s="7">
        <v>40.90435307433548</v>
      </c>
      <c r="J325" s="7">
        <v>13016.79405487873</v>
      </c>
      <c r="K325" s="7">
        <v>5166.572172271452</v>
      </c>
      <c r="L325" s="7">
        <v>4000</v>
      </c>
      <c r="M325" s="7">
        <v>3850.221882607277</v>
      </c>
      <c r="N325" s="7">
        <v>13016.79405487873</v>
      </c>
      <c r="O325" s="7">
        <v>24046.88734960346</v>
      </c>
    </row>
    <row r="326" spans="1:15">
      <c r="A326" s="2" t="s">
        <v>226</v>
      </c>
      <c r="B326" s="7">
        <v>34</v>
      </c>
      <c r="C326" s="2" t="s">
        <v>227</v>
      </c>
      <c r="D326" s="7">
        <v>1000</v>
      </c>
      <c r="E326" s="7">
        <v>9385.482907640311</v>
      </c>
      <c r="F326" s="7">
        <v>567.6297427562267</v>
      </c>
      <c r="G326" s="7">
        <v>0</v>
      </c>
      <c r="H326" s="7">
        <v>0</v>
      </c>
      <c r="I326" s="7">
        <v>40.90435307433548</v>
      </c>
      <c r="J326" s="7">
        <v>13154.81348755541</v>
      </c>
      <c r="K326" s="7">
        <v>5203.302559935048</v>
      </c>
      <c r="L326" s="7">
        <v>4000</v>
      </c>
      <c r="M326" s="7">
        <v>3951.510927620362</v>
      </c>
      <c r="N326" s="7">
        <v>13154.81348755541</v>
      </c>
      <c r="O326" s="7">
        <v>25011.77190985158</v>
      </c>
    </row>
    <row r="327" spans="1:15">
      <c r="A327" s="2" t="s">
        <v>226</v>
      </c>
      <c r="B327" s="7">
        <v>35</v>
      </c>
      <c r="C327" s="2" t="s">
        <v>227</v>
      </c>
      <c r="D327" s="7">
        <v>1000</v>
      </c>
      <c r="E327" s="7">
        <v>9410.120699109379</v>
      </c>
      <c r="F327" s="7">
        <v>578.107391039034</v>
      </c>
      <c r="G327" s="7">
        <v>0</v>
      </c>
      <c r="H327" s="7">
        <v>0</v>
      </c>
      <c r="I327" s="7">
        <v>40.90435307433548</v>
      </c>
      <c r="J327" s="7">
        <v>13285.93194859826</v>
      </c>
      <c r="K327" s="7">
        <v>5237.785798357647</v>
      </c>
      <c r="L327" s="7">
        <v>4000</v>
      </c>
      <c r="M327" s="7">
        <v>4048.146150240609</v>
      </c>
      <c r="N327" s="7">
        <v>13285.93194859826</v>
      </c>
      <c r="O327" s="7">
        <v>25979.64413166075</v>
      </c>
    </row>
    <row r="328" spans="1:15">
      <c r="A328" s="2" t="s">
        <v>226</v>
      </c>
      <c r="B328" s="7">
        <v>36</v>
      </c>
      <c r="C328" s="2" t="s">
        <v>227</v>
      </c>
      <c r="D328" s="7">
        <v>1000</v>
      </c>
      <c r="E328" s="7">
        <v>9432.294711431538</v>
      </c>
      <c r="F328" s="7">
        <v>588.061156907701</v>
      </c>
      <c r="G328" s="7">
        <v>0</v>
      </c>
      <c r="H328" s="7">
        <v>0</v>
      </c>
      <c r="I328" s="7">
        <v>40.90435307433548</v>
      </c>
      <c r="J328" s="7">
        <v>13410.49448658896</v>
      </c>
      <c r="K328" s="7">
        <v>5270.175307987078</v>
      </c>
      <c r="L328" s="7">
        <v>4000</v>
      </c>
      <c r="M328" s="7">
        <v>4140.319178601883</v>
      </c>
      <c r="N328" s="7">
        <v>13410.49448658896</v>
      </c>
      <c r="O328" s="7">
        <v>26950.23144299557</v>
      </c>
    </row>
    <row r="329" spans="1:15">
      <c r="A329" s="2" t="s">
        <v>228</v>
      </c>
      <c r="B329" s="7">
        <v>1</v>
      </c>
      <c r="C329" s="2" t="s">
        <v>229</v>
      </c>
      <c r="D329" s="7">
        <v>2000</v>
      </c>
      <c r="E329" s="7">
        <v>2000</v>
      </c>
      <c r="F329" s="7">
        <v>0</v>
      </c>
      <c r="G329" s="7">
        <v>0</v>
      </c>
      <c r="H329" s="7">
        <v>0</v>
      </c>
      <c r="I329" s="7">
        <v>200</v>
      </c>
      <c r="J329" s="7">
        <v>3800</v>
      </c>
      <c r="K329" s="7">
        <v>600</v>
      </c>
      <c r="L329" s="7">
        <v>2000</v>
      </c>
      <c r="M329" s="7">
        <v>1200</v>
      </c>
      <c r="N329" s="7">
        <v>3800</v>
      </c>
      <c r="O329" s="7">
        <v>2000</v>
      </c>
    </row>
    <row r="330" spans="1:15">
      <c r="A330" s="2" t="s">
        <v>228</v>
      </c>
      <c r="B330" s="7">
        <v>2</v>
      </c>
      <c r="C330" s="2" t="s">
        <v>229</v>
      </c>
      <c r="D330" s="7">
        <v>2000</v>
      </c>
      <c r="E330" s="7">
        <v>2000</v>
      </c>
      <c r="F330" s="7">
        <v>0</v>
      </c>
      <c r="G330" s="7">
        <v>0</v>
      </c>
      <c r="H330" s="7">
        <v>0</v>
      </c>
      <c r="I330" s="7">
        <v>200</v>
      </c>
      <c r="J330" s="7">
        <v>3800</v>
      </c>
      <c r="K330" s="7">
        <v>600</v>
      </c>
      <c r="L330" s="7">
        <v>2000</v>
      </c>
      <c r="M330" s="7">
        <v>1200</v>
      </c>
      <c r="N330" s="7">
        <v>3800</v>
      </c>
      <c r="O330" s="7">
        <v>4000</v>
      </c>
    </row>
    <row r="331" spans="1:15">
      <c r="A331" s="2" t="s">
        <v>228</v>
      </c>
      <c r="B331" s="7">
        <v>3</v>
      </c>
      <c r="C331" s="2" t="s">
        <v>229</v>
      </c>
      <c r="D331" s="7">
        <v>2000</v>
      </c>
      <c r="E331" s="7">
        <v>2000</v>
      </c>
      <c r="F331" s="7">
        <v>0</v>
      </c>
      <c r="G331" s="7">
        <v>0</v>
      </c>
      <c r="H331" s="7">
        <v>0</v>
      </c>
      <c r="I331" s="7">
        <v>200</v>
      </c>
      <c r="J331" s="7">
        <v>3800</v>
      </c>
      <c r="K331" s="7">
        <v>600</v>
      </c>
      <c r="L331" s="7">
        <v>2000</v>
      </c>
      <c r="M331" s="7">
        <v>1200</v>
      </c>
      <c r="N331" s="7">
        <v>3800</v>
      </c>
      <c r="O331" s="7">
        <v>6000</v>
      </c>
    </row>
    <row r="332" spans="1:15">
      <c r="A332" s="2" t="s">
        <v>228</v>
      </c>
      <c r="B332" s="7">
        <v>4</v>
      </c>
      <c r="C332" s="2" t="s">
        <v>229</v>
      </c>
      <c r="D332" s="7">
        <v>2000</v>
      </c>
      <c r="E332" s="7">
        <v>2000</v>
      </c>
      <c r="F332" s="7">
        <v>0</v>
      </c>
      <c r="G332" s="7">
        <v>0</v>
      </c>
      <c r="H332" s="7">
        <v>0</v>
      </c>
      <c r="I332" s="7">
        <v>200</v>
      </c>
      <c r="J332" s="7">
        <v>3800</v>
      </c>
      <c r="K332" s="7">
        <v>600</v>
      </c>
      <c r="L332" s="7">
        <v>2000</v>
      </c>
      <c r="M332" s="7">
        <v>1200</v>
      </c>
      <c r="N332" s="7">
        <v>3800</v>
      </c>
      <c r="O332" s="7">
        <v>8000</v>
      </c>
    </row>
    <row r="333" spans="1:15">
      <c r="A333" s="2" t="s">
        <v>228</v>
      </c>
      <c r="B333" s="7">
        <v>5</v>
      </c>
      <c r="C333" s="2" t="s">
        <v>229</v>
      </c>
      <c r="D333" s="7">
        <v>2000</v>
      </c>
      <c r="E333" s="7">
        <v>2000</v>
      </c>
      <c r="F333" s="7">
        <v>0</v>
      </c>
      <c r="G333" s="7">
        <v>0</v>
      </c>
      <c r="H333" s="7">
        <v>0</v>
      </c>
      <c r="I333" s="7">
        <v>200</v>
      </c>
      <c r="J333" s="7">
        <v>3800</v>
      </c>
      <c r="K333" s="7">
        <v>600</v>
      </c>
      <c r="L333" s="7">
        <v>2000</v>
      </c>
      <c r="M333" s="7">
        <v>1200</v>
      </c>
      <c r="N333" s="7">
        <v>3800</v>
      </c>
      <c r="O333" s="7">
        <v>10000</v>
      </c>
    </row>
    <row r="334" spans="1:15">
      <c r="A334" s="2" t="s">
        <v>228</v>
      </c>
      <c r="B334" s="7">
        <v>6</v>
      </c>
      <c r="C334" s="2" t="s">
        <v>229</v>
      </c>
      <c r="D334" s="7">
        <v>2000</v>
      </c>
      <c r="E334" s="7">
        <v>2000</v>
      </c>
      <c r="F334" s="7">
        <v>0</v>
      </c>
      <c r="G334" s="7">
        <v>0</v>
      </c>
      <c r="H334" s="7">
        <v>0</v>
      </c>
      <c r="I334" s="7">
        <v>200</v>
      </c>
      <c r="J334" s="7">
        <v>3800</v>
      </c>
      <c r="K334" s="7">
        <v>600</v>
      </c>
      <c r="L334" s="7">
        <v>2000</v>
      </c>
      <c r="M334" s="7">
        <v>1200</v>
      </c>
      <c r="N334" s="7">
        <v>3800</v>
      </c>
      <c r="O334" s="7">
        <v>12000</v>
      </c>
    </row>
    <row r="335" spans="1:15">
      <c r="A335" s="2" t="s">
        <v>228</v>
      </c>
      <c r="B335" s="7">
        <v>7</v>
      </c>
      <c r="C335" s="2" t="s">
        <v>229</v>
      </c>
      <c r="D335" s="7">
        <v>2000</v>
      </c>
      <c r="E335" s="7">
        <v>2000</v>
      </c>
      <c r="F335" s="7">
        <v>0</v>
      </c>
      <c r="G335" s="7">
        <v>0</v>
      </c>
      <c r="H335" s="7">
        <v>0</v>
      </c>
      <c r="I335" s="7">
        <v>200</v>
      </c>
      <c r="J335" s="7">
        <v>3800</v>
      </c>
      <c r="K335" s="7">
        <v>600</v>
      </c>
      <c r="L335" s="7">
        <v>2000</v>
      </c>
      <c r="M335" s="7">
        <v>1200</v>
      </c>
      <c r="N335" s="7">
        <v>3800</v>
      </c>
      <c r="O335" s="7">
        <v>14000</v>
      </c>
    </row>
    <row r="336" spans="1:15">
      <c r="A336" s="2" t="s">
        <v>228</v>
      </c>
      <c r="B336" s="7">
        <v>8</v>
      </c>
      <c r="C336" s="2" t="s">
        <v>229</v>
      </c>
      <c r="D336" s="7">
        <v>2000</v>
      </c>
      <c r="E336" s="7">
        <v>2000</v>
      </c>
      <c r="F336" s="7">
        <v>0</v>
      </c>
      <c r="G336" s="7">
        <v>0</v>
      </c>
      <c r="H336" s="7">
        <v>0</v>
      </c>
      <c r="I336" s="7">
        <v>200</v>
      </c>
      <c r="J336" s="7">
        <v>3800</v>
      </c>
      <c r="K336" s="7">
        <v>600</v>
      </c>
      <c r="L336" s="7">
        <v>2000</v>
      </c>
      <c r="M336" s="7">
        <v>1200</v>
      </c>
      <c r="N336" s="7">
        <v>3800</v>
      </c>
      <c r="O336" s="7">
        <v>16000</v>
      </c>
    </row>
    <row r="337" spans="1:15">
      <c r="A337" s="2" t="s">
        <v>228</v>
      </c>
      <c r="B337" s="7">
        <v>9</v>
      </c>
      <c r="C337" s="2" t="s">
        <v>229</v>
      </c>
      <c r="D337" s="7">
        <v>2000</v>
      </c>
      <c r="E337" s="7">
        <v>2000</v>
      </c>
      <c r="F337" s="7">
        <v>0</v>
      </c>
      <c r="G337" s="7">
        <v>0</v>
      </c>
      <c r="H337" s="7">
        <v>0</v>
      </c>
      <c r="I337" s="7">
        <v>200</v>
      </c>
      <c r="J337" s="7">
        <v>3800</v>
      </c>
      <c r="K337" s="7">
        <v>600</v>
      </c>
      <c r="L337" s="7">
        <v>2000</v>
      </c>
      <c r="M337" s="7">
        <v>1200</v>
      </c>
      <c r="N337" s="7">
        <v>3800</v>
      </c>
      <c r="O337" s="7">
        <v>18000</v>
      </c>
    </row>
    <row r="338" spans="1:15">
      <c r="A338" s="2" t="s">
        <v>228</v>
      </c>
      <c r="B338" s="7">
        <v>10</v>
      </c>
      <c r="C338" s="2" t="s">
        <v>229</v>
      </c>
      <c r="D338" s="7">
        <v>2000</v>
      </c>
      <c r="E338" s="7">
        <v>2000</v>
      </c>
      <c r="F338" s="7">
        <v>0</v>
      </c>
      <c r="G338" s="7">
        <v>0</v>
      </c>
      <c r="H338" s="7">
        <v>0</v>
      </c>
      <c r="I338" s="7">
        <v>200</v>
      </c>
      <c r="J338" s="7">
        <v>3800</v>
      </c>
      <c r="K338" s="7">
        <v>600</v>
      </c>
      <c r="L338" s="7">
        <v>2000</v>
      </c>
      <c r="M338" s="7">
        <v>1200</v>
      </c>
      <c r="N338" s="7">
        <v>3800</v>
      </c>
      <c r="O338" s="7">
        <v>20000</v>
      </c>
    </row>
    <row r="339" spans="1:15">
      <c r="A339" s="2" t="s">
        <v>228</v>
      </c>
      <c r="B339" s="7">
        <v>11</v>
      </c>
      <c r="C339" s="2" t="s">
        <v>229</v>
      </c>
      <c r="D339" s="7">
        <v>2000</v>
      </c>
      <c r="E339" s="7">
        <v>2000</v>
      </c>
      <c r="F339" s="7">
        <v>0</v>
      </c>
      <c r="G339" s="7">
        <v>0</v>
      </c>
      <c r="H339" s="7">
        <v>0</v>
      </c>
      <c r="I339" s="7">
        <v>200</v>
      </c>
      <c r="J339" s="7">
        <v>3800</v>
      </c>
      <c r="K339" s="7">
        <v>600</v>
      </c>
      <c r="L339" s="7">
        <v>2000</v>
      </c>
      <c r="M339" s="7">
        <v>1200</v>
      </c>
      <c r="N339" s="7">
        <v>3800</v>
      </c>
      <c r="O339" s="7">
        <v>22000</v>
      </c>
    </row>
    <row r="340" spans="1:15">
      <c r="A340" s="2" t="s">
        <v>228</v>
      </c>
      <c r="B340" s="7">
        <v>12</v>
      </c>
      <c r="C340" s="2" t="s">
        <v>229</v>
      </c>
      <c r="D340" s="7">
        <v>2000</v>
      </c>
      <c r="E340" s="7">
        <v>2000</v>
      </c>
      <c r="F340" s="7">
        <v>0</v>
      </c>
      <c r="G340" s="7">
        <v>0</v>
      </c>
      <c r="H340" s="7">
        <v>0</v>
      </c>
      <c r="I340" s="7">
        <v>200</v>
      </c>
      <c r="J340" s="7">
        <v>3800</v>
      </c>
      <c r="K340" s="7">
        <v>600</v>
      </c>
      <c r="L340" s="7">
        <v>2000</v>
      </c>
      <c r="M340" s="7">
        <v>1200</v>
      </c>
      <c r="N340" s="7">
        <v>3800</v>
      </c>
      <c r="O340" s="7">
        <v>24000</v>
      </c>
    </row>
    <row r="341" spans="1:15">
      <c r="A341" s="2" t="s">
        <v>228</v>
      </c>
      <c r="B341" s="7">
        <v>13</v>
      </c>
      <c r="C341" s="2" t="s">
        <v>229</v>
      </c>
      <c r="D341" s="7">
        <v>2000</v>
      </c>
      <c r="E341" s="7">
        <v>2000</v>
      </c>
      <c r="F341" s="7">
        <v>0</v>
      </c>
      <c r="G341" s="7">
        <v>0</v>
      </c>
      <c r="H341" s="7">
        <v>0</v>
      </c>
      <c r="I341" s="7">
        <v>200</v>
      </c>
      <c r="J341" s="7">
        <v>3800</v>
      </c>
      <c r="K341" s="7">
        <v>600</v>
      </c>
      <c r="L341" s="7">
        <v>2000</v>
      </c>
      <c r="M341" s="7">
        <v>1200</v>
      </c>
      <c r="N341" s="7">
        <v>3800</v>
      </c>
      <c r="O341" s="7">
        <v>26000</v>
      </c>
    </row>
    <row r="342" spans="1:15">
      <c r="A342" s="2" t="s">
        <v>228</v>
      </c>
      <c r="B342" s="7">
        <v>14</v>
      </c>
      <c r="C342" s="2" t="s">
        <v>229</v>
      </c>
      <c r="D342" s="7">
        <v>2000</v>
      </c>
      <c r="E342" s="7">
        <v>2000</v>
      </c>
      <c r="F342" s="7">
        <v>0</v>
      </c>
      <c r="G342" s="7">
        <v>0</v>
      </c>
      <c r="H342" s="7">
        <v>0</v>
      </c>
      <c r="I342" s="7">
        <v>200</v>
      </c>
      <c r="J342" s="7">
        <v>3800</v>
      </c>
      <c r="K342" s="7">
        <v>600</v>
      </c>
      <c r="L342" s="7">
        <v>2000</v>
      </c>
      <c r="M342" s="7">
        <v>1200</v>
      </c>
      <c r="N342" s="7">
        <v>3800</v>
      </c>
      <c r="O342" s="7">
        <v>28000</v>
      </c>
    </row>
    <row r="343" spans="1:15">
      <c r="A343" s="2" t="s">
        <v>228</v>
      </c>
      <c r="B343" s="7">
        <v>15</v>
      </c>
      <c r="C343" s="2" t="s">
        <v>229</v>
      </c>
      <c r="D343" s="7">
        <v>2000</v>
      </c>
      <c r="E343" s="7">
        <v>2000</v>
      </c>
      <c r="F343" s="7">
        <v>0</v>
      </c>
      <c r="G343" s="7">
        <v>0</v>
      </c>
      <c r="H343" s="7">
        <v>0</v>
      </c>
      <c r="I343" s="7">
        <v>200</v>
      </c>
      <c r="J343" s="7">
        <v>3800</v>
      </c>
      <c r="K343" s="7">
        <v>600</v>
      </c>
      <c r="L343" s="7">
        <v>2000</v>
      </c>
      <c r="M343" s="7">
        <v>1200</v>
      </c>
      <c r="N343" s="7">
        <v>3800</v>
      </c>
      <c r="O343" s="7">
        <v>30000</v>
      </c>
    </row>
    <row r="344" spans="1:15">
      <c r="A344" s="2" t="s">
        <v>228</v>
      </c>
      <c r="B344" s="7">
        <v>16</v>
      </c>
      <c r="C344" s="2" t="s">
        <v>229</v>
      </c>
      <c r="D344" s="7">
        <v>2000</v>
      </c>
      <c r="E344" s="7">
        <v>2000</v>
      </c>
      <c r="F344" s="7">
        <v>0</v>
      </c>
      <c r="G344" s="7">
        <v>0</v>
      </c>
      <c r="H344" s="7">
        <v>0</v>
      </c>
      <c r="I344" s="7">
        <v>200</v>
      </c>
      <c r="J344" s="7">
        <v>3800</v>
      </c>
      <c r="K344" s="7">
        <v>600</v>
      </c>
      <c r="L344" s="7">
        <v>2000</v>
      </c>
      <c r="M344" s="7">
        <v>1200</v>
      </c>
      <c r="N344" s="7">
        <v>3800</v>
      </c>
      <c r="O344" s="7">
        <v>32000</v>
      </c>
    </row>
    <row r="345" spans="1:15">
      <c r="A345" s="2" t="s">
        <v>228</v>
      </c>
      <c r="B345" s="7">
        <v>17</v>
      </c>
      <c r="C345" s="2" t="s">
        <v>229</v>
      </c>
      <c r="D345" s="7">
        <v>2000</v>
      </c>
      <c r="E345" s="7">
        <v>2000</v>
      </c>
      <c r="F345" s="7">
        <v>0</v>
      </c>
      <c r="G345" s="7">
        <v>0</v>
      </c>
      <c r="H345" s="7">
        <v>0</v>
      </c>
      <c r="I345" s="7">
        <v>200</v>
      </c>
      <c r="J345" s="7">
        <v>3800</v>
      </c>
      <c r="K345" s="7">
        <v>600</v>
      </c>
      <c r="L345" s="7">
        <v>2000</v>
      </c>
      <c r="M345" s="7">
        <v>1200</v>
      </c>
      <c r="N345" s="7">
        <v>3800</v>
      </c>
      <c r="O345" s="7">
        <v>34000</v>
      </c>
    </row>
    <row r="346" spans="1:15">
      <c r="A346" s="2" t="s">
        <v>228</v>
      </c>
      <c r="B346" s="7">
        <v>18</v>
      </c>
      <c r="C346" s="2" t="s">
        <v>229</v>
      </c>
      <c r="D346" s="7">
        <v>2000</v>
      </c>
      <c r="E346" s="7">
        <v>2000</v>
      </c>
      <c r="F346" s="7">
        <v>0</v>
      </c>
      <c r="G346" s="7">
        <v>0</v>
      </c>
      <c r="H346" s="7">
        <v>0</v>
      </c>
      <c r="I346" s="7">
        <v>200</v>
      </c>
      <c r="J346" s="7">
        <v>3800</v>
      </c>
      <c r="K346" s="7">
        <v>600</v>
      </c>
      <c r="L346" s="7">
        <v>2000</v>
      </c>
      <c r="M346" s="7">
        <v>1200</v>
      </c>
      <c r="N346" s="7">
        <v>3800</v>
      </c>
      <c r="O346" s="7">
        <v>36000</v>
      </c>
    </row>
    <row r="347" spans="1:15">
      <c r="A347" s="2" t="s">
        <v>228</v>
      </c>
      <c r="B347" s="7">
        <v>19</v>
      </c>
      <c r="C347" s="2" t="s">
        <v>229</v>
      </c>
      <c r="D347" s="7">
        <v>2000</v>
      </c>
      <c r="E347" s="7">
        <v>2000</v>
      </c>
      <c r="F347" s="7">
        <v>0</v>
      </c>
      <c r="G347" s="7">
        <v>0</v>
      </c>
      <c r="H347" s="7">
        <v>0</v>
      </c>
      <c r="I347" s="7">
        <v>200</v>
      </c>
      <c r="J347" s="7">
        <v>3800</v>
      </c>
      <c r="K347" s="7">
        <v>600</v>
      </c>
      <c r="L347" s="7">
        <v>2000</v>
      </c>
      <c r="M347" s="7">
        <v>1200</v>
      </c>
      <c r="N347" s="7">
        <v>3800</v>
      </c>
      <c r="O347" s="7">
        <v>38000</v>
      </c>
    </row>
    <row r="348" spans="1:15">
      <c r="A348" s="2" t="s">
        <v>228</v>
      </c>
      <c r="B348" s="7">
        <v>20</v>
      </c>
      <c r="C348" s="2" t="s">
        <v>229</v>
      </c>
      <c r="D348" s="7">
        <v>2000</v>
      </c>
      <c r="E348" s="7">
        <v>2000</v>
      </c>
      <c r="F348" s="7">
        <v>0</v>
      </c>
      <c r="G348" s="7">
        <v>0</v>
      </c>
      <c r="H348" s="7">
        <v>0</v>
      </c>
      <c r="I348" s="7">
        <v>200</v>
      </c>
      <c r="J348" s="7">
        <v>3800</v>
      </c>
      <c r="K348" s="7">
        <v>600</v>
      </c>
      <c r="L348" s="7">
        <v>2000</v>
      </c>
      <c r="M348" s="7">
        <v>1200</v>
      </c>
      <c r="N348" s="7">
        <v>3800</v>
      </c>
      <c r="O348" s="7">
        <v>40000</v>
      </c>
    </row>
    <row r="349" spans="1:15">
      <c r="A349" s="2" t="s">
        <v>228</v>
      </c>
      <c r="B349" s="7">
        <v>21</v>
      </c>
      <c r="C349" s="2" t="s">
        <v>229</v>
      </c>
      <c r="D349" s="7">
        <v>2000</v>
      </c>
      <c r="E349" s="7">
        <v>2000</v>
      </c>
      <c r="F349" s="7">
        <v>0</v>
      </c>
      <c r="G349" s="7">
        <v>0</v>
      </c>
      <c r="H349" s="7">
        <v>0</v>
      </c>
      <c r="I349" s="7">
        <v>200</v>
      </c>
      <c r="J349" s="7">
        <v>3800</v>
      </c>
      <c r="K349" s="7">
        <v>600</v>
      </c>
      <c r="L349" s="7">
        <v>2000</v>
      </c>
      <c r="M349" s="7">
        <v>1200</v>
      </c>
      <c r="N349" s="7">
        <v>3800</v>
      </c>
      <c r="O349" s="7">
        <v>42000</v>
      </c>
    </row>
    <row r="350" spans="1:15">
      <c r="A350" s="2" t="s">
        <v>228</v>
      </c>
      <c r="B350" s="7">
        <v>22</v>
      </c>
      <c r="C350" s="2" t="s">
        <v>229</v>
      </c>
      <c r="D350" s="7">
        <v>2000</v>
      </c>
      <c r="E350" s="7">
        <v>2000</v>
      </c>
      <c r="F350" s="7">
        <v>0</v>
      </c>
      <c r="G350" s="7">
        <v>0</v>
      </c>
      <c r="H350" s="7">
        <v>0</v>
      </c>
      <c r="I350" s="7">
        <v>200</v>
      </c>
      <c r="J350" s="7">
        <v>3800</v>
      </c>
      <c r="K350" s="7">
        <v>600</v>
      </c>
      <c r="L350" s="7">
        <v>2000</v>
      </c>
      <c r="M350" s="7">
        <v>1200</v>
      </c>
      <c r="N350" s="7">
        <v>3800</v>
      </c>
      <c r="O350" s="7">
        <v>44000</v>
      </c>
    </row>
    <row r="351" spans="1:15">
      <c r="A351" s="2" t="s">
        <v>228</v>
      </c>
      <c r="B351" s="7">
        <v>23</v>
      </c>
      <c r="C351" s="2" t="s">
        <v>229</v>
      </c>
      <c r="D351" s="7">
        <v>2000</v>
      </c>
      <c r="E351" s="7">
        <v>2000</v>
      </c>
      <c r="F351" s="7">
        <v>0</v>
      </c>
      <c r="G351" s="7">
        <v>0</v>
      </c>
      <c r="H351" s="7">
        <v>0</v>
      </c>
      <c r="I351" s="7">
        <v>200</v>
      </c>
      <c r="J351" s="7">
        <v>3800</v>
      </c>
      <c r="K351" s="7">
        <v>600</v>
      </c>
      <c r="L351" s="7">
        <v>2000</v>
      </c>
      <c r="M351" s="7">
        <v>1200</v>
      </c>
      <c r="N351" s="7">
        <v>3800</v>
      </c>
      <c r="O351" s="7">
        <v>46000</v>
      </c>
    </row>
    <row r="352" spans="1:15">
      <c r="A352" s="2" t="s">
        <v>228</v>
      </c>
      <c r="B352" s="7">
        <v>24</v>
      </c>
      <c r="C352" s="2" t="s">
        <v>229</v>
      </c>
      <c r="D352" s="7">
        <v>2000</v>
      </c>
      <c r="E352" s="7">
        <v>2000</v>
      </c>
      <c r="F352" s="7">
        <v>0</v>
      </c>
      <c r="G352" s="7">
        <v>0</v>
      </c>
      <c r="H352" s="7">
        <v>0</v>
      </c>
      <c r="I352" s="7">
        <v>200</v>
      </c>
      <c r="J352" s="7">
        <v>3800</v>
      </c>
      <c r="K352" s="7">
        <v>600</v>
      </c>
      <c r="L352" s="7">
        <v>2000</v>
      </c>
      <c r="M352" s="7">
        <v>1200</v>
      </c>
      <c r="N352" s="7">
        <v>3800</v>
      </c>
      <c r="O352" s="7">
        <v>48000</v>
      </c>
    </row>
    <row r="353" spans="1:15">
      <c r="A353" s="2" t="s">
        <v>228</v>
      </c>
      <c r="B353" s="7">
        <v>25</v>
      </c>
      <c r="C353" s="2" t="s">
        <v>229</v>
      </c>
      <c r="D353" s="7">
        <v>2000</v>
      </c>
      <c r="E353" s="7">
        <v>2000</v>
      </c>
      <c r="F353" s="7">
        <v>0</v>
      </c>
      <c r="G353" s="7">
        <v>0</v>
      </c>
      <c r="H353" s="7">
        <v>0</v>
      </c>
      <c r="I353" s="7">
        <v>200</v>
      </c>
      <c r="J353" s="7">
        <v>3800</v>
      </c>
      <c r="K353" s="7">
        <v>600</v>
      </c>
      <c r="L353" s="7">
        <v>2000</v>
      </c>
      <c r="M353" s="7">
        <v>1200</v>
      </c>
      <c r="N353" s="7">
        <v>3800</v>
      </c>
      <c r="O353" s="7">
        <v>50000</v>
      </c>
    </row>
    <row r="354" spans="1:15">
      <c r="A354" s="2" t="s">
        <v>228</v>
      </c>
      <c r="B354" s="7">
        <v>26</v>
      </c>
      <c r="C354" s="2" t="s">
        <v>229</v>
      </c>
      <c r="D354" s="7">
        <v>2000</v>
      </c>
      <c r="E354" s="7">
        <v>2000</v>
      </c>
      <c r="F354" s="7">
        <v>0</v>
      </c>
      <c r="G354" s="7">
        <v>0</v>
      </c>
      <c r="H354" s="7">
        <v>0</v>
      </c>
      <c r="I354" s="7">
        <v>200</v>
      </c>
      <c r="J354" s="7">
        <v>3800</v>
      </c>
      <c r="K354" s="7">
        <v>600</v>
      </c>
      <c r="L354" s="7">
        <v>2000</v>
      </c>
      <c r="M354" s="7">
        <v>1200</v>
      </c>
      <c r="N354" s="7">
        <v>3800</v>
      </c>
      <c r="O354" s="7">
        <v>52000</v>
      </c>
    </row>
    <row r="355" spans="1:15">
      <c r="A355" s="2" t="s">
        <v>228</v>
      </c>
      <c r="B355" s="7">
        <v>27</v>
      </c>
      <c r="C355" s="2" t="s">
        <v>229</v>
      </c>
      <c r="D355" s="7">
        <v>2000</v>
      </c>
      <c r="E355" s="7">
        <v>2000</v>
      </c>
      <c r="F355" s="7">
        <v>0</v>
      </c>
      <c r="G355" s="7">
        <v>0</v>
      </c>
      <c r="H355" s="7">
        <v>0</v>
      </c>
      <c r="I355" s="7">
        <v>200</v>
      </c>
      <c r="J355" s="7">
        <v>3800</v>
      </c>
      <c r="K355" s="7">
        <v>600</v>
      </c>
      <c r="L355" s="7">
        <v>2000</v>
      </c>
      <c r="M355" s="7">
        <v>1200</v>
      </c>
      <c r="N355" s="7">
        <v>3800</v>
      </c>
      <c r="O355" s="7">
        <v>54000</v>
      </c>
    </row>
    <row r="356" spans="1:15">
      <c r="A356" s="2" t="s">
        <v>228</v>
      </c>
      <c r="B356" s="7">
        <v>28</v>
      </c>
      <c r="C356" s="2" t="s">
        <v>229</v>
      </c>
      <c r="D356" s="7">
        <v>2000</v>
      </c>
      <c r="E356" s="7">
        <v>2000</v>
      </c>
      <c r="F356" s="7">
        <v>0</v>
      </c>
      <c r="G356" s="7">
        <v>0</v>
      </c>
      <c r="H356" s="7">
        <v>0</v>
      </c>
      <c r="I356" s="7">
        <v>200</v>
      </c>
      <c r="J356" s="7">
        <v>3800</v>
      </c>
      <c r="K356" s="7">
        <v>600</v>
      </c>
      <c r="L356" s="7">
        <v>2000</v>
      </c>
      <c r="M356" s="7">
        <v>1200</v>
      </c>
      <c r="N356" s="7">
        <v>3800</v>
      </c>
      <c r="O356" s="7">
        <v>56000</v>
      </c>
    </row>
    <row r="357" spans="1:15">
      <c r="A357" s="2" t="s">
        <v>228</v>
      </c>
      <c r="B357" s="7">
        <v>29</v>
      </c>
      <c r="C357" s="2" t="s">
        <v>229</v>
      </c>
      <c r="D357" s="7">
        <v>2000</v>
      </c>
      <c r="E357" s="7">
        <v>2000</v>
      </c>
      <c r="F357" s="7">
        <v>0</v>
      </c>
      <c r="G357" s="7">
        <v>0</v>
      </c>
      <c r="H357" s="7">
        <v>0</v>
      </c>
      <c r="I357" s="7">
        <v>200</v>
      </c>
      <c r="J357" s="7">
        <v>3800</v>
      </c>
      <c r="K357" s="7">
        <v>600</v>
      </c>
      <c r="L357" s="7">
        <v>2000</v>
      </c>
      <c r="M357" s="7">
        <v>1200</v>
      </c>
      <c r="N357" s="7">
        <v>3800</v>
      </c>
      <c r="O357" s="7">
        <v>58000</v>
      </c>
    </row>
    <row r="358" spans="1:15">
      <c r="A358" s="2" t="s">
        <v>228</v>
      </c>
      <c r="B358" s="7">
        <v>30</v>
      </c>
      <c r="C358" s="2" t="s">
        <v>229</v>
      </c>
      <c r="D358" s="7">
        <v>2000</v>
      </c>
      <c r="E358" s="7">
        <v>2000</v>
      </c>
      <c r="F358" s="7">
        <v>0</v>
      </c>
      <c r="G358" s="7">
        <v>0</v>
      </c>
      <c r="H358" s="7">
        <v>0</v>
      </c>
      <c r="I358" s="7">
        <v>200</v>
      </c>
      <c r="J358" s="7">
        <v>3800</v>
      </c>
      <c r="K358" s="7">
        <v>600</v>
      </c>
      <c r="L358" s="7">
        <v>2000</v>
      </c>
      <c r="M358" s="7">
        <v>1200</v>
      </c>
      <c r="N358" s="7">
        <v>3800</v>
      </c>
      <c r="O358" s="7">
        <v>60000</v>
      </c>
    </row>
    <row r="359" spans="1:15">
      <c r="A359" s="2" t="s">
        <v>228</v>
      </c>
      <c r="B359" s="7">
        <v>31</v>
      </c>
      <c r="C359" s="2" t="s">
        <v>229</v>
      </c>
      <c r="D359" s="7">
        <v>2000</v>
      </c>
      <c r="E359" s="7">
        <v>2000</v>
      </c>
      <c r="F359" s="7">
        <v>0</v>
      </c>
      <c r="G359" s="7">
        <v>0</v>
      </c>
      <c r="H359" s="7">
        <v>0</v>
      </c>
      <c r="I359" s="7">
        <v>200</v>
      </c>
      <c r="J359" s="7">
        <v>3800</v>
      </c>
      <c r="K359" s="7">
        <v>600</v>
      </c>
      <c r="L359" s="7">
        <v>2000</v>
      </c>
      <c r="M359" s="7">
        <v>1200</v>
      </c>
      <c r="N359" s="7">
        <v>3800</v>
      </c>
      <c r="O359" s="7">
        <v>62000</v>
      </c>
    </row>
    <row r="360" spans="1:15">
      <c r="A360" s="2" t="s">
        <v>228</v>
      </c>
      <c r="B360" s="7">
        <v>32</v>
      </c>
      <c r="C360" s="2" t="s">
        <v>229</v>
      </c>
      <c r="D360" s="7">
        <v>2000</v>
      </c>
      <c r="E360" s="7">
        <v>2000</v>
      </c>
      <c r="F360" s="7">
        <v>0</v>
      </c>
      <c r="G360" s="7">
        <v>0</v>
      </c>
      <c r="H360" s="7">
        <v>0</v>
      </c>
      <c r="I360" s="7">
        <v>200</v>
      </c>
      <c r="J360" s="7">
        <v>3800</v>
      </c>
      <c r="K360" s="7">
        <v>600</v>
      </c>
      <c r="L360" s="7">
        <v>2000</v>
      </c>
      <c r="M360" s="7">
        <v>1200</v>
      </c>
      <c r="N360" s="7">
        <v>3800</v>
      </c>
      <c r="O360" s="7">
        <v>64000</v>
      </c>
    </row>
    <row r="361" spans="1:15">
      <c r="A361" s="2" t="s">
        <v>228</v>
      </c>
      <c r="B361" s="7">
        <v>33</v>
      </c>
      <c r="C361" s="2" t="s">
        <v>229</v>
      </c>
      <c r="D361" s="7">
        <v>2000</v>
      </c>
      <c r="E361" s="7">
        <v>2000</v>
      </c>
      <c r="F361" s="7">
        <v>0</v>
      </c>
      <c r="G361" s="7">
        <v>0</v>
      </c>
      <c r="H361" s="7">
        <v>0</v>
      </c>
      <c r="I361" s="7">
        <v>200</v>
      </c>
      <c r="J361" s="7">
        <v>3800</v>
      </c>
      <c r="K361" s="7">
        <v>600</v>
      </c>
      <c r="L361" s="7">
        <v>2000</v>
      </c>
      <c r="M361" s="7">
        <v>1200</v>
      </c>
      <c r="N361" s="7">
        <v>3800</v>
      </c>
      <c r="O361" s="7">
        <v>66000</v>
      </c>
    </row>
    <row r="362" spans="1:15">
      <c r="A362" s="2" t="s">
        <v>228</v>
      </c>
      <c r="B362" s="7">
        <v>34</v>
      </c>
      <c r="C362" s="2" t="s">
        <v>229</v>
      </c>
      <c r="D362" s="7">
        <v>2000</v>
      </c>
      <c r="E362" s="7">
        <v>2000</v>
      </c>
      <c r="F362" s="7">
        <v>0</v>
      </c>
      <c r="G362" s="7">
        <v>0</v>
      </c>
      <c r="H362" s="7">
        <v>0</v>
      </c>
      <c r="I362" s="7">
        <v>200</v>
      </c>
      <c r="J362" s="7">
        <v>3800</v>
      </c>
      <c r="K362" s="7">
        <v>600</v>
      </c>
      <c r="L362" s="7">
        <v>2000</v>
      </c>
      <c r="M362" s="7">
        <v>1200</v>
      </c>
      <c r="N362" s="7">
        <v>3800</v>
      </c>
      <c r="O362" s="7">
        <v>68000</v>
      </c>
    </row>
    <row r="363" spans="1:15">
      <c r="A363" s="2" t="s">
        <v>228</v>
      </c>
      <c r="B363" s="7">
        <v>35</v>
      </c>
      <c r="C363" s="2" t="s">
        <v>229</v>
      </c>
      <c r="D363" s="7">
        <v>2000</v>
      </c>
      <c r="E363" s="7">
        <v>2000</v>
      </c>
      <c r="F363" s="7">
        <v>0</v>
      </c>
      <c r="G363" s="7">
        <v>0</v>
      </c>
      <c r="H363" s="7">
        <v>0</v>
      </c>
      <c r="I363" s="7">
        <v>200</v>
      </c>
      <c r="J363" s="7">
        <v>3800</v>
      </c>
      <c r="K363" s="7">
        <v>600</v>
      </c>
      <c r="L363" s="7">
        <v>2000</v>
      </c>
      <c r="M363" s="7">
        <v>1200</v>
      </c>
      <c r="N363" s="7">
        <v>3800</v>
      </c>
      <c r="O363" s="7">
        <v>70000</v>
      </c>
    </row>
    <row r="364" spans="1:15">
      <c r="A364" s="2" t="s">
        <v>228</v>
      </c>
      <c r="B364" s="7">
        <v>36</v>
      </c>
      <c r="C364" s="2" t="s">
        <v>229</v>
      </c>
      <c r="D364" s="7">
        <v>2000</v>
      </c>
      <c r="E364" s="7">
        <v>2000</v>
      </c>
      <c r="F364" s="7">
        <v>0</v>
      </c>
      <c r="G364" s="7">
        <v>0</v>
      </c>
      <c r="H364" s="7">
        <v>0</v>
      </c>
      <c r="I364" s="7">
        <v>200</v>
      </c>
      <c r="J364" s="7">
        <v>3800</v>
      </c>
      <c r="K364" s="7">
        <v>600</v>
      </c>
      <c r="L364" s="7">
        <v>2000</v>
      </c>
      <c r="M364" s="7">
        <v>1200</v>
      </c>
      <c r="N364" s="7">
        <v>3800</v>
      </c>
      <c r="O364" s="7">
        <v>72000</v>
      </c>
    </row>
    <row r="365" spans="1:15">
      <c r="A365" s="2" t="s">
        <v>230</v>
      </c>
      <c r="B365" s="7">
        <v>1</v>
      </c>
      <c r="C365" s="2" t="s">
        <v>231</v>
      </c>
      <c r="D365" s="7">
        <v>1000</v>
      </c>
      <c r="E365" s="7">
        <v>1000</v>
      </c>
      <c r="F365" s="7">
        <v>0</v>
      </c>
      <c r="G365" s="7">
        <v>0</v>
      </c>
      <c r="H365" s="7">
        <v>0</v>
      </c>
      <c r="I365" s="7">
        <v>100</v>
      </c>
      <c r="J365" s="7">
        <v>1900</v>
      </c>
      <c r="K365" s="7">
        <v>300</v>
      </c>
      <c r="L365" s="7">
        <v>1500</v>
      </c>
      <c r="M365" s="7">
        <v>100</v>
      </c>
      <c r="N365" s="7">
        <v>1900</v>
      </c>
      <c r="O365" s="7">
        <v>1000</v>
      </c>
    </row>
    <row r="366" spans="1:15">
      <c r="A366" s="2" t="s">
        <v>230</v>
      </c>
      <c r="B366" s="7">
        <v>2</v>
      </c>
      <c r="C366" s="2" t="s">
        <v>231</v>
      </c>
      <c r="D366" s="7">
        <v>1000</v>
      </c>
      <c r="E366" s="7">
        <v>1000</v>
      </c>
      <c r="F366" s="7">
        <v>0</v>
      </c>
      <c r="G366" s="7">
        <v>0</v>
      </c>
      <c r="H366" s="7">
        <v>0</v>
      </c>
      <c r="I366" s="7">
        <v>100</v>
      </c>
      <c r="J366" s="7">
        <v>1900</v>
      </c>
      <c r="K366" s="7">
        <v>300</v>
      </c>
      <c r="L366" s="7">
        <v>1500</v>
      </c>
      <c r="M366" s="7">
        <v>100</v>
      </c>
      <c r="N366" s="7">
        <v>1900</v>
      </c>
      <c r="O366" s="7">
        <v>2000</v>
      </c>
    </row>
    <row r="367" spans="1:15">
      <c r="A367" s="2" t="s">
        <v>230</v>
      </c>
      <c r="B367" s="7">
        <v>3</v>
      </c>
      <c r="C367" s="2" t="s">
        <v>231</v>
      </c>
      <c r="D367" s="7">
        <v>1000</v>
      </c>
      <c r="E367" s="7">
        <v>1000</v>
      </c>
      <c r="F367" s="7">
        <v>0</v>
      </c>
      <c r="G367" s="7">
        <v>0</v>
      </c>
      <c r="H367" s="7">
        <v>0</v>
      </c>
      <c r="I367" s="7">
        <v>100</v>
      </c>
      <c r="J367" s="7">
        <v>1900</v>
      </c>
      <c r="K367" s="7">
        <v>300</v>
      </c>
      <c r="L367" s="7">
        <v>1500</v>
      </c>
      <c r="M367" s="7">
        <v>100</v>
      </c>
      <c r="N367" s="7">
        <v>1900</v>
      </c>
      <c r="O367" s="7">
        <v>3000</v>
      </c>
    </row>
    <row r="368" spans="1:15">
      <c r="A368" s="2" t="s">
        <v>230</v>
      </c>
      <c r="B368" s="7">
        <v>4</v>
      </c>
      <c r="C368" s="2" t="s">
        <v>231</v>
      </c>
      <c r="D368" s="7">
        <v>1000</v>
      </c>
      <c r="E368" s="7">
        <v>1000</v>
      </c>
      <c r="F368" s="7">
        <v>0</v>
      </c>
      <c r="G368" s="7">
        <v>0</v>
      </c>
      <c r="H368" s="7">
        <v>0</v>
      </c>
      <c r="I368" s="7">
        <v>100</v>
      </c>
      <c r="J368" s="7">
        <v>1900</v>
      </c>
      <c r="K368" s="7">
        <v>300</v>
      </c>
      <c r="L368" s="7">
        <v>1500</v>
      </c>
      <c r="M368" s="7">
        <v>100</v>
      </c>
      <c r="N368" s="7">
        <v>1900</v>
      </c>
      <c r="O368" s="7">
        <v>4000</v>
      </c>
    </row>
    <row r="369" spans="1:15">
      <c r="A369" s="2" t="s">
        <v>230</v>
      </c>
      <c r="B369" s="7">
        <v>5</v>
      </c>
      <c r="C369" s="2" t="s">
        <v>231</v>
      </c>
      <c r="D369" s="7">
        <v>1000</v>
      </c>
      <c r="E369" s="7">
        <v>1000</v>
      </c>
      <c r="F369" s="7">
        <v>0</v>
      </c>
      <c r="G369" s="7">
        <v>0</v>
      </c>
      <c r="H369" s="7">
        <v>0</v>
      </c>
      <c r="I369" s="7">
        <v>100</v>
      </c>
      <c r="J369" s="7">
        <v>1900</v>
      </c>
      <c r="K369" s="7">
        <v>300</v>
      </c>
      <c r="L369" s="7">
        <v>1500</v>
      </c>
      <c r="M369" s="7">
        <v>100</v>
      </c>
      <c r="N369" s="7">
        <v>1900</v>
      </c>
      <c r="O369" s="7">
        <v>5000</v>
      </c>
    </row>
    <row r="370" spans="1:15">
      <c r="A370" s="2" t="s">
        <v>230</v>
      </c>
      <c r="B370" s="7">
        <v>6</v>
      </c>
      <c r="C370" s="2" t="s">
        <v>231</v>
      </c>
      <c r="D370" s="7">
        <v>1000</v>
      </c>
      <c r="E370" s="7">
        <v>1000</v>
      </c>
      <c r="F370" s="7">
        <v>0</v>
      </c>
      <c r="G370" s="7">
        <v>0</v>
      </c>
      <c r="H370" s="7">
        <v>0</v>
      </c>
      <c r="I370" s="7">
        <v>100</v>
      </c>
      <c r="J370" s="7">
        <v>1900</v>
      </c>
      <c r="K370" s="7">
        <v>300</v>
      </c>
      <c r="L370" s="7">
        <v>1500</v>
      </c>
      <c r="M370" s="7">
        <v>100</v>
      </c>
      <c r="N370" s="7">
        <v>1900</v>
      </c>
      <c r="O370" s="7">
        <v>6000</v>
      </c>
    </row>
    <row r="371" spans="1:15">
      <c r="A371" s="2" t="s">
        <v>230</v>
      </c>
      <c r="B371" s="7">
        <v>7</v>
      </c>
      <c r="C371" s="2" t="s">
        <v>231</v>
      </c>
      <c r="D371" s="7">
        <v>1000</v>
      </c>
      <c r="E371" s="7">
        <v>1000</v>
      </c>
      <c r="F371" s="7">
        <v>0</v>
      </c>
      <c r="G371" s="7">
        <v>0</v>
      </c>
      <c r="H371" s="7">
        <v>0</v>
      </c>
      <c r="I371" s="7">
        <v>100</v>
      </c>
      <c r="J371" s="7">
        <v>1900</v>
      </c>
      <c r="K371" s="7">
        <v>300</v>
      </c>
      <c r="L371" s="7">
        <v>1500</v>
      </c>
      <c r="M371" s="7">
        <v>100</v>
      </c>
      <c r="N371" s="7">
        <v>1900</v>
      </c>
      <c r="O371" s="7">
        <v>7000</v>
      </c>
    </row>
    <row r="372" spans="1:15">
      <c r="A372" s="2" t="s">
        <v>230</v>
      </c>
      <c r="B372" s="7">
        <v>8</v>
      </c>
      <c r="C372" s="2" t="s">
        <v>231</v>
      </c>
      <c r="D372" s="7">
        <v>1000</v>
      </c>
      <c r="E372" s="7">
        <v>1000</v>
      </c>
      <c r="F372" s="7">
        <v>0</v>
      </c>
      <c r="G372" s="7">
        <v>0</v>
      </c>
      <c r="H372" s="7">
        <v>0</v>
      </c>
      <c r="I372" s="7">
        <v>100</v>
      </c>
      <c r="J372" s="7">
        <v>1900</v>
      </c>
      <c r="K372" s="7">
        <v>300</v>
      </c>
      <c r="L372" s="7">
        <v>1500</v>
      </c>
      <c r="M372" s="7">
        <v>100</v>
      </c>
      <c r="N372" s="7">
        <v>1900</v>
      </c>
      <c r="O372" s="7">
        <v>8000</v>
      </c>
    </row>
    <row r="373" spans="1:15">
      <c r="A373" s="2" t="s">
        <v>230</v>
      </c>
      <c r="B373" s="7">
        <v>9</v>
      </c>
      <c r="C373" s="2" t="s">
        <v>231</v>
      </c>
      <c r="D373" s="7">
        <v>1000</v>
      </c>
      <c r="E373" s="7">
        <v>1000</v>
      </c>
      <c r="F373" s="7">
        <v>0</v>
      </c>
      <c r="G373" s="7">
        <v>0</v>
      </c>
      <c r="H373" s="7">
        <v>0</v>
      </c>
      <c r="I373" s="7">
        <v>100</v>
      </c>
      <c r="J373" s="7">
        <v>1900</v>
      </c>
      <c r="K373" s="7">
        <v>300</v>
      </c>
      <c r="L373" s="7">
        <v>1500</v>
      </c>
      <c r="M373" s="7">
        <v>100</v>
      </c>
      <c r="N373" s="7">
        <v>1900</v>
      </c>
      <c r="O373" s="7">
        <v>9000</v>
      </c>
    </row>
    <row r="374" spans="1:15">
      <c r="A374" s="2" t="s">
        <v>230</v>
      </c>
      <c r="B374" s="7">
        <v>10</v>
      </c>
      <c r="C374" s="2" t="s">
        <v>231</v>
      </c>
      <c r="D374" s="7">
        <v>1000</v>
      </c>
      <c r="E374" s="7">
        <v>1000</v>
      </c>
      <c r="F374" s="7">
        <v>0</v>
      </c>
      <c r="G374" s="7">
        <v>0</v>
      </c>
      <c r="H374" s="7">
        <v>0</v>
      </c>
      <c r="I374" s="7">
        <v>100</v>
      </c>
      <c r="J374" s="7">
        <v>1900</v>
      </c>
      <c r="K374" s="7">
        <v>300</v>
      </c>
      <c r="L374" s="7">
        <v>1500</v>
      </c>
      <c r="M374" s="7">
        <v>100</v>
      </c>
      <c r="N374" s="7">
        <v>1900</v>
      </c>
      <c r="O374" s="7">
        <v>10000</v>
      </c>
    </row>
    <row r="375" spans="1:15">
      <c r="A375" s="2" t="s">
        <v>230</v>
      </c>
      <c r="B375" s="7">
        <v>11</v>
      </c>
      <c r="C375" s="2" t="s">
        <v>231</v>
      </c>
      <c r="D375" s="7">
        <v>1000</v>
      </c>
      <c r="E375" s="7">
        <v>1000</v>
      </c>
      <c r="F375" s="7">
        <v>0</v>
      </c>
      <c r="G375" s="7">
        <v>0</v>
      </c>
      <c r="H375" s="7">
        <v>0</v>
      </c>
      <c r="I375" s="7">
        <v>100</v>
      </c>
      <c r="J375" s="7">
        <v>1900</v>
      </c>
      <c r="K375" s="7">
        <v>300</v>
      </c>
      <c r="L375" s="7">
        <v>1500</v>
      </c>
      <c r="M375" s="7">
        <v>100</v>
      </c>
      <c r="N375" s="7">
        <v>1900</v>
      </c>
      <c r="O375" s="7">
        <v>11000</v>
      </c>
    </row>
    <row r="376" spans="1:15">
      <c r="A376" s="2" t="s">
        <v>230</v>
      </c>
      <c r="B376" s="7">
        <v>12</v>
      </c>
      <c r="C376" s="2" t="s">
        <v>231</v>
      </c>
      <c r="D376" s="7">
        <v>1000</v>
      </c>
      <c r="E376" s="7">
        <v>1000</v>
      </c>
      <c r="F376" s="7">
        <v>0</v>
      </c>
      <c r="G376" s="7">
        <v>0</v>
      </c>
      <c r="H376" s="7">
        <v>0</v>
      </c>
      <c r="I376" s="7">
        <v>100</v>
      </c>
      <c r="J376" s="7">
        <v>1900</v>
      </c>
      <c r="K376" s="7">
        <v>300</v>
      </c>
      <c r="L376" s="7">
        <v>1500</v>
      </c>
      <c r="M376" s="7">
        <v>100</v>
      </c>
      <c r="N376" s="7">
        <v>1900</v>
      </c>
      <c r="O376" s="7">
        <v>12000</v>
      </c>
    </row>
    <row r="377" spans="1:15">
      <c r="A377" s="2" t="s">
        <v>230</v>
      </c>
      <c r="B377" s="7">
        <v>13</v>
      </c>
      <c r="C377" s="2" t="s">
        <v>231</v>
      </c>
      <c r="D377" s="7">
        <v>1000</v>
      </c>
      <c r="E377" s="7">
        <v>1000</v>
      </c>
      <c r="F377" s="7">
        <v>0</v>
      </c>
      <c r="G377" s="7">
        <v>0</v>
      </c>
      <c r="H377" s="7">
        <v>0</v>
      </c>
      <c r="I377" s="7">
        <v>100</v>
      </c>
      <c r="J377" s="7">
        <v>1900</v>
      </c>
      <c r="K377" s="7">
        <v>300</v>
      </c>
      <c r="L377" s="7">
        <v>1500</v>
      </c>
      <c r="M377" s="7">
        <v>100</v>
      </c>
      <c r="N377" s="7">
        <v>1900</v>
      </c>
      <c r="O377" s="7">
        <v>13000</v>
      </c>
    </row>
    <row r="378" spans="1:15">
      <c r="A378" s="2" t="s">
        <v>230</v>
      </c>
      <c r="B378" s="7">
        <v>14</v>
      </c>
      <c r="C378" s="2" t="s">
        <v>231</v>
      </c>
      <c r="D378" s="7">
        <v>1000</v>
      </c>
      <c r="E378" s="7">
        <v>1000</v>
      </c>
      <c r="F378" s="7">
        <v>0</v>
      </c>
      <c r="G378" s="7">
        <v>0</v>
      </c>
      <c r="H378" s="7">
        <v>0</v>
      </c>
      <c r="I378" s="7">
        <v>100</v>
      </c>
      <c r="J378" s="7">
        <v>1900</v>
      </c>
      <c r="K378" s="7">
        <v>300</v>
      </c>
      <c r="L378" s="7">
        <v>1500</v>
      </c>
      <c r="M378" s="7">
        <v>100</v>
      </c>
      <c r="N378" s="7">
        <v>1900</v>
      </c>
      <c r="O378" s="7">
        <v>14000</v>
      </c>
    </row>
    <row r="379" spans="1:15">
      <c r="A379" s="2" t="s">
        <v>230</v>
      </c>
      <c r="B379" s="7">
        <v>15</v>
      </c>
      <c r="C379" s="2" t="s">
        <v>231</v>
      </c>
      <c r="D379" s="7">
        <v>1000</v>
      </c>
      <c r="E379" s="7">
        <v>1000</v>
      </c>
      <c r="F379" s="7">
        <v>0</v>
      </c>
      <c r="G379" s="7">
        <v>0</v>
      </c>
      <c r="H379" s="7">
        <v>0</v>
      </c>
      <c r="I379" s="7">
        <v>100</v>
      </c>
      <c r="J379" s="7">
        <v>1900</v>
      </c>
      <c r="K379" s="7">
        <v>300</v>
      </c>
      <c r="L379" s="7">
        <v>1500</v>
      </c>
      <c r="M379" s="7">
        <v>100</v>
      </c>
      <c r="N379" s="7">
        <v>1900</v>
      </c>
      <c r="O379" s="7">
        <v>15000</v>
      </c>
    </row>
    <row r="380" spans="1:15">
      <c r="A380" s="2" t="s">
        <v>230</v>
      </c>
      <c r="B380" s="7">
        <v>16</v>
      </c>
      <c r="C380" s="2" t="s">
        <v>231</v>
      </c>
      <c r="D380" s="7">
        <v>1000</v>
      </c>
      <c r="E380" s="7">
        <v>1000</v>
      </c>
      <c r="F380" s="7">
        <v>0</v>
      </c>
      <c r="G380" s="7">
        <v>0</v>
      </c>
      <c r="H380" s="7">
        <v>0</v>
      </c>
      <c r="I380" s="7">
        <v>100</v>
      </c>
      <c r="J380" s="7">
        <v>1900</v>
      </c>
      <c r="K380" s="7">
        <v>300</v>
      </c>
      <c r="L380" s="7">
        <v>1500</v>
      </c>
      <c r="M380" s="7">
        <v>100</v>
      </c>
      <c r="N380" s="7">
        <v>1900</v>
      </c>
      <c r="O380" s="7">
        <v>16000</v>
      </c>
    </row>
    <row r="381" spans="1:15">
      <c r="A381" s="2" t="s">
        <v>230</v>
      </c>
      <c r="B381" s="7">
        <v>17</v>
      </c>
      <c r="C381" s="2" t="s">
        <v>231</v>
      </c>
      <c r="D381" s="7">
        <v>1000</v>
      </c>
      <c r="E381" s="7">
        <v>1000</v>
      </c>
      <c r="F381" s="7">
        <v>0</v>
      </c>
      <c r="G381" s="7">
        <v>0</v>
      </c>
      <c r="H381" s="7">
        <v>0</v>
      </c>
      <c r="I381" s="7">
        <v>100</v>
      </c>
      <c r="J381" s="7">
        <v>1900</v>
      </c>
      <c r="K381" s="7">
        <v>300</v>
      </c>
      <c r="L381" s="7">
        <v>1500</v>
      </c>
      <c r="M381" s="7">
        <v>100</v>
      </c>
      <c r="N381" s="7">
        <v>1900</v>
      </c>
      <c r="O381" s="7">
        <v>17000</v>
      </c>
    </row>
    <row r="382" spans="1:15">
      <c r="A382" s="2" t="s">
        <v>230</v>
      </c>
      <c r="B382" s="7">
        <v>18</v>
      </c>
      <c r="C382" s="2" t="s">
        <v>231</v>
      </c>
      <c r="D382" s="7">
        <v>1000</v>
      </c>
      <c r="E382" s="7">
        <v>1000</v>
      </c>
      <c r="F382" s="7">
        <v>0</v>
      </c>
      <c r="G382" s="7">
        <v>0</v>
      </c>
      <c r="H382" s="7">
        <v>0</v>
      </c>
      <c r="I382" s="7">
        <v>100</v>
      </c>
      <c r="J382" s="7">
        <v>1900</v>
      </c>
      <c r="K382" s="7">
        <v>300</v>
      </c>
      <c r="L382" s="7">
        <v>1500</v>
      </c>
      <c r="M382" s="7">
        <v>100</v>
      </c>
      <c r="N382" s="7">
        <v>1900</v>
      </c>
      <c r="O382" s="7">
        <v>18000</v>
      </c>
    </row>
    <row r="383" spans="1:15">
      <c r="A383" s="2" t="s">
        <v>230</v>
      </c>
      <c r="B383" s="7">
        <v>19</v>
      </c>
      <c r="C383" s="2" t="s">
        <v>231</v>
      </c>
      <c r="D383" s="7">
        <v>1000</v>
      </c>
      <c r="E383" s="7">
        <v>1000</v>
      </c>
      <c r="F383" s="7">
        <v>0</v>
      </c>
      <c r="G383" s="7">
        <v>0</v>
      </c>
      <c r="H383" s="7">
        <v>0</v>
      </c>
      <c r="I383" s="7">
        <v>100</v>
      </c>
      <c r="J383" s="7">
        <v>1900</v>
      </c>
      <c r="K383" s="7">
        <v>300</v>
      </c>
      <c r="L383" s="7">
        <v>1500</v>
      </c>
      <c r="M383" s="7">
        <v>100</v>
      </c>
      <c r="N383" s="7">
        <v>1900</v>
      </c>
      <c r="O383" s="7">
        <v>19000</v>
      </c>
    </row>
    <row r="384" spans="1:15">
      <c r="A384" s="2" t="s">
        <v>230</v>
      </c>
      <c r="B384" s="7">
        <v>20</v>
      </c>
      <c r="C384" s="2" t="s">
        <v>231</v>
      </c>
      <c r="D384" s="7">
        <v>1000</v>
      </c>
      <c r="E384" s="7">
        <v>1000</v>
      </c>
      <c r="F384" s="7">
        <v>0</v>
      </c>
      <c r="G384" s="7">
        <v>0</v>
      </c>
      <c r="H384" s="7">
        <v>0</v>
      </c>
      <c r="I384" s="7">
        <v>100</v>
      </c>
      <c r="J384" s="7">
        <v>1900</v>
      </c>
      <c r="K384" s="7">
        <v>300</v>
      </c>
      <c r="L384" s="7">
        <v>1500</v>
      </c>
      <c r="M384" s="7">
        <v>100</v>
      </c>
      <c r="N384" s="7">
        <v>1900</v>
      </c>
      <c r="O384" s="7">
        <v>20000</v>
      </c>
    </row>
    <row r="385" spans="1:15">
      <c r="A385" s="2" t="s">
        <v>230</v>
      </c>
      <c r="B385" s="7">
        <v>21</v>
      </c>
      <c r="C385" s="2" t="s">
        <v>231</v>
      </c>
      <c r="D385" s="7">
        <v>1000</v>
      </c>
      <c r="E385" s="7">
        <v>1000</v>
      </c>
      <c r="F385" s="7">
        <v>0</v>
      </c>
      <c r="G385" s="7">
        <v>0</v>
      </c>
      <c r="H385" s="7">
        <v>0</v>
      </c>
      <c r="I385" s="7">
        <v>100</v>
      </c>
      <c r="J385" s="7">
        <v>1900</v>
      </c>
      <c r="K385" s="7">
        <v>300</v>
      </c>
      <c r="L385" s="7">
        <v>1500</v>
      </c>
      <c r="M385" s="7">
        <v>100</v>
      </c>
      <c r="N385" s="7">
        <v>1900</v>
      </c>
      <c r="O385" s="7">
        <v>21000</v>
      </c>
    </row>
    <row r="386" spans="1:15">
      <c r="A386" s="2" t="s">
        <v>230</v>
      </c>
      <c r="B386" s="7">
        <v>22</v>
      </c>
      <c r="C386" s="2" t="s">
        <v>231</v>
      </c>
      <c r="D386" s="7">
        <v>1000</v>
      </c>
      <c r="E386" s="7">
        <v>1000</v>
      </c>
      <c r="F386" s="7">
        <v>0</v>
      </c>
      <c r="G386" s="7">
        <v>0</v>
      </c>
      <c r="H386" s="7">
        <v>0</v>
      </c>
      <c r="I386" s="7">
        <v>100</v>
      </c>
      <c r="J386" s="7">
        <v>1900</v>
      </c>
      <c r="K386" s="7">
        <v>300</v>
      </c>
      <c r="L386" s="7">
        <v>1500</v>
      </c>
      <c r="M386" s="7">
        <v>100</v>
      </c>
      <c r="N386" s="7">
        <v>1900</v>
      </c>
      <c r="O386" s="7">
        <v>22000</v>
      </c>
    </row>
    <row r="387" spans="1:15">
      <c r="A387" s="2" t="s">
        <v>230</v>
      </c>
      <c r="B387" s="7">
        <v>23</v>
      </c>
      <c r="C387" s="2" t="s">
        <v>231</v>
      </c>
      <c r="D387" s="7">
        <v>1000</v>
      </c>
      <c r="E387" s="7">
        <v>1000</v>
      </c>
      <c r="F387" s="7">
        <v>0</v>
      </c>
      <c r="G387" s="7">
        <v>0</v>
      </c>
      <c r="H387" s="7">
        <v>0</v>
      </c>
      <c r="I387" s="7">
        <v>100</v>
      </c>
      <c r="J387" s="7">
        <v>1900</v>
      </c>
      <c r="K387" s="7">
        <v>300</v>
      </c>
      <c r="L387" s="7">
        <v>1500</v>
      </c>
      <c r="M387" s="7">
        <v>100</v>
      </c>
      <c r="N387" s="7">
        <v>1900</v>
      </c>
      <c r="O387" s="7">
        <v>23000</v>
      </c>
    </row>
    <row r="388" spans="1:15">
      <c r="A388" s="2" t="s">
        <v>230</v>
      </c>
      <c r="B388" s="7">
        <v>24</v>
      </c>
      <c r="C388" s="2" t="s">
        <v>231</v>
      </c>
      <c r="D388" s="7">
        <v>1000</v>
      </c>
      <c r="E388" s="7">
        <v>1000</v>
      </c>
      <c r="F388" s="7">
        <v>0</v>
      </c>
      <c r="G388" s="7">
        <v>0</v>
      </c>
      <c r="H388" s="7">
        <v>0</v>
      </c>
      <c r="I388" s="7">
        <v>100</v>
      </c>
      <c r="J388" s="7">
        <v>1900</v>
      </c>
      <c r="K388" s="7">
        <v>300</v>
      </c>
      <c r="L388" s="7">
        <v>1500</v>
      </c>
      <c r="M388" s="7">
        <v>100</v>
      </c>
      <c r="N388" s="7">
        <v>1900</v>
      </c>
      <c r="O388" s="7">
        <v>24000</v>
      </c>
    </row>
    <row r="389" spans="1:15">
      <c r="A389" s="2" t="s">
        <v>230</v>
      </c>
      <c r="B389" s="7">
        <v>25</v>
      </c>
      <c r="C389" s="2" t="s">
        <v>231</v>
      </c>
      <c r="D389" s="7">
        <v>1000</v>
      </c>
      <c r="E389" s="7">
        <v>1000</v>
      </c>
      <c r="F389" s="7">
        <v>0</v>
      </c>
      <c r="G389" s="7">
        <v>0</v>
      </c>
      <c r="H389" s="7">
        <v>0</v>
      </c>
      <c r="I389" s="7">
        <v>100</v>
      </c>
      <c r="J389" s="7">
        <v>1900</v>
      </c>
      <c r="K389" s="7">
        <v>300</v>
      </c>
      <c r="L389" s="7">
        <v>1500</v>
      </c>
      <c r="M389" s="7">
        <v>100</v>
      </c>
      <c r="N389" s="7">
        <v>1900</v>
      </c>
      <c r="O389" s="7">
        <v>25000</v>
      </c>
    </row>
    <row r="390" spans="1:15">
      <c r="A390" s="2" t="s">
        <v>230</v>
      </c>
      <c r="B390" s="7">
        <v>26</v>
      </c>
      <c r="C390" s="2" t="s">
        <v>231</v>
      </c>
      <c r="D390" s="7">
        <v>1000</v>
      </c>
      <c r="E390" s="7">
        <v>1000</v>
      </c>
      <c r="F390" s="7">
        <v>0</v>
      </c>
      <c r="G390" s="7">
        <v>0</v>
      </c>
      <c r="H390" s="7">
        <v>0</v>
      </c>
      <c r="I390" s="7">
        <v>100</v>
      </c>
      <c r="J390" s="7">
        <v>1900</v>
      </c>
      <c r="K390" s="7">
        <v>300</v>
      </c>
      <c r="L390" s="7">
        <v>1500</v>
      </c>
      <c r="M390" s="7">
        <v>100</v>
      </c>
      <c r="N390" s="7">
        <v>1900</v>
      </c>
      <c r="O390" s="7">
        <v>26000</v>
      </c>
    </row>
    <row r="391" spans="1:15">
      <c r="A391" s="2" t="s">
        <v>230</v>
      </c>
      <c r="B391" s="7">
        <v>27</v>
      </c>
      <c r="C391" s="2" t="s">
        <v>231</v>
      </c>
      <c r="D391" s="7">
        <v>1000</v>
      </c>
      <c r="E391" s="7">
        <v>1000</v>
      </c>
      <c r="F391" s="7">
        <v>0</v>
      </c>
      <c r="G391" s="7">
        <v>0</v>
      </c>
      <c r="H391" s="7">
        <v>0</v>
      </c>
      <c r="I391" s="7">
        <v>100</v>
      </c>
      <c r="J391" s="7">
        <v>1900</v>
      </c>
      <c r="K391" s="7">
        <v>300</v>
      </c>
      <c r="L391" s="7">
        <v>1500</v>
      </c>
      <c r="M391" s="7">
        <v>100</v>
      </c>
      <c r="N391" s="7">
        <v>1900</v>
      </c>
      <c r="O391" s="7">
        <v>27000</v>
      </c>
    </row>
    <row r="392" spans="1:15">
      <c r="A392" s="2" t="s">
        <v>230</v>
      </c>
      <c r="B392" s="7">
        <v>28</v>
      </c>
      <c r="C392" s="2" t="s">
        <v>231</v>
      </c>
      <c r="D392" s="7">
        <v>1000</v>
      </c>
      <c r="E392" s="7">
        <v>1000</v>
      </c>
      <c r="F392" s="7">
        <v>0</v>
      </c>
      <c r="G392" s="7">
        <v>0</v>
      </c>
      <c r="H392" s="7">
        <v>0</v>
      </c>
      <c r="I392" s="7">
        <v>100</v>
      </c>
      <c r="J392" s="7">
        <v>1900</v>
      </c>
      <c r="K392" s="7">
        <v>300</v>
      </c>
      <c r="L392" s="7">
        <v>1500</v>
      </c>
      <c r="M392" s="7">
        <v>100</v>
      </c>
      <c r="N392" s="7">
        <v>1900</v>
      </c>
      <c r="O392" s="7">
        <v>28000</v>
      </c>
    </row>
    <row r="393" spans="1:15">
      <c r="A393" s="2" t="s">
        <v>230</v>
      </c>
      <c r="B393" s="7">
        <v>29</v>
      </c>
      <c r="C393" s="2" t="s">
        <v>231</v>
      </c>
      <c r="D393" s="7">
        <v>1000</v>
      </c>
      <c r="E393" s="7">
        <v>1000</v>
      </c>
      <c r="F393" s="7">
        <v>0</v>
      </c>
      <c r="G393" s="7">
        <v>0</v>
      </c>
      <c r="H393" s="7">
        <v>0</v>
      </c>
      <c r="I393" s="7">
        <v>100</v>
      </c>
      <c r="J393" s="7">
        <v>1900</v>
      </c>
      <c r="K393" s="7">
        <v>300</v>
      </c>
      <c r="L393" s="7">
        <v>1500</v>
      </c>
      <c r="M393" s="7">
        <v>100</v>
      </c>
      <c r="N393" s="7">
        <v>1900</v>
      </c>
      <c r="O393" s="7">
        <v>29000</v>
      </c>
    </row>
    <row r="394" spans="1:15">
      <c r="A394" s="2" t="s">
        <v>230</v>
      </c>
      <c r="B394" s="7">
        <v>30</v>
      </c>
      <c r="C394" s="2" t="s">
        <v>231</v>
      </c>
      <c r="D394" s="7">
        <v>1000</v>
      </c>
      <c r="E394" s="7">
        <v>1000</v>
      </c>
      <c r="F394" s="7">
        <v>0</v>
      </c>
      <c r="G394" s="7">
        <v>0</v>
      </c>
      <c r="H394" s="7">
        <v>0</v>
      </c>
      <c r="I394" s="7">
        <v>100</v>
      </c>
      <c r="J394" s="7">
        <v>1900</v>
      </c>
      <c r="K394" s="7">
        <v>300</v>
      </c>
      <c r="L394" s="7">
        <v>1500</v>
      </c>
      <c r="M394" s="7">
        <v>100</v>
      </c>
      <c r="N394" s="7">
        <v>1900</v>
      </c>
      <c r="O394" s="7">
        <v>30000</v>
      </c>
    </row>
    <row r="395" spans="1:15">
      <c r="A395" s="2" t="s">
        <v>230</v>
      </c>
      <c r="B395" s="7">
        <v>31</v>
      </c>
      <c r="C395" s="2" t="s">
        <v>231</v>
      </c>
      <c r="D395" s="7">
        <v>1000</v>
      </c>
      <c r="E395" s="7">
        <v>1000</v>
      </c>
      <c r="F395" s="7">
        <v>0</v>
      </c>
      <c r="G395" s="7">
        <v>0</v>
      </c>
      <c r="H395" s="7">
        <v>0</v>
      </c>
      <c r="I395" s="7">
        <v>100</v>
      </c>
      <c r="J395" s="7">
        <v>1900</v>
      </c>
      <c r="K395" s="7">
        <v>300</v>
      </c>
      <c r="L395" s="7">
        <v>1500</v>
      </c>
      <c r="M395" s="7">
        <v>100</v>
      </c>
      <c r="N395" s="7">
        <v>1900</v>
      </c>
      <c r="O395" s="7">
        <v>31000</v>
      </c>
    </row>
    <row r="396" spans="1:15">
      <c r="A396" s="2" t="s">
        <v>230</v>
      </c>
      <c r="B396" s="7">
        <v>32</v>
      </c>
      <c r="C396" s="2" t="s">
        <v>231</v>
      </c>
      <c r="D396" s="7">
        <v>1000</v>
      </c>
      <c r="E396" s="7">
        <v>1000</v>
      </c>
      <c r="F396" s="7">
        <v>0</v>
      </c>
      <c r="G396" s="7">
        <v>0</v>
      </c>
      <c r="H396" s="7">
        <v>0</v>
      </c>
      <c r="I396" s="7">
        <v>100</v>
      </c>
      <c r="J396" s="7">
        <v>1900</v>
      </c>
      <c r="K396" s="7">
        <v>300</v>
      </c>
      <c r="L396" s="7">
        <v>1500</v>
      </c>
      <c r="M396" s="7">
        <v>100</v>
      </c>
      <c r="N396" s="7">
        <v>1900</v>
      </c>
      <c r="O396" s="7">
        <v>32000</v>
      </c>
    </row>
    <row r="397" spans="1:15">
      <c r="A397" s="2" t="s">
        <v>230</v>
      </c>
      <c r="B397" s="7">
        <v>33</v>
      </c>
      <c r="C397" s="2" t="s">
        <v>231</v>
      </c>
      <c r="D397" s="7">
        <v>1000</v>
      </c>
      <c r="E397" s="7">
        <v>1000</v>
      </c>
      <c r="F397" s="7">
        <v>0</v>
      </c>
      <c r="G397" s="7">
        <v>0</v>
      </c>
      <c r="H397" s="7">
        <v>0</v>
      </c>
      <c r="I397" s="7">
        <v>100</v>
      </c>
      <c r="J397" s="7">
        <v>1900</v>
      </c>
      <c r="K397" s="7">
        <v>300</v>
      </c>
      <c r="L397" s="7">
        <v>1500</v>
      </c>
      <c r="M397" s="7">
        <v>100</v>
      </c>
      <c r="N397" s="7">
        <v>1900</v>
      </c>
      <c r="O397" s="7">
        <v>33000</v>
      </c>
    </row>
    <row r="398" spans="1:15">
      <c r="A398" s="2" t="s">
        <v>230</v>
      </c>
      <c r="B398" s="7">
        <v>34</v>
      </c>
      <c r="C398" s="2" t="s">
        <v>231</v>
      </c>
      <c r="D398" s="7">
        <v>1000</v>
      </c>
      <c r="E398" s="7">
        <v>1000</v>
      </c>
      <c r="F398" s="7">
        <v>0</v>
      </c>
      <c r="G398" s="7">
        <v>0</v>
      </c>
      <c r="H398" s="7">
        <v>0</v>
      </c>
      <c r="I398" s="7">
        <v>100</v>
      </c>
      <c r="J398" s="7">
        <v>1900</v>
      </c>
      <c r="K398" s="7">
        <v>300</v>
      </c>
      <c r="L398" s="7">
        <v>1500</v>
      </c>
      <c r="M398" s="7">
        <v>100</v>
      </c>
      <c r="N398" s="7">
        <v>1900</v>
      </c>
      <c r="O398" s="7">
        <v>34000</v>
      </c>
    </row>
    <row r="399" spans="1:15">
      <c r="A399" s="2" t="s">
        <v>230</v>
      </c>
      <c r="B399" s="7">
        <v>35</v>
      </c>
      <c r="C399" s="2" t="s">
        <v>231</v>
      </c>
      <c r="D399" s="7">
        <v>1000</v>
      </c>
      <c r="E399" s="7">
        <v>1000</v>
      </c>
      <c r="F399" s="7">
        <v>0</v>
      </c>
      <c r="G399" s="7">
        <v>0</v>
      </c>
      <c r="H399" s="7">
        <v>0</v>
      </c>
      <c r="I399" s="7">
        <v>100</v>
      </c>
      <c r="J399" s="7">
        <v>1900</v>
      </c>
      <c r="K399" s="7">
        <v>300</v>
      </c>
      <c r="L399" s="7">
        <v>1500</v>
      </c>
      <c r="M399" s="7">
        <v>100</v>
      </c>
      <c r="N399" s="7">
        <v>1900</v>
      </c>
      <c r="O399" s="7">
        <v>35000</v>
      </c>
    </row>
    <row r="400" spans="1:15">
      <c r="A400" s="2" t="s">
        <v>230</v>
      </c>
      <c r="B400" s="7">
        <v>36</v>
      </c>
      <c r="C400" s="2" t="s">
        <v>231</v>
      </c>
      <c r="D400" s="7">
        <v>1000</v>
      </c>
      <c r="E400" s="7">
        <v>1000</v>
      </c>
      <c r="F400" s="7">
        <v>0</v>
      </c>
      <c r="G400" s="7">
        <v>0</v>
      </c>
      <c r="H400" s="7">
        <v>0</v>
      </c>
      <c r="I400" s="7">
        <v>100</v>
      </c>
      <c r="J400" s="7">
        <v>1900</v>
      </c>
      <c r="K400" s="7">
        <v>300</v>
      </c>
      <c r="L400" s="7">
        <v>1500</v>
      </c>
      <c r="M400" s="7">
        <v>100</v>
      </c>
      <c r="N400" s="7">
        <v>1900</v>
      </c>
      <c r="O400" s="7">
        <v>36000</v>
      </c>
    </row>
    <row r="401" spans="1:15">
      <c r="A401" s="2" t="s">
        <v>232</v>
      </c>
      <c r="B401" s="7">
        <v>1</v>
      </c>
      <c r="C401" s="2" t="s">
        <v>233</v>
      </c>
      <c r="D401" s="7">
        <v>2000</v>
      </c>
      <c r="E401" s="7">
        <v>2000</v>
      </c>
      <c r="F401" s="7">
        <v>0</v>
      </c>
      <c r="G401" s="7">
        <v>0</v>
      </c>
      <c r="H401" s="7">
        <v>0</v>
      </c>
      <c r="I401" s="7">
        <v>200</v>
      </c>
      <c r="J401" s="7">
        <v>3800</v>
      </c>
      <c r="K401" s="7">
        <v>600</v>
      </c>
      <c r="L401" s="7">
        <v>4000</v>
      </c>
      <c r="M401" s="7">
        <v>-800</v>
      </c>
      <c r="N401" s="7">
        <v>3800</v>
      </c>
      <c r="O401" s="7">
        <v>2000</v>
      </c>
    </row>
    <row r="402" spans="1:15">
      <c r="A402" s="2" t="s">
        <v>232</v>
      </c>
      <c r="B402" s="7">
        <v>2</v>
      </c>
      <c r="C402" s="2" t="s">
        <v>233</v>
      </c>
      <c r="D402" s="7">
        <v>2000</v>
      </c>
      <c r="E402" s="7">
        <v>2000</v>
      </c>
      <c r="F402" s="7">
        <v>0</v>
      </c>
      <c r="G402" s="7">
        <v>0</v>
      </c>
      <c r="H402" s="7">
        <v>0</v>
      </c>
      <c r="I402" s="7">
        <v>200</v>
      </c>
      <c r="J402" s="7">
        <v>3800</v>
      </c>
      <c r="K402" s="7">
        <v>600</v>
      </c>
      <c r="L402" s="7">
        <v>4000</v>
      </c>
      <c r="M402" s="7">
        <v>-800</v>
      </c>
      <c r="N402" s="7">
        <v>3800</v>
      </c>
      <c r="O402" s="7">
        <v>4000</v>
      </c>
    </row>
    <row r="403" spans="1:15">
      <c r="A403" s="2" t="s">
        <v>232</v>
      </c>
      <c r="B403" s="7">
        <v>3</v>
      </c>
      <c r="C403" s="2" t="s">
        <v>233</v>
      </c>
      <c r="D403" s="7">
        <v>2000</v>
      </c>
      <c r="E403" s="7">
        <v>2000</v>
      </c>
      <c r="F403" s="7">
        <v>0</v>
      </c>
      <c r="G403" s="7">
        <v>0</v>
      </c>
      <c r="H403" s="7">
        <v>0</v>
      </c>
      <c r="I403" s="7">
        <v>200</v>
      </c>
      <c r="J403" s="7">
        <v>3800</v>
      </c>
      <c r="K403" s="7">
        <v>600</v>
      </c>
      <c r="L403" s="7">
        <v>4000</v>
      </c>
      <c r="M403" s="7">
        <v>-800</v>
      </c>
      <c r="N403" s="7">
        <v>3800</v>
      </c>
      <c r="O403" s="7">
        <v>6000</v>
      </c>
    </row>
    <row r="404" spans="1:15">
      <c r="A404" s="2" t="s">
        <v>232</v>
      </c>
      <c r="B404" s="7">
        <v>4</v>
      </c>
      <c r="C404" s="2" t="s">
        <v>233</v>
      </c>
      <c r="D404" s="7">
        <v>2000</v>
      </c>
      <c r="E404" s="7">
        <v>2000</v>
      </c>
      <c r="F404" s="7">
        <v>0</v>
      </c>
      <c r="G404" s="7">
        <v>0</v>
      </c>
      <c r="H404" s="7">
        <v>0</v>
      </c>
      <c r="I404" s="7">
        <v>200</v>
      </c>
      <c r="J404" s="7">
        <v>3800</v>
      </c>
      <c r="K404" s="7">
        <v>600</v>
      </c>
      <c r="L404" s="7">
        <v>4000</v>
      </c>
      <c r="M404" s="7">
        <v>-800</v>
      </c>
      <c r="N404" s="7">
        <v>3800</v>
      </c>
      <c r="O404" s="7">
        <v>8000</v>
      </c>
    </row>
    <row r="405" spans="1:15">
      <c r="A405" s="2" t="s">
        <v>232</v>
      </c>
      <c r="B405" s="7">
        <v>5</v>
      </c>
      <c r="C405" s="2" t="s">
        <v>233</v>
      </c>
      <c r="D405" s="7">
        <v>2000</v>
      </c>
      <c r="E405" s="7">
        <v>2000</v>
      </c>
      <c r="F405" s="7">
        <v>0</v>
      </c>
      <c r="G405" s="7">
        <v>0</v>
      </c>
      <c r="H405" s="7">
        <v>0</v>
      </c>
      <c r="I405" s="7">
        <v>200</v>
      </c>
      <c r="J405" s="7">
        <v>3800</v>
      </c>
      <c r="K405" s="7">
        <v>600</v>
      </c>
      <c r="L405" s="7">
        <v>4000</v>
      </c>
      <c r="M405" s="7">
        <v>-800</v>
      </c>
      <c r="N405" s="7">
        <v>3800</v>
      </c>
      <c r="O405" s="7">
        <v>10000</v>
      </c>
    </row>
    <row r="406" spans="1:15">
      <c r="A406" s="2" t="s">
        <v>232</v>
      </c>
      <c r="B406" s="7">
        <v>6</v>
      </c>
      <c r="C406" s="2" t="s">
        <v>233</v>
      </c>
      <c r="D406" s="7">
        <v>2000</v>
      </c>
      <c r="E406" s="7">
        <v>2000</v>
      </c>
      <c r="F406" s="7">
        <v>0</v>
      </c>
      <c r="G406" s="7">
        <v>0</v>
      </c>
      <c r="H406" s="7">
        <v>0</v>
      </c>
      <c r="I406" s="7">
        <v>200</v>
      </c>
      <c r="J406" s="7">
        <v>3800</v>
      </c>
      <c r="K406" s="7">
        <v>600</v>
      </c>
      <c r="L406" s="7">
        <v>4000</v>
      </c>
      <c r="M406" s="7">
        <v>-800</v>
      </c>
      <c r="N406" s="7">
        <v>3800</v>
      </c>
      <c r="O406" s="7">
        <v>12000</v>
      </c>
    </row>
    <row r="407" spans="1:15">
      <c r="A407" s="2" t="s">
        <v>232</v>
      </c>
      <c r="B407" s="7">
        <v>7</v>
      </c>
      <c r="C407" s="2" t="s">
        <v>233</v>
      </c>
      <c r="D407" s="7">
        <v>2000</v>
      </c>
      <c r="E407" s="7">
        <v>2000</v>
      </c>
      <c r="F407" s="7">
        <v>0</v>
      </c>
      <c r="G407" s="7">
        <v>0</v>
      </c>
      <c r="H407" s="7">
        <v>0</v>
      </c>
      <c r="I407" s="7">
        <v>200</v>
      </c>
      <c r="J407" s="7">
        <v>3800</v>
      </c>
      <c r="K407" s="7">
        <v>600</v>
      </c>
      <c r="L407" s="7">
        <v>4000</v>
      </c>
      <c r="M407" s="7">
        <v>-800</v>
      </c>
      <c r="N407" s="7">
        <v>3800</v>
      </c>
      <c r="O407" s="7">
        <v>14000</v>
      </c>
    </row>
    <row r="408" spans="1:15">
      <c r="A408" s="2" t="s">
        <v>232</v>
      </c>
      <c r="B408" s="7">
        <v>8</v>
      </c>
      <c r="C408" s="2" t="s">
        <v>233</v>
      </c>
      <c r="D408" s="7">
        <v>2000</v>
      </c>
      <c r="E408" s="7">
        <v>2000</v>
      </c>
      <c r="F408" s="7">
        <v>0</v>
      </c>
      <c r="G408" s="7">
        <v>0</v>
      </c>
      <c r="H408" s="7">
        <v>0</v>
      </c>
      <c r="I408" s="7">
        <v>200</v>
      </c>
      <c r="J408" s="7">
        <v>3800</v>
      </c>
      <c r="K408" s="7">
        <v>600</v>
      </c>
      <c r="L408" s="7">
        <v>4000</v>
      </c>
      <c r="M408" s="7">
        <v>-800</v>
      </c>
      <c r="N408" s="7">
        <v>3800</v>
      </c>
      <c r="O408" s="7">
        <v>16000</v>
      </c>
    </row>
    <row r="409" spans="1:15">
      <c r="A409" s="2" t="s">
        <v>232</v>
      </c>
      <c r="B409" s="7">
        <v>9</v>
      </c>
      <c r="C409" s="2" t="s">
        <v>233</v>
      </c>
      <c r="D409" s="7">
        <v>2000</v>
      </c>
      <c r="E409" s="7">
        <v>2000</v>
      </c>
      <c r="F409" s="7">
        <v>0</v>
      </c>
      <c r="G409" s="7">
        <v>0</v>
      </c>
      <c r="H409" s="7">
        <v>0</v>
      </c>
      <c r="I409" s="7">
        <v>200</v>
      </c>
      <c r="J409" s="7">
        <v>3800</v>
      </c>
      <c r="K409" s="7">
        <v>600</v>
      </c>
      <c r="L409" s="7">
        <v>4000</v>
      </c>
      <c r="M409" s="7">
        <v>-800</v>
      </c>
      <c r="N409" s="7">
        <v>3800</v>
      </c>
      <c r="O409" s="7">
        <v>18000</v>
      </c>
    </row>
    <row r="410" spans="1:15">
      <c r="A410" s="2" t="s">
        <v>232</v>
      </c>
      <c r="B410" s="7">
        <v>10</v>
      </c>
      <c r="C410" s="2" t="s">
        <v>233</v>
      </c>
      <c r="D410" s="7">
        <v>2000</v>
      </c>
      <c r="E410" s="7">
        <v>2000</v>
      </c>
      <c r="F410" s="7">
        <v>0</v>
      </c>
      <c r="G410" s="7">
        <v>0</v>
      </c>
      <c r="H410" s="7">
        <v>0</v>
      </c>
      <c r="I410" s="7">
        <v>200</v>
      </c>
      <c r="J410" s="7">
        <v>3800</v>
      </c>
      <c r="K410" s="7">
        <v>600</v>
      </c>
      <c r="L410" s="7">
        <v>4000</v>
      </c>
      <c r="M410" s="7">
        <v>-800</v>
      </c>
      <c r="N410" s="7">
        <v>3800</v>
      </c>
      <c r="O410" s="7">
        <v>20000</v>
      </c>
    </row>
    <row r="411" spans="1:15">
      <c r="A411" s="2" t="s">
        <v>232</v>
      </c>
      <c r="B411" s="7">
        <v>11</v>
      </c>
      <c r="C411" s="2" t="s">
        <v>233</v>
      </c>
      <c r="D411" s="7">
        <v>2000</v>
      </c>
      <c r="E411" s="7">
        <v>2000</v>
      </c>
      <c r="F411" s="7">
        <v>0</v>
      </c>
      <c r="G411" s="7">
        <v>0</v>
      </c>
      <c r="H411" s="7">
        <v>0</v>
      </c>
      <c r="I411" s="7">
        <v>200</v>
      </c>
      <c r="J411" s="7">
        <v>3800</v>
      </c>
      <c r="K411" s="7">
        <v>600</v>
      </c>
      <c r="L411" s="7">
        <v>4000</v>
      </c>
      <c r="M411" s="7">
        <v>-800</v>
      </c>
      <c r="N411" s="7">
        <v>3800</v>
      </c>
      <c r="O411" s="7">
        <v>22000</v>
      </c>
    </row>
    <row r="412" spans="1:15">
      <c r="A412" s="2" t="s">
        <v>232</v>
      </c>
      <c r="B412" s="7">
        <v>12</v>
      </c>
      <c r="C412" s="2" t="s">
        <v>233</v>
      </c>
      <c r="D412" s="7">
        <v>2000</v>
      </c>
      <c r="E412" s="7">
        <v>2000</v>
      </c>
      <c r="F412" s="7">
        <v>0</v>
      </c>
      <c r="G412" s="7">
        <v>0</v>
      </c>
      <c r="H412" s="7">
        <v>0</v>
      </c>
      <c r="I412" s="7">
        <v>200</v>
      </c>
      <c r="J412" s="7">
        <v>3800</v>
      </c>
      <c r="K412" s="7">
        <v>600</v>
      </c>
      <c r="L412" s="7">
        <v>4000</v>
      </c>
      <c r="M412" s="7">
        <v>-800</v>
      </c>
      <c r="N412" s="7">
        <v>3800</v>
      </c>
      <c r="O412" s="7">
        <v>24000</v>
      </c>
    </row>
    <row r="413" spans="1:15">
      <c r="A413" s="2" t="s">
        <v>232</v>
      </c>
      <c r="B413" s="7">
        <v>13</v>
      </c>
      <c r="C413" s="2" t="s">
        <v>233</v>
      </c>
      <c r="D413" s="7">
        <v>2000</v>
      </c>
      <c r="E413" s="7">
        <v>2000</v>
      </c>
      <c r="F413" s="7">
        <v>0</v>
      </c>
      <c r="G413" s="7">
        <v>0</v>
      </c>
      <c r="H413" s="7">
        <v>0</v>
      </c>
      <c r="I413" s="7">
        <v>200</v>
      </c>
      <c r="J413" s="7">
        <v>3800</v>
      </c>
      <c r="K413" s="7">
        <v>600</v>
      </c>
      <c r="L413" s="7">
        <v>4000</v>
      </c>
      <c r="M413" s="7">
        <v>-800</v>
      </c>
      <c r="N413" s="7">
        <v>3800</v>
      </c>
      <c r="O413" s="7">
        <v>26000</v>
      </c>
    </row>
    <row r="414" spans="1:15">
      <c r="A414" s="2" t="s">
        <v>232</v>
      </c>
      <c r="B414" s="7">
        <v>14</v>
      </c>
      <c r="C414" s="2" t="s">
        <v>233</v>
      </c>
      <c r="D414" s="7">
        <v>2000</v>
      </c>
      <c r="E414" s="7">
        <v>2000</v>
      </c>
      <c r="F414" s="7">
        <v>0</v>
      </c>
      <c r="G414" s="7">
        <v>0</v>
      </c>
      <c r="H414" s="7">
        <v>0</v>
      </c>
      <c r="I414" s="7">
        <v>200</v>
      </c>
      <c r="J414" s="7">
        <v>3800</v>
      </c>
      <c r="K414" s="7">
        <v>600</v>
      </c>
      <c r="L414" s="7">
        <v>4000</v>
      </c>
      <c r="M414" s="7">
        <v>-800</v>
      </c>
      <c r="N414" s="7">
        <v>3800</v>
      </c>
      <c r="O414" s="7">
        <v>28000</v>
      </c>
    </row>
    <row r="415" spans="1:15">
      <c r="A415" s="2" t="s">
        <v>232</v>
      </c>
      <c r="B415" s="7">
        <v>15</v>
      </c>
      <c r="C415" s="2" t="s">
        <v>233</v>
      </c>
      <c r="D415" s="7">
        <v>2000</v>
      </c>
      <c r="E415" s="7">
        <v>2000</v>
      </c>
      <c r="F415" s="7">
        <v>0</v>
      </c>
      <c r="G415" s="7">
        <v>0</v>
      </c>
      <c r="H415" s="7">
        <v>0</v>
      </c>
      <c r="I415" s="7">
        <v>200</v>
      </c>
      <c r="J415" s="7">
        <v>3800</v>
      </c>
      <c r="K415" s="7">
        <v>600</v>
      </c>
      <c r="L415" s="7">
        <v>4000</v>
      </c>
      <c r="M415" s="7">
        <v>-800</v>
      </c>
      <c r="N415" s="7">
        <v>3800</v>
      </c>
      <c r="O415" s="7">
        <v>30000</v>
      </c>
    </row>
    <row r="416" spans="1:15">
      <c r="A416" s="2" t="s">
        <v>232</v>
      </c>
      <c r="B416" s="7">
        <v>16</v>
      </c>
      <c r="C416" s="2" t="s">
        <v>233</v>
      </c>
      <c r="D416" s="7">
        <v>2000</v>
      </c>
      <c r="E416" s="7">
        <v>2000</v>
      </c>
      <c r="F416" s="7">
        <v>0</v>
      </c>
      <c r="G416" s="7">
        <v>0</v>
      </c>
      <c r="H416" s="7">
        <v>0</v>
      </c>
      <c r="I416" s="7">
        <v>200</v>
      </c>
      <c r="J416" s="7">
        <v>3800</v>
      </c>
      <c r="K416" s="7">
        <v>600</v>
      </c>
      <c r="L416" s="7">
        <v>4000</v>
      </c>
      <c r="M416" s="7">
        <v>-800</v>
      </c>
      <c r="N416" s="7">
        <v>3800</v>
      </c>
      <c r="O416" s="7">
        <v>32000</v>
      </c>
    </row>
    <row r="417" spans="1:15">
      <c r="A417" s="2" t="s">
        <v>232</v>
      </c>
      <c r="B417" s="7">
        <v>17</v>
      </c>
      <c r="C417" s="2" t="s">
        <v>233</v>
      </c>
      <c r="D417" s="7">
        <v>2000</v>
      </c>
      <c r="E417" s="7">
        <v>2000</v>
      </c>
      <c r="F417" s="7">
        <v>0</v>
      </c>
      <c r="G417" s="7">
        <v>0</v>
      </c>
      <c r="H417" s="7">
        <v>0</v>
      </c>
      <c r="I417" s="7">
        <v>200</v>
      </c>
      <c r="J417" s="7">
        <v>3800</v>
      </c>
      <c r="K417" s="7">
        <v>600</v>
      </c>
      <c r="L417" s="7">
        <v>4000</v>
      </c>
      <c r="M417" s="7">
        <v>-800</v>
      </c>
      <c r="N417" s="7">
        <v>3800</v>
      </c>
      <c r="O417" s="7">
        <v>34000</v>
      </c>
    </row>
    <row r="418" spans="1:15">
      <c r="A418" s="2" t="s">
        <v>232</v>
      </c>
      <c r="B418" s="7">
        <v>18</v>
      </c>
      <c r="C418" s="2" t="s">
        <v>233</v>
      </c>
      <c r="D418" s="7">
        <v>2000</v>
      </c>
      <c r="E418" s="7">
        <v>2000</v>
      </c>
      <c r="F418" s="7">
        <v>0</v>
      </c>
      <c r="G418" s="7">
        <v>0</v>
      </c>
      <c r="H418" s="7">
        <v>0</v>
      </c>
      <c r="I418" s="7">
        <v>200</v>
      </c>
      <c r="J418" s="7">
        <v>3800</v>
      </c>
      <c r="K418" s="7">
        <v>600</v>
      </c>
      <c r="L418" s="7">
        <v>4000</v>
      </c>
      <c r="M418" s="7">
        <v>-800</v>
      </c>
      <c r="N418" s="7">
        <v>3800</v>
      </c>
      <c r="O418" s="7">
        <v>36000</v>
      </c>
    </row>
    <row r="419" spans="1:15">
      <c r="A419" s="2" t="s">
        <v>232</v>
      </c>
      <c r="B419" s="7">
        <v>19</v>
      </c>
      <c r="C419" s="2" t="s">
        <v>233</v>
      </c>
      <c r="D419" s="7">
        <v>2000</v>
      </c>
      <c r="E419" s="7">
        <v>2000</v>
      </c>
      <c r="F419" s="7">
        <v>0</v>
      </c>
      <c r="G419" s="7">
        <v>0</v>
      </c>
      <c r="H419" s="7">
        <v>0</v>
      </c>
      <c r="I419" s="7">
        <v>200</v>
      </c>
      <c r="J419" s="7">
        <v>3800</v>
      </c>
      <c r="K419" s="7">
        <v>600</v>
      </c>
      <c r="L419" s="7">
        <v>4000</v>
      </c>
      <c r="M419" s="7">
        <v>-800</v>
      </c>
      <c r="N419" s="7">
        <v>3800</v>
      </c>
      <c r="O419" s="7">
        <v>38000</v>
      </c>
    </row>
    <row r="420" spans="1:15">
      <c r="A420" s="2" t="s">
        <v>232</v>
      </c>
      <c r="B420" s="7">
        <v>20</v>
      </c>
      <c r="C420" s="2" t="s">
        <v>233</v>
      </c>
      <c r="D420" s="7">
        <v>2000</v>
      </c>
      <c r="E420" s="7">
        <v>2000</v>
      </c>
      <c r="F420" s="7">
        <v>0</v>
      </c>
      <c r="G420" s="7">
        <v>0</v>
      </c>
      <c r="H420" s="7">
        <v>0</v>
      </c>
      <c r="I420" s="7">
        <v>200</v>
      </c>
      <c r="J420" s="7">
        <v>3800</v>
      </c>
      <c r="K420" s="7">
        <v>600</v>
      </c>
      <c r="L420" s="7">
        <v>4000</v>
      </c>
      <c r="M420" s="7">
        <v>-800</v>
      </c>
      <c r="N420" s="7">
        <v>3800</v>
      </c>
      <c r="O420" s="7">
        <v>40000</v>
      </c>
    </row>
    <row r="421" spans="1:15">
      <c r="A421" s="2" t="s">
        <v>232</v>
      </c>
      <c r="B421" s="7">
        <v>21</v>
      </c>
      <c r="C421" s="2" t="s">
        <v>233</v>
      </c>
      <c r="D421" s="7">
        <v>2000</v>
      </c>
      <c r="E421" s="7">
        <v>2000</v>
      </c>
      <c r="F421" s="7">
        <v>0</v>
      </c>
      <c r="G421" s="7">
        <v>0</v>
      </c>
      <c r="H421" s="7">
        <v>0</v>
      </c>
      <c r="I421" s="7">
        <v>200</v>
      </c>
      <c r="J421" s="7">
        <v>3800</v>
      </c>
      <c r="K421" s="7">
        <v>600</v>
      </c>
      <c r="L421" s="7">
        <v>4000</v>
      </c>
      <c r="M421" s="7">
        <v>-800</v>
      </c>
      <c r="N421" s="7">
        <v>3800</v>
      </c>
      <c r="O421" s="7">
        <v>42000</v>
      </c>
    </row>
    <row r="422" spans="1:15">
      <c r="A422" s="2" t="s">
        <v>232</v>
      </c>
      <c r="B422" s="7">
        <v>22</v>
      </c>
      <c r="C422" s="2" t="s">
        <v>233</v>
      </c>
      <c r="D422" s="7">
        <v>2000</v>
      </c>
      <c r="E422" s="7">
        <v>2000</v>
      </c>
      <c r="F422" s="7">
        <v>0</v>
      </c>
      <c r="G422" s="7">
        <v>0</v>
      </c>
      <c r="H422" s="7">
        <v>0</v>
      </c>
      <c r="I422" s="7">
        <v>200</v>
      </c>
      <c r="J422" s="7">
        <v>3800</v>
      </c>
      <c r="K422" s="7">
        <v>600</v>
      </c>
      <c r="L422" s="7">
        <v>4000</v>
      </c>
      <c r="M422" s="7">
        <v>-800</v>
      </c>
      <c r="N422" s="7">
        <v>3800</v>
      </c>
      <c r="O422" s="7">
        <v>44000</v>
      </c>
    </row>
    <row r="423" spans="1:15">
      <c r="A423" s="2" t="s">
        <v>232</v>
      </c>
      <c r="B423" s="7">
        <v>23</v>
      </c>
      <c r="C423" s="2" t="s">
        <v>233</v>
      </c>
      <c r="D423" s="7">
        <v>2000</v>
      </c>
      <c r="E423" s="7">
        <v>2000</v>
      </c>
      <c r="F423" s="7">
        <v>0</v>
      </c>
      <c r="G423" s="7">
        <v>0</v>
      </c>
      <c r="H423" s="7">
        <v>0</v>
      </c>
      <c r="I423" s="7">
        <v>200</v>
      </c>
      <c r="J423" s="7">
        <v>3800</v>
      </c>
      <c r="K423" s="7">
        <v>600</v>
      </c>
      <c r="L423" s="7">
        <v>4000</v>
      </c>
      <c r="M423" s="7">
        <v>-800</v>
      </c>
      <c r="N423" s="7">
        <v>3800</v>
      </c>
      <c r="O423" s="7">
        <v>46000</v>
      </c>
    </row>
    <row r="424" spans="1:15">
      <c r="A424" s="2" t="s">
        <v>232</v>
      </c>
      <c r="B424" s="7">
        <v>24</v>
      </c>
      <c r="C424" s="2" t="s">
        <v>233</v>
      </c>
      <c r="D424" s="7">
        <v>2000</v>
      </c>
      <c r="E424" s="7">
        <v>2000</v>
      </c>
      <c r="F424" s="7">
        <v>0</v>
      </c>
      <c r="G424" s="7">
        <v>0</v>
      </c>
      <c r="H424" s="7">
        <v>0</v>
      </c>
      <c r="I424" s="7">
        <v>200</v>
      </c>
      <c r="J424" s="7">
        <v>3800</v>
      </c>
      <c r="K424" s="7">
        <v>600</v>
      </c>
      <c r="L424" s="7">
        <v>4000</v>
      </c>
      <c r="M424" s="7">
        <v>-800</v>
      </c>
      <c r="N424" s="7">
        <v>3800</v>
      </c>
      <c r="O424" s="7">
        <v>48000</v>
      </c>
    </row>
    <row r="425" spans="1:15">
      <c r="A425" s="2" t="s">
        <v>232</v>
      </c>
      <c r="B425" s="7">
        <v>25</v>
      </c>
      <c r="C425" s="2" t="s">
        <v>233</v>
      </c>
      <c r="D425" s="7">
        <v>2000</v>
      </c>
      <c r="E425" s="7">
        <v>2000</v>
      </c>
      <c r="F425" s="7">
        <v>0</v>
      </c>
      <c r="G425" s="7">
        <v>0</v>
      </c>
      <c r="H425" s="7">
        <v>0</v>
      </c>
      <c r="I425" s="7">
        <v>200</v>
      </c>
      <c r="J425" s="7">
        <v>3800</v>
      </c>
      <c r="K425" s="7">
        <v>600</v>
      </c>
      <c r="L425" s="7">
        <v>4000</v>
      </c>
      <c r="M425" s="7">
        <v>-800</v>
      </c>
      <c r="N425" s="7">
        <v>3800</v>
      </c>
      <c r="O425" s="7">
        <v>50000</v>
      </c>
    </row>
    <row r="426" spans="1:15">
      <c r="A426" s="2" t="s">
        <v>232</v>
      </c>
      <c r="B426" s="7">
        <v>26</v>
      </c>
      <c r="C426" s="2" t="s">
        <v>233</v>
      </c>
      <c r="D426" s="7">
        <v>2000</v>
      </c>
      <c r="E426" s="7">
        <v>2000</v>
      </c>
      <c r="F426" s="7">
        <v>0</v>
      </c>
      <c r="G426" s="7">
        <v>0</v>
      </c>
      <c r="H426" s="7">
        <v>0</v>
      </c>
      <c r="I426" s="7">
        <v>200</v>
      </c>
      <c r="J426" s="7">
        <v>3800</v>
      </c>
      <c r="K426" s="7">
        <v>600</v>
      </c>
      <c r="L426" s="7">
        <v>4000</v>
      </c>
      <c r="M426" s="7">
        <v>-800</v>
      </c>
      <c r="N426" s="7">
        <v>3800</v>
      </c>
      <c r="O426" s="7">
        <v>52000</v>
      </c>
    </row>
    <row r="427" spans="1:15">
      <c r="A427" s="2" t="s">
        <v>232</v>
      </c>
      <c r="B427" s="7">
        <v>27</v>
      </c>
      <c r="C427" s="2" t="s">
        <v>233</v>
      </c>
      <c r="D427" s="7">
        <v>2000</v>
      </c>
      <c r="E427" s="7">
        <v>2000</v>
      </c>
      <c r="F427" s="7">
        <v>0</v>
      </c>
      <c r="G427" s="7">
        <v>0</v>
      </c>
      <c r="H427" s="7">
        <v>0</v>
      </c>
      <c r="I427" s="7">
        <v>200</v>
      </c>
      <c r="J427" s="7">
        <v>3800</v>
      </c>
      <c r="K427" s="7">
        <v>600</v>
      </c>
      <c r="L427" s="7">
        <v>4000</v>
      </c>
      <c r="M427" s="7">
        <v>-800</v>
      </c>
      <c r="N427" s="7">
        <v>3800</v>
      </c>
      <c r="O427" s="7">
        <v>54000</v>
      </c>
    </row>
    <row r="428" spans="1:15">
      <c r="A428" s="2" t="s">
        <v>232</v>
      </c>
      <c r="B428" s="7">
        <v>28</v>
      </c>
      <c r="C428" s="2" t="s">
        <v>233</v>
      </c>
      <c r="D428" s="7">
        <v>2000</v>
      </c>
      <c r="E428" s="7">
        <v>2000</v>
      </c>
      <c r="F428" s="7">
        <v>0</v>
      </c>
      <c r="G428" s="7">
        <v>0</v>
      </c>
      <c r="H428" s="7">
        <v>0</v>
      </c>
      <c r="I428" s="7">
        <v>200</v>
      </c>
      <c r="J428" s="7">
        <v>3800</v>
      </c>
      <c r="K428" s="7">
        <v>600</v>
      </c>
      <c r="L428" s="7">
        <v>4000</v>
      </c>
      <c r="M428" s="7">
        <v>-800</v>
      </c>
      <c r="N428" s="7">
        <v>3800</v>
      </c>
      <c r="O428" s="7">
        <v>56000</v>
      </c>
    </row>
    <row r="429" spans="1:15">
      <c r="A429" s="2" t="s">
        <v>232</v>
      </c>
      <c r="B429" s="7">
        <v>29</v>
      </c>
      <c r="C429" s="2" t="s">
        <v>233</v>
      </c>
      <c r="D429" s="7">
        <v>2000</v>
      </c>
      <c r="E429" s="7">
        <v>2000</v>
      </c>
      <c r="F429" s="7">
        <v>0</v>
      </c>
      <c r="G429" s="7">
        <v>0</v>
      </c>
      <c r="H429" s="7">
        <v>0</v>
      </c>
      <c r="I429" s="7">
        <v>200</v>
      </c>
      <c r="J429" s="7">
        <v>3800</v>
      </c>
      <c r="K429" s="7">
        <v>600</v>
      </c>
      <c r="L429" s="7">
        <v>4000</v>
      </c>
      <c r="M429" s="7">
        <v>-800</v>
      </c>
      <c r="N429" s="7">
        <v>3800</v>
      </c>
      <c r="O429" s="7">
        <v>58000</v>
      </c>
    </row>
    <row r="430" spans="1:15">
      <c r="A430" s="2" t="s">
        <v>232</v>
      </c>
      <c r="B430" s="7">
        <v>30</v>
      </c>
      <c r="C430" s="2" t="s">
        <v>233</v>
      </c>
      <c r="D430" s="7">
        <v>2000</v>
      </c>
      <c r="E430" s="7">
        <v>2000</v>
      </c>
      <c r="F430" s="7">
        <v>0</v>
      </c>
      <c r="G430" s="7">
        <v>0</v>
      </c>
      <c r="H430" s="7">
        <v>0</v>
      </c>
      <c r="I430" s="7">
        <v>200</v>
      </c>
      <c r="J430" s="7">
        <v>3800</v>
      </c>
      <c r="K430" s="7">
        <v>600</v>
      </c>
      <c r="L430" s="7">
        <v>4000</v>
      </c>
      <c r="M430" s="7">
        <v>-800</v>
      </c>
      <c r="N430" s="7">
        <v>3800</v>
      </c>
      <c r="O430" s="7">
        <v>60000</v>
      </c>
    </row>
    <row r="431" spans="1:15">
      <c r="A431" s="2" t="s">
        <v>232</v>
      </c>
      <c r="B431" s="7">
        <v>31</v>
      </c>
      <c r="C431" s="2" t="s">
        <v>233</v>
      </c>
      <c r="D431" s="7">
        <v>2000</v>
      </c>
      <c r="E431" s="7">
        <v>2000</v>
      </c>
      <c r="F431" s="7">
        <v>0</v>
      </c>
      <c r="G431" s="7">
        <v>0</v>
      </c>
      <c r="H431" s="7">
        <v>0</v>
      </c>
      <c r="I431" s="7">
        <v>200</v>
      </c>
      <c r="J431" s="7">
        <v>3800</v>
      </c>
      <c r="K431" s="7">
        <v>600</v>
      </c>
      <c r="L431" s="7">
        <v>4000</v>
      </c>
      <c r="M431" s="7">
        <v>-800</v>
      </c>
      <c r="N431" s="7">
        <v>3800</v>
      </c>
      <c r="O431" s="7">
        <v>62000</v>
      </c>
    </row>
    <row r="432" spans="1:15">
      <c r="A432" s="2" t="s">
        <v>232</v>
      </c>
      <c r="B432" s="7">
        <v>32</v>
      </c>
      <c r="C432" s="2" t="s">
        <v>233</v>
      </c>
      <c r="D432" s="7">
        <v>2000</v>
      </c>
      <c r="E432" s="7">
        <v>2000</v>
      </c>
      <c r="F432" s="7">
        <v>0</v>
      </c>
      <c r="G432" s="7">
        <v>0</v>
      </c>
      <c r="H432" s="7">
        <v>0</v>
      </c>
      <c r="I432" s="7">
        <v>200</v>
      </c>
      <c r="J432" s="7">
        <v>3800</v>
      </c>
      <c r="K432" s="7">
        <v>600</v>
      </c>
      <c r="L432" s="7">
        <v>4000</v>
      </c>
      <c r="M432" s="7">
        <v>-800</v>
      </c>
      <c r="N432" s="7">
        <v>3800</v>
      </c>
      <c r="O432" s="7">
        <v>64000</v>
      </c>
    </row>
    <row r="433" spans="1:15">
      <c r="A433" s="2" t="s">
        <v>232</v>
      </c>
      <c r="B433" s="7">
        <v>33</v>
      </c>
      <c r="C433" s="2" t="s">
        <v>233</v>
      </c>
      <c r="D433" s="7">
        <v>2000</v>
      </c>
      <c r="E433" s="7">
        <v>2000</v>
      </c>
      <c r="F433" s="7">
        <v>0</v>
      </c>
      <c r="G433" s="7">
        <v>0</v>
      </c>
      <c r="H433" s="7">
        <v>0</v>
      </c>
      <c r="I433" s="7">
        <v>200</v>
      </c>
      <c r="J433" s="7">
        <v>3800</v>
      </c>
      <c r="K433" s="7">
        <v>600</v>
      </c>
      <c r="L433" s="7">
        <v>4000</v>
      </c>
      <c r="M433" s="7">
        <v>-800</v>
      </c>
      <c r="N433" s="7">
        <v>3800</v>
      </c>
      <c r="O433" s="7">
        <v>66000</v>
      </c>
    </row>
    <row r="434" spans="1:15">
      <c r="A434" s="2" t="s">
        <v>232</v>
      </c>
      <c r="B434" s="7">
        <v>34</v>
      </c>
      <c r="C434" s="2" t="s">
        <v>233</v>
      </c>
      <c r="D434" s="7">
        <v>2000</v>
      </c>
      <c r="E434" s="7">
        <v>2000</v>
      </c>
      <c r="F434" s="7">
        <v>0</v>
      </c>
      <c r="G434" s="7">
        <v>0</v>
      </c>
      <c r="H434" s="7">
        <v>0</v>
      </c>
      <c r="I434" s="7">
        <v>200</v>
      </c>
      <c r="J434" s="7">
        <v>3800</v>
      </c>
      <c r="K434" s="7">
        <v>600</v>
      </c>
      <c r="L434" s="7">
        <v>4000</v>
      </c>
      <c r="M434" s="7">
        <v>-800</v>
      </c>
      <c r="N434" s="7">
        <v>3800</v>
      </c>
      <c r="O434" s="7">
        <v>68000</v>
      </c>
    </row>
    <row r="435" spans="1:15">
      <c r="A435" s="2" t="s">
        <v>232</v>
      </c>
      <c r="B435" s="7">
        <v>35</v>
      </c>
      <c r="C435" s="2" t="s">
        <v>233</v>
      </c>
      <c r="D435" s="7">
        <v>2000</v>
      </c>
      <c r="E435" s="7">
        <v>2000</v>
      </c>
      <c r="F435" s="7">
        <v>0</v>
      </c>
      <c r="G435" s="7">
        <v>0</v>
      </c>
      <c r="H435" s="7">
        <v>0</v>
      </c>
      <c r="I435" s="7">
        <v>200</v>
      </c>
      <c r="J435" s="7">
        <v>3800</v>
      </c>
      <c r="K435" s="7">
        <v>600</v>
      </c>
      <c r="L435" s="7">
        <v>4000</v>
      </c>
      <c r="M435" s="7">
        <v>-800</v>
      </c>
      <c r="N435" s="7">
        <v>3800</v>
      </c>
      <c r="O435" s="7">
        <v>70000</v>
      </c>
    </row>
    <row r="436" spans="1:15">
      <c r="A436" s="2" t="s">
        <v>232</v>
      </c>
      <c r="B436" s="7">
        <v>36</v>
      </c>
      <c r="C436" s="2" t="s">
        <v>233</v>
      </c>
      <c r="D436" s="7">
        <v>2000</v>
      </c>
      <c r="E436" s="7">
        <v>2000</v>
      </c>
      <c r="F436" s="7">
        <v>0</v>
      </c>
      <c r="G436" s="7">
        <v>0</v>
      </c>
      <c r="H436" s="7">
        <v>0</v>
      </c>
      <c r="I436" s="7">
        <v>200</v>
      </c>
      <c r="J436" s="7">
        <v>3800</v>
      </c>
      <c r="K436" s="7">
        <v>600</v>
      </c>
      <c r="L436" s="7">
        <v>4000</v>
      </c>
      <c r="M436" s="7">
        <v>-800</v>
      </c>
      <c r="N436" s="7">
        <v>3800</v>
      </c>
      <c r="O436" s="7">
        <v>72000</v>
      </c>
    </row>
    <row r="437" spans="1:15">
      <c r="A437" s="2" t="s">
        <v>234</v>
      </c>
      <c r="B437" s="7">
        <v>1</v>
      </c>
      <c r="C437" s="2" t="s">
        <v>235</v>
      </c>
      <c r="D437" s="7">
        <v>1000</v>
      </c>
      <c r="E437" s="7">
        <v>1000</v>
      </c>
      <c r="F437" s="7">
        <v>0</v>
      </c>
      <c r="G437" s="7">
        <v>0</v>
      </c>
      <c r="H437" s="7">
        <v>0</v>
      </c>
      <c r="I437" s="7">
        <v>100</v>
      </c>
      <c r="J437" s="7">
        <v>3000</v>
      </c>
      <c r="K437" s="7">
        <v>310</v>
      </c>
      <c r="L437" s="7">
        <v>4000</v>
      </c>
      <c r="M437" s="7">
        <v>-1310</v>
      </c>
      <c r="N437" s="7">
        <v>3000</v>
      </c>
      <c r="O437" s="7">
        <v>0</v>
      </c>
    </row>
    <row r="438" spans="1:15">
      <c r="A438" s="2" t="s">
        <v>234</v>
      </c>
      <c r="B438" s="7">
        <v>2</v>
      </c>
      <c r="C438" s="2" t="s">
        <v>235</v>
      </c>
      <c r="D438" s="7">
        <v>1000</v>
      </c>
      <c r="E438" s="7">
        <v>1000</v>
      </c>
      <c r="F438" s="7">
        <v>0</v>
      </c>
      <c r="G438" s="7">
        <v>1000</v>
      </c>
      <c r="H438" s="7">
        <v>0</v>
      </c>
      <c r="I438" s="7">
        <v>100</v>
      </c>
      <c r="J438" s="7">
        <v>3000</v>
      </c>
      <c r="K438" s="7">
        <v>329.8</v>
      </c>
      <c r="L438" s="7">
        <v>4000</v>
      </c>
      <c r="M438" s="7">
        <v>-1329.8</v>
      </c>
      <c r="N438" s="7">
        <v>3000</v>
      </c>
      <c r="O438" s="7">
        <v>0</v>
      </c>
    </row>
    <row r="439" spans="1:15">
      <c r="A439" s="2" t="s">
        <v>234</v>
      </c>
      <c r="B439" s="7">
        <v>3</v>
      </c>
      <c r="C439" s="2" t="s">
        <v>235</v>
      </c>
      <c r="D439" s="7">
        <v>1000</v>
      </c>
      <c r="E439" s="7">
        <v>1000</v>
      </c>
      <c r="F439" s="7">
        <v>0</v>
      </c>
      <c r="G439" s="7">
        <v>2000</v>
      </c>
      <c r="H439" s="7">
        <v>0</v>
      </c>
      <c r="I439" s="7">
        <v>100</v>
      </c>
      <c r="J439" s="7">
        <v>3000</v>
      </c>
      <c r="K439" s="7">
        <v>349.404</v>
      </c>
      <c r="L439" s="7">
        <v>4000</v>
      </c>
      <c r="M439" s="7">
        <v>-1349.404</v>
      </c>
      <c r="N439" s="7">
        <v>3000</v>
      </c>
      <c r="O439" s="7">
        <v>0</v>
      </c>
    </row>
    <row r="440" spans="1:15">
      <c r="A440" s="2" t="s">
        <v>234</v>
      </c>
      <c r="B440" s="7">
        <v>4</v>
      </c>
      <c r="C440" s="2" t="s">
        <v>235</v>
      </c>
      <c r="D440" s="7">
        <v>1000</v>
      </c>
      <c r="E440" s="7">
        <v>1000</v>
      </c>
      <c r="F440" s="7">
        <v>0</v>
      </c>
      <c r="G440" s="7">
        <v>3000</v>
      </c>
      <c r="H440" s="7">
        <v>0</v>
      </c>
      <c r="I440" s="7">
        <v>100</v>
      </c>
      <c r="J440" s="7">
        <v>3000</v>
      </c>
      <c r="K440" s="7">
        <v>368.81592</v>
      </c>
      <c r="L440" s="7">
        <v>4000</v>
      </c>
      <c r="M440" s="7">
        <v>-1368.81592</v>
      </c>
      <c r="N440" s="7">
        <v>3000</v>
      </c>
      <c r="O440" s="7">
        <v>0</v>
      </c>
    </row>
    <row r="441" spans="1:15">
      <c r="A441" s="2" t="s">
        <v>234</v>
      </c>
      <c r="B441" s="7">
        <v>5</v>
      </c>
      <c r="C441" s="2" t="s">
        <v>235</v>
      </c>
      <c r="D441" s="7">
        <v>1000</v>
      </c>
      <c r="E441" s="7">
        <v>1000</v>
      </c>
      <c r="F441" s="7">
        <v>0</v>
      </c>
      <c r="G441" s="7">
        <v>4000</v>
      </c>
      <c r="H441" s="7">
        <v>0</v>
      </c>
      <c r="I441" s="7">
        <v>100</v>
      </c>
      <c r="J441" s="7">
        <v>3000</v>
      </c>
      <c r="K441" s="7">
        <v>388.0396016</v>
      </c>
      <c r="L441" s="7">
        <v>4000</v>
      </c>
      <c r="M441" s="7">
        <v>-1388.0396016</v>
      </c>
      <c r="N441" s="7">
        <v>3000</v>
      </c>
      <c r="O441" s="7">
        <v>0</v>
      </c>
    </row>
    <row r="442" spans="1:15">
      <c r="A442" s="2" t="s">
        <v>234</v>
      </c>
      <c r="B442" s="7">
        <v>6</v>
      </c>
      <c r="C442" s="2" t="s">
        <v>235</v>
      </c>
      <c r="D442" s="7">
        <v>1000</v>
      </c>
      <c r="E442" s="7">
        <v>1000</v>
      </c>
      <c r="F442" s="7">
        <v>0</v>
      </c>
      <c r="G442" s="7">
        <v>5000</v>
      </c>
      <c r="H442" s="7">
        <v>0</v>
      </c>
      <c r="I442" s="7">
        <v>100</v>
      </c>
      <c r="J442" s="7">
        <v>3000</v>
      </c>
      <c r="K442" s="7">
        <v>407.078809568</v>
      </c>
      <c r="L442" s="7">
        <v>4000</v>
      </c>
      <c r="M442" s="7">
        <v>-1407.078809568</v>
      </c>
      <c r="N442" s="7">
        <v>3000</v>
      </c>
      <c r="O442" s="7">
        <v>0</v>
      </c>
    </row>
    <row r="443" spans="1:15">
      <c r="A443" s="2" t="s">
        <v>234</v>
      </c>
      <c r="B443" s="7">
        <v>7</v>
      </c>
      <c r="C443" s="2" t="s">
        <v>235</v>
      </c>
      <c r="D443" s="7">
        <v>1000</v>
      </c>
      <c r="E443" s="7">
        <v>1000</v>
      </c>
      <c r="F443" s="7">
        <v>0</v>
      </c>
      <c r="G443" s="7">
        <v>6000</v>
      </c>
      <c r="H443" s="7">
        <v>0</v>
      </c>
      <c r="I443" s="7">
        <v>100</v>
      </c>
      <c r="J443" s="7">
        <v>3000</v>
      </c>
      <c r="K443" s="7">
        <v>425.93723337664</v>
      </c>
      <c r="L443" s="7">
        <v>4000</v>
      </c>
      <c r="M443" s="7">
        <v>-1425.93723337664</v>
      </c>
      <c r="N443" s="7">
        <v>3000</v>
      </c>
      <c r="O443" s="7">
        <v>0</v>
      </c>
    </row>
    <row r="444" spans="1:15">
      <c r="A444" s="2" t="s">
        <v>234</v>
      </c>
      <c r="B444" s="7">
        <v>8</v>
      </c>
      <c r="C444" s="2" t="s">
        <v>235</v>
      </c>
      <c r="D444" s="7">
        <v>1000</v>
      </c>
      <c r="E444" s="7">
        <v>1000</v>
      </c>
      <c r="F444" s="7">
        <v>0</v>
      </c>
      <c r="G444" s="7">
        <v>7000</v>
      </c>
      <c r="H444" s="7">
        <v>0</v>
      </c>
      <c r="I444" s="7">
        <v>100</v>
      </c>
      <c r="J444" s="7">
        <v>3000</v>
      </c>
      <c r="K444" s="7">
        <v>444.6184887091072</v>
      </c>
      <c r="L444" s="7">
        <v>4000</v>
      </c>
      <c r="M444" s="7">
        <v>-1444.618488709107</v>
      </c>
      <c r="N444" s="7">
        <v>3000</v>
      </c>
      <c r="O444" s="7">
        <v>0</v>
      </c>
    </row>
    <row r="445" spans="1:15">
      <c r="A445" s="2" t="s">
        <v>234</v>
      </c>
      <c r="B445" s="7">
        <v>9</v>
      </c>
      <c r="C445" s="2" t="s">
        <v>235</v>
      </c>
      <c r="D445" s="7">
        <v>1000</v>
      </c>
      <c r="E445" s="7">
        <v>1000</v>
      </c>
      <c r="F445" s="7">
        <v>0</v>
      </c>
      <c r="G445" s="7">
        <v>8000</v>
      </c>
      <c r="H445" s="7">
        <v>0</v>
      </c>
      <c r="I445" s="7">
        <v>100</v>
      </c>
      <c r="J445" s="7">
        <v>3000</v>
      </c>
      <c r="K445" s="7">
        <v>463.126118934925</v>
      </c>
      <c r="L445" s="7">
        <v>4000</v>
      </c>
      <c r="M445" s="7">
        <v>-1463.126118934925</v>
      </c>
      <c r="N445" s="7">
        <v>3000</v>
      </c>
      <c r="O445" s="7">
        <v>0</v>
      </c>
    </row>
    <row r="446" spans="1:15">
      <c r="A446" s="2" t="s">
        <v>234</v>
      </c>
      <c r="B446" s="7">
        <v>10</v>
      </c>
      <c r="C446" s="2" t="s">
        <v>235</v>
      </c>
      <c r="D446" s="7">
        <v>1000</v>
      </c>
      <c r="E446" s="7">
        <v>1000</v>
      </c>
      <c r="F446" s="7">
        <v>0</v>
      </c>
      <c r="G446" s="7">
        <v>9000</v>
      </c>
      <c r="H446" s="7">
        <v>0</v>
      </c>
      <c r="I446" s="7">
        <v>100</v>
      </c>
      <c r="J446" s="7">
        <v>3000</v>
      </c>
      <c r="K446" s="7">
        <v>481.4635965562265</v>
      </c>
      <c r="L446" s="7">
        <v>4000</v>
      </c>
      <c r="M446" s="7">
        <v>-1481.463596556227</v>
      </c>
      <c r="N446" s="7">
        <v>3000</v>
      </c>
      <c r="O446" s="7">
        <v>0</v>
      </c>
    </row>
    <row r="447" spans="1:15">
      <c r="A447" s="2" t="s">
        <v>234</v>
      </c>
      <c r="B447" s="7">
        <v>11</v>
      </c>
      <c r="C447" s="2" t="s">
        <v>235</v>
      </c>
      <c r="D447" s="7">
        <v>1000</v>
      </c>
      <c r="E447" s="7">
        <v>1000</v>
      </c>
      <c r="F447" s="7">
        <v>0</v>
      </c>
      <c r="G447" s="7">
        <v>10000</v>
      </c>
      <c r="H447" s="7">
        <v>0</v>
      </c>
      <c r="I447" s="7">
        <v>100</v>
      </c>
      <c r="J447" s="7">
        <v>3000</v>
      </c>
      <c r="K447" s="7">
        <v>499.634324625102</v>
      </c>
      <c r="L447" s="7">
        <v>4000</v>
      </c>
      <c r="M447" s="7">
        <v>-1499.634324625102</v>
      </c>
      <c r="N447" s="7">
        <v>3000</v>
      </c>
      <c r="O447" s="7">
        <v>0</v>
      </c>
    </row>
    <row r="448" spans="1:15">
      <c r="A448" s="2" t="s">
        <v>234</v>
      </c>
      <c r="B448" s="7">
        <v>12</v>
      </c>
      <c r="C448" s="2" t="s">
        <v>235</v>
      </c>
      <c r="D448" s="7">
        <v>1000</v>
      </c>
      <c r="E448" s="7">
        <v>1000</v>
      </c>
      <c r="F448" s="7">
        <v>0</v>
      </c>
      <c r="G448" s="7">
        <v>11000</v>
      </c>
      <c r="H448" s="7">
        <v>0</v>
      </c>
      <c r="I448" s="7">
        <v>100</v>
      </c>
      <c r="J448" s="7">
        <v>3000</v>
      </c>
      <c r="K448" s="7">
        <v>517.6416381326</v>
      </c>
      <c r="L448" s="7">
        <v>4000</v>
      </c>
      <c r="M448" s="7">
        <v>-1517.6416381326</v>
      </c>
      <c r="N448" s="7">
        <v>3000</v>
      </c>
      <c r="O448" s="7">
        <v>0</v>
      </c>
    </row>
    <row r="449" spans="1:15">
      <c r="A449" s="2" t="s">
        <v>234</v>
      </c>
      <c r="B449" s="7">
        <v>13</v>
      </c>
      <c r="C449" s="2" t="s">
        <v>235</v>
      </c>
      <c r="D449" s="7">
        <v>1000</v>
      </c>
      <c r="E449" s="7">
        <v>1900</v>
      </c>
      <c r="F449" s="7">
        <v>100</v>
      </c>
      <c r="G449" s="7">
        <v>11000</v>
      </c>
      <c r="H449" s="7">
        <v>1000</v>
      </c>
      <c r="I449" s="7">
        <v>190</v>
      </c>
      <c r="J449" s="7">
        <v>6877.0750856022</v>
      </c>
      <c r="K449" s="7">
        <v>1034.488805369948</v>
      </c>
      <c r="L449" s="7">
        <v>4000</v>
      </c>
      <c r="M449" s="7">
        <v>1842.586280232252</v>
      </c>
      <c r="N449" s="7">
        <v>6877.0750856022</v>
      </c>
      <c r="O449" s="7">
        <v>0</v>
      </c>
    </row>
    <row r="450" spans="1:15">
      <c r="A450" s="2" t="s">
        <v>234</v>
      </c>
      <c r="B450" s="7">
        <v>14</v>
      </c>
      <c r="C450" s="2" t="s">
        <v>235</v>
      </c>
      <c r="D450" s="7">
        <v>1000</v>
      </c>
      <c r="E450" s="7">
        <v>1900</v>
      </c>
      <c r="F450" s="7">
        <v>100</v>
      </c>
      <c r="G450" s="7">
        <v>12000</v>
      </c>
      <c r="H450" s="7">
        <v>1000</v>
      </c>
      <c r="I450" s="7">
        <v>190</v>
      </c>
      <c r="J450" s="7">
        <v>6877.0750856022</v>
      </c>
      <c r="K450" s="7">
        <v>1060.999029262549</v>
      </c>
      <c r="L450" s="7">
        <v>4000</v>
      </c>
      <c r="M450" s="7">
        <v>1816.076056339651</v>
      </c>
      <c r="N450" s="7">
        <v>6877.0750856022</v>
      </c>
      <c r="O450" s="7">
        <v>0</v>
      </c>
    </row>
    <row r="451" spans="1:15">
      <c r="A451" s="2" t="s">
        <v>234</v>
      </c>
      <c r="B451" s="7">
        <v>15</v>
      </c>
      <c r="C451" s="2" t="s">
        <v>235</v>
      </c>
      <c r="D451" s="7">
        <v>1000</v>
      </c>
      <c r="E451" s="7">
        <v>1900</v>
      </c>
      <c r="F451" s="7">
        <v>100</v>
      </c>
      <c r="G451" s="7">
        <v>13000</v>
      </c>
      <c r="H451" s="7">
        <v>1000</v>
      </c>
      <c r="I451" s="7">
        <v>190</v>
      </c>
      <c r="J451" s="7">
        <v>6877.0750856022</v>
      </c>
      <c r="K451" s="7">
        <v>1087.179048677298</v>
      </c>
      <c r="L451" s="7">
        <v>4000</v>
      </c>
      <c r="M451" s="7">
        <v>1789.896036924902</v>
      </c>
      <c r="N451" s="7">
        <v>6877.0750856022</v>
      </c>
      <c r="O451" s="7">
        <v>0</v>
      </c>
    </row>
    <row r="452" spans="1:15">
      <c r="A452" s="2" t="s">
        <v>234</v>
      </c>
      <c r="B452" s="7">
        <v>16</v>
      </c>
      <c r="C452" s="2" t="s">
        <v>235</v>
      </c>
      <c r="D452" s="7">
        <v>1000</v>
      </c>
      <c r="E452" s="7">
        <v>1900</v>
      </c>
      <c r="F452" s="7">
        <v>100</v>
      </c>
      <c r="G452" s="7">
        <v>14000</v>
      </c>
      <c r="H452" s="7">
        <v>1000</v>
      </c>
      <c r="I452" s="7">
        <v>190</v>
      </c>
      <c r="J452" s="7">
        <v>6877.0750856022</v>
      </c>
      <c r="K452" s="7">
        <v>1113.035467703752</v>
      </c>
      <c r="L452" s="7">
        <v>4000</v>
      </c>
      <c r="M452" s="7">
        <v>1764.039617898447</v>
      </c>
      <c r="N452" s="7">
        <v>6877.0750856022</v>
      </c>
      <c r="O452" s="7">
        <v>0</v>
      </c>
    </row>
    <row r="453" spans="1:15">
      <c r="A453" s="2" t="s">
        <v>234</v>
      </c>
      <c r="B453" s="7">
        <v>17</v>
      </c>
      <c r="C453" s="2" t="s">
        <v>235</v>
      </c>
      <c r="D453" s="7">
        <v>1000</v>
      </c>
      <c r="E453" s="7">
        <v>1900</v>
      </c>
      <c r="F453" s="7">
        <v>100</v>
      </c>
      <c r="G453" s="7">
        <v>15000</v>
      </c>
      <c r="H453" s="7">
        <v>1000</v>
      </c>
      <c r="I453" s="7">
        <v>190</v>
      </c>
      <c r="J453" s="7">
        <v>6877.0750856022</v>
      </c>
      <c r="K453" s="7">
        <v>1138.574758349677</v>
      </c>
      <c r="L453" s="7">
        <v>4000</v>
      </c>
      <c r="M453" s="7">
        <v>1738.500327252523</v>
      </c>
      <c r="N453" s="7">
        <v>6877.0750856022</v>
      </c>
      <c r="O453" s="7">
        <v>0</v>
      </c>
    </row>
    <row r="454" spans="1:15">
      <c r="A454" s="2" t="s">
        <v>234</v>
      </c>
      <c r="B454" s="7">
        <v>18</v>
      </c>
      <c r="C454" s="2" t="s">
        <v>235</v>
      </c>
      <c r="D454" s="7">
        <v>1000</v>
      </c>
      <c r="E454" s="7">
        <v>1900</v>
      </c>
      <c r="F454" s="7">
        <v>100</v>
      </c>
      <c r="G454" s="7">
        <v>16000</v>
      </c>
      <c r="H454" s="7">
        <v>1000</v>
      </c>
      <c r="I454" s="7">
        <v>190</v>
      </c>
      <c r="J454" s="7">
        <v>6877.0750856022</v>
      </c>
      <c r="K454" s="7">
        <v>1163.803263182684</v>
      </c>
      <c r="L454" s="7">
        <v>4000</v>
      </c>
      <c r="M454" s="7">
        <v>1713.271822419516</v>
      </c>
      <c r="N454" s="7">
        <v>6877.0750856022</v>
      </c>
      <c r="O454" s="7">
        <v>0</v>
      </c>
    </row>
    <row r="455" spans="1:15">
      <c r="A455" s="2" t="s">
        <v>234</v>
      </c>
      <c r="B455" s="7">
        <v>19</v>
      </c>
      <c r="C455" s="2" t="s">
        <v>235</v>
      </c>
      <c r="D455" s="7">
        <v>1000</v>
      </c>
      <c r="E455" s="7">
        <v>1900</v>
      </c>
      <c r="F455" s="7">
        <v>100</v>
      </c>
      <c r="G455" s="7">
        <v>17000</v>
      </c>
      <c r="H455" s="7">
        <v>1000</v>
      </c>
      <c r="I455" s="7">
        <v>190</v>
      </c>
      <c r="J455" s="7">
        <v>6877.0750856022</v>
      </c>
      <c r="K455" s="7">
        <v>1188.72719791903</v>
      </c>
      <c r="L455" s="7">
        <v>4000</v>
      </c>
      <c r="M455" s="7">
        <v>1688.34788768317</v>
      </c>
      <c r="N455" s="7">
        <v>6877.0750856022</v>
      </c>
      <c r="O455" s="7">
        <v>0</v>
      </c>
    </row>
    <row r="456" spans="1:15">
      <c r="A456" s="2" t="s">
        <v>234</v>
      </c>
      <c r="B456" s="7">
        <v>20</v>
      </c>
      <c r="C456" s="2" t="s">
        <v>235</v>
      </c>
      <c r="D456" s="7">
        <v>1000</v>
      </c>
      <c r="E456" s="7">
        <v>1900</v>
      </c>
      <c r="F456" s="7">
        <v>100</v>
      </c>
      <c r="G456" s="7">
        <v>18000</v>
      </c>
      <c r="H456" s="7">
        <v>1000</v>
      </c>
      <c r="I456" s="7">
        <v>190</v>
      </c>
      <c r="J456" s="7">
        <v>6877.0750856022</v>
      </c>
      <c r="K456" s="7">
        <v>1213.352653960649</v>
      </c>
      <c r="L456" s="7">
        <v>4000</v>
      </c>
      <c r="M456" s="7">
        <v>1663.72243164155</v>
      </c>
      <c r="N456" s="7">
        <v>6877.0750856022</v>
      </c>
      <c r="O456" s="7">
        <v>0</v>
      </c>
    </row>
    <row r="457" spans="1:15">
      <c r="A457" s="2" t="s">
        <v>234</v>
      </c>
      <c r="B457" s="7">
        <v>21</v>
      </c>
      <c r="C457" s="2" t="s">
        <v>235</v>
      </c>
      <c r="D457" s="7">
        <v>1000</v>
      </c>
      <c r="E457" s="7">
        <v>1900</v>
      </c>
      <c r="F457" s="7">
        <v>100</v>
      </c>
      <c r="G457" s="7">
        <v>19000</v>
      </c>
      <c r="H457" s="7">
        <v>1000</v>
      </c>
      <c r="I457" s="7">
        <v>190</v>
      </c>
      <c r="J457" s="7">
        <v>6877.0750856022</v>
      </c>
      <c r="K457" s="7">
        <v>1237.685600881436</v>
      </c>
      <c r="L457" s="7">
        <v>4000</v>
      </c>
      <c r="M457" s="7">
        <v>1639.389484720763</v>
      </c>
      <c r="N457" s="7">
        <v>6877.0750856022</v>
      </c>
      <c r="O457" s="7">
        <v>0</v>
      </c>
    </row>
    <row r="458" spans="1:15">
      <c r="A458" s="2" t="s">
        <v>234</v>
      </c>
      <c r="B458" s="7">
        <v>22</v>
      </c>
      <c r="C458" s="2" t="s">
        <v>235</v>
      </c>
      <c r="D458" s="7">
        <v>1000</v>
      </c>
      <c r="E458" s="7">
        <v>1900</v>
      </c>
      <c r="F458" s="7">
        <v>100</v>
      </c>
      <c r="G458" s="7">
        <v>20000</v>
      </c>
      <c r="H458" s="7">
        <v>1000</v>
      </c>
      <c r="I458" s="7">
        <v>190</v>
      </c>
      <c r="J458" s="7">
        <v>6877.0750856022</v>
      </c>
      <c r="K458" s="7">
        <v>1261.731888863808</v>
      </c>
      <c r="L458" s="7">
        <v>4000</v>
      </c>
      <c r="M458" s="7">
        <v>1615.343196738392</v>
      </c>
      <c r="N458" s="7">
        <v>6877.0750856022</v>
      </c>
      <c r="O458" s="7">
        <v>0</v>
      </c>
    </row>
    <row r="459" spans="1:15">
      <c r="A459" s="2" t="s">
        <v>234</v>
      </c>
      <c r="B459" s="7">
        <v>23</v>
      </c>
      <c r="C459" s="2" t="s">
        <v>235</v>
      </c>
      <c r="D459" s="7">
        <v>1000</v>
      </c>
      <c r="E459" s="7">
        <v>1900</v>
      </c>
      <c r="F459" s="7">
        <v>100</v>
      </c>
      <c r="G459" s="7">
        <v>21000</v>
      </c>
      <c r="H459" s="7">
        <v>1000</v>
      </c>
      <c r="I459" s="7">
        <v>190</v>
      </c>
      <c r="J459" s="7">
        <v>6877.0750856022</v>
      </c>
      <c r="K459" s="7">
        <v>1285.497251086531</v>
      </c>
      <c r="L459" s="7">
        <v>4000</v>
      </c>
      <c r="M459" s="7">
        <v>1591.577834515669</v>
      </c>
      <c r="N459" s="7">
        <v>6877.0750856022</v>
      </c>
      <c r="O459" s="7">
        <v>0</v>
      </c>
    </row>
    <row r="460" spans="1:15">
      <c r="A460" s="2" t="s">
        <v>234</v>
      </c>
      <c r="B460" s="7">
        <v>24</v>
      </c>
      <c r="C460" s="2" t="s">
        <v>235</v>
      </c>
      <c r="D460" s="7">
        <v>1000</v>
      </c>
      <c r="E460" s="7">
        <v>1900</v>
      </c>
      <c r="F460" s="7">
        <v>100</v>
      </c>
      <c r="G460" s="7">
        <v>22000</v>
      </c>
      <c r="H460" s="7">
        <v>1000</v>
      </c>
      <c r="I460" s="7">
        <v>190</v>
      </c>
      <c r="J460" s="7">
        <v>6877.0750856022</v>
      </c>
      <c r="K460" s="7">
        <v>1308.987306064801</v>
      </c>
      <c r="L460" s="7">
        <v>4000</v>
      </c>
      <c r="M460" s="7">
        <v>1568.087779537399</v>
      </c>
      <c r="N460" s="7">
        <v>6877.0750856022</v>
      </c>
      <c r="O460" s="7">
        <v>0</v>
      </c>
    </row>
    <row r="461" spans="1:15">
      <c r="A461" s="2" t="s">
        <v>234</v>
      </c>
      <c r="B461" s="7">
        <v>25</v>
      </c>
      <c r="C461" s="2" t="s">
        <v>235</v>
      </c>
      <c r="D461" s="7">
        <v>1000</v>
      </c>
      <c r="E461" s="7">
        <v>2710</v>
      </c>
      <c r="F461" s="7">
        <v>290</v>
      </c>
      <c r="G461" s="7">
        <v>22000</v>
      </c>
      <c r="H461" s="7">
        <v>2000</v>
      </c>
      <c r="I461" s="7">
        <v>271</v>
      </c>
      <c r="J461" s="7">
        <v>11290.1131674078</v>
      </c>
      <c r="K461" s="7">
        <v>1830.307559943505</v>
      </c>
      <c r="L461" s="7">
        <v>4000</v>
      </c>
      <c r="M461" s="7">
        <v>5459.805607464292</v>
      </c>
      <c r="N461" s="7">
        <v>11290.1131674078</v>
      </c>
      <c r="O461" s="7">
        <v>0</v>
      </c>
    </row>
    <row r="462" spans="1:15">
      <c r="A462" s="2" t="s">
        <v>234</v>
      </c>
      <c r="B462" s="7">
        <v>26</v>
      </c>
      <c r="C462" s="2" t="s">
        <v>235</v>
      </c>
      <c r="D462" s="7">
        <v>1000</v>
      </c>
      <c r="E462" s="7">
        <v>2710</v>
      </c>
      <c r="F462" s="7">
        <v>290</v>
      </c>
      <c r="G462" s="7">
        <v>23000</v>
      </c>
      <c r="H462" s="7">
        <v>2000</v>
      </c>
      <c r="I462" s="7">
        <v>271</v>
      </c>
      <c r="J462" s="7">
        <v>11290.1131674078</v>
      </c>
      <c r="K462" s="7">
        <v>1861.201408744635</v>
      </c>
      <c r="L462" s="7">
        <v>4000</v>
      </c>
      <c r="M462" s="7">
        <v>5428.911758663162</v>
      </c>
      <c r="N462" s="7">
        <v>11290.1131674078</v>
      </c>
      <c r="O462" s="7">
        <v>0</v>
      </c>
    </row>
    <row r="463" spans="1:15">
      <c r="A463" s="2" t="s">
        <v>234</v>
      </c>
      <c r="B463" s="7">
        <v>27</v>
      </c>
      <c r="C463" s="2" t="s">
        <v>235</v>
      </c>
      <c r="D463" s="7">
        <v>1000</v>
      </c>
      <c r="E463" s="7">
        <v>2710</v>
      </c>
      <c r="F463" s="7">
        <v>290</v>
      </c>
      <c r="G463" s="7">
        <v>24000</v>
      </c>
      <c r="H463" s="7">
        <v>2000</v>
      </c>
      <c r="I463" s="7">
        <v>271</v>
      </c>
      <c r="J463" s="7">
        <v>11290.1131674078</v>
      </c>
      <c r="K463" s="7">
        <v>1891.677380569742</v>
      </c>
      <c r="L463" s="7">
        <v>4000</v>
      </c>
      <c r="M463" s="7">
        <v>5398.435786838056</v>
      </c>
      <c r="N463" s="7">
        <v>11290.1131674078</v>
      </c>
      <c r="O463" s="7">
        <v>0</v>
      </c>
    </row>
    <row r="464" spans="1:15">
      <c r="A464" s="2" t="s">
        <v>234</v>
      </c>
      <c r="B464" s="7">
        <v>28</v>
      </c>
      <c r="C464" s="2" t="s">
        <v>235</v>
      </c>
      <c r="D464" s="7">
        <v>1000</v>
      </c>
      <c r="E464" s="7">
        <v>2710</v>
      </c>
      <c r="F464" s="7">
        <v>290</v>
      </c>
      <c r="G464" s="7">
        <v>25000</v>
      </c>
      <c r="H464" s="7">
        <v>2000</v>
      </c>
      <c r="I464" s="7">
        <v>271</v>
      </c>
      <c r="J464" s="7">
        <v>11290.1131674078</v>
      </c>
      <c r="K464" s="7">
        <v>1921.743832958347</v>
      </c>
      <c r="L464" s="7">
        <v>4000</v>
      </c>
      <c r="M464" s="7">
        <v>5368.36933444945</v>
      </c>
      <c r="N464" s="7">
        <v>11290.1131674078</v>
      </c>
      <c r="O464" s="7">
        <v>0</v>
      </c>
    </row>
    <row r="465" spans="1:15">
      <c r="A465" s="2" t="s">
        <v>234</v>
      </c>
      <c r="B465" s="7">
        <v>29</v>
      </c>
      <c r="C465" s="2" t="s">
        <v>235</v>
      </c>
      <c r="D465" s="7">
        <v>1000</v>
      </c>
      <c r="E465" s="7">
        <v>2710</v>
      </c>
      <c r="F465" s="7">
        <v>290</v>
      </c>
      <c r="G465" s="7">
        <v>26000</v>
      </c>
      <c r="H465" s="7">
        <v>2000</v>
      </c>
      <c r="I465" s="7">
        <v>271</v>
      </c>
      <c r="J465" s="7">
        <v>11290.1131674078</v>
      </c>
      <c r="K465" s="7">
        <v>1951.40895629918</v>
      </c>
      <c r="L465" s="7">
        <v>4000</v>
      </c>
      <c r="M465" s="7">
        <v>5338.704211108618</v>
      </c>
      <c r="N465" s="7">
        <v>11290.1131674078</v>
      </c>
      <c r="O465" s="7">
        <v>0</v>
      </c>
    </row>
    <row r="466" spans="1:15">
      <c r="A466" s="2" t="s">
        <v>234</v>
      </c>
      <c r="B466" s="7">
        <v>30</v>
      </c>
      <c r="C466" s="2" t="s">
        <v>235</v>
      </c>
      <c r="D466" s="7">
        <v>1000</v>
      </c>
      <c r="E466" s="7">
        <v>2710</v>
      </c>
      <c r="F466" s="7">
        <v>290</v>
      </c>
      <c r="G466" s="7">
        <v>27000</v>
      </c>
      <c r="H466" s="7">
        <v>2000</v>
      </c>
      <c r="I466" s="7">
        <v>271</v>
      </c>
      <c r="J466" s="7">
        <v>11290.1131674078</v>
      </c>
      <c r="K466" s="7">
        <v>1980.680777173196</v>
      </c>
      <c r="L466" s="7">
        <v>4000</v>
      </c>
      <c r="M466" s="7">
        <v>5309.4323902346</v>
      </c>
      <c r="N466" s="7">
        <v>11290.1131674078</v>
      </c>
      <c r="O466" s="7">
        <v>0</v>
      </c>
    </row>
    <row r="467" spans="1:15">
      <c r="A467" s="2" t="s">
        <v>234</v>
      </c>
      <c r="B467" s="7">
        <v>31</v>
      </c>
      <c r="C467" s="2" t="s">
        <v>235</v>
      </c>
      <c r="D467" s="7">
        <v>1000</v>
      </c>
      <c r="E467" s="7">
        <v>2710</v>
      </c>
      <c r="F467" s="7">
        <v>290</v>
      </c>
      <c r="G467" s="7">
        <v>28000</v>
      </c>
      <c r="H467" s="7">
        <v>2000</v>
      </c>
      <c r="I467" s="7">
        <v>271</v>
      </c>
      <c r="J467" s="7">
        <v>11290.1131674078</v>
      </c>
      <c r="K467" s="7">
        <v>2009.567161629732</v>
      </c>
      <c r="L467" s="7">
        <v>4000</v>
      </c>
      <c r="M467" s="7">
        <v>5280.546005778064</v>
      </c>
      <c r="N467" s="7">
        <v>11290.1131674078</v>
      </c>
      <c r="O467" s="7">
        <v>0</v>
      </c>
    </row>
    <row r="468" spans="1:15">
      <c r="A468" s="2" t="s">
        <v>234</v>
      </c>
      <c r="B468" s="7">
        <v>32</v>
      </c>
      <c r="C468" s="2" t="s">
        <v>235</v>
      </c>
      <c r="D468" s="7">
        <v>1000</v>
      </c>
      <c r="E468" s="7">
        <v>2710</v>
      </c>
      <c r="F468" s="7">
        <v>290</v>
      </c>
      <c r="G468" s="7">
        <v>29000</v>
      </c>
      <c r="H468" s="7">
        <v>2000</v>
      </c>
      <c r="I468" s="7">
        <v>271</v>
      </c>
      <c r="J468" s="7">
        <v>11290.1131674078</v>
      </c>
      <c r="K468" s="7">
        <v>2038.075818397138</v>
      </c>
      <c r="L468" s="7">
        <v>4000</v>
      </c>
      <c r="M468" s="7">
        <v>5252.037349010659</v>
      </c>
      <c r="N468" s="7">
        <v>11290.1131674078</v>
      </c>
      <c r="O468" s="7">
        <v>0</v>
      </c>
    </row>
    <row r="469" spans="1:15">
      <c r="A469" s="2" t="s">
        <v>234</v>
      </c>
      <c r="B469" s="7">
        <v>33</v>
      </c>
      <c r="C469" s="2" t="s">
        <v>235</v>
      </c>
      <c r="D469" s="7">
        <v>1000</v>
      </c>
      <c r="E469" s="7">
        <v>2710</v>
      </c>
      <c r="F469" s="7">
        <v>290</v>
      </c>
      <c r="G469" s="7">
        <v>30000</v>
      </c>
      <c r="H469" s="7">
        <v>2000</v>
      </c>
      <c r="I469" s="7">
        <v>271</v>
      </c>
      <c r="J469" s="7">
        <v>11290.1131674078</v>
      </c>
      <c r="K469" s="7">
        <v>2066.214302029195</v>
      </c>
      <c r="L469" s="7">
        <v>4000</v>
      </c>
      <c r="M469" s="7">
        <v>5223.898865378602</v>
      </c>
      <c r="N469" s="7">
        <v>11290.1131674078</v>
      </c>
      <c r="O469" s="7">
        <v>0</v>
      </c>
    </row>
    <row r="470" spans="1:15">
      <c r="A470" s="2" t="s">
        <v>234</v>
      </c>
      <c r="B470" s="7">
        <v>34</v>
      </c>
      <c r="C470" s="2" t="s">
        <v>235</v>
      </c>
      <c r="D470" s="7">
        <v>1000</v>
      </c>
      <c r="E470" s="7">
        <v>2710</v>
      </c>
      <c r="F470" s="7">
        <v>290</v>
      </c>
      <c r="G470" s="7">
        <v>31000</v>
      </c>
      <c r="H470" s="7">
        <v>2000</v>
      </c>
      <c r="I470" s="7">
        <v>271</v>
      </c>
      <c r="J470" s="7">
        <v>11290.1131674078</v>
      </c>
      <c r="K470" s="7">
        <v>2093.990015988611</v>
      </c>
      <c r="L470" s="7">
        <v>4000</v>
      </c>
      <c r="M470" s="7">
        <v>5196.123151419186</v>
      </c>
      <c r="N470" s="7">
        <v>11290.1131674078</v>
      </c>
      <c r="O470" s="7">
        <v>0</v>
      </c>
    </row>
    <row r="471" spans="1:15">
      <c r="A471" s="2" t="s">
        <v>234</v>
      </c>
      <c r="B471" s="7">
        <v>35</v>
      </c>
      <c r="C471" s="2" t="s">
        <v>235</v>
      </c>
      <c r="D471" s="7">
        <v>1000</v>
      </c>
      <c r="E471" s="7">
        <v>2710</v>
      </c>
      <c r="F471" s="7">
        <v>290</v>
      </c>
      <c r="G471" s="7">
        <v>32000</v>
      </c>
      <c r="H471" s="7">
        <v>2000</v>
      </c>
      <c r="I471" s="7">
        <v>271</v>
      </c>
      <c r="J471" s="7">
        <v>11290.1131674078</v>
      </c>
      <c r="K471" s="7">
        <v>2121.410215668839</v>
      </c>
      <c r="L471" s="7">
        <v>4000</v>
      </c>
      <c r="M471" s="7">
        <v>5168.702951738958</v>
      </c>
      <c r="N471" s="7">
        <v>11290.1131674078</v>
      </c>
      <c r="O471" s="7">
        <v>0</v>
      </c>
    </row>
    <row r="472" spans="1:15">
      <c r="A472" s="2" t="s">
        <v>234</v>
      </c>
      <c r="B472" s="7">
        <v>36</v>
      </c>
      <c r="C472" s="2" t="s">
        <v>235</v>
      </c>
      <c r="D472" s="7">
        <v>1000</v>
      </c>
      <c r="E472" s="7">
        <v>2710</v>
      </c>
      <c r="F472" s="7">
        <v>290</v>
      </c>
      <c r="G472" s="7">
        <v>33000</v>
      </c>
      <c r="H472" s="7">
        <v>2000</v>
      </c>
      <c r="I472" s="7">
        <v>271</v>
      </c>
      <c r="J472" s="7">
        <v>11290.1131674078</v>
      </c>
      <c r="K472" s="7">
        <v>2148.482011355462</v>
      </c>
      <c r="L472" s="7">
        <v>4000</v>
      </c>
      <c r="M472" s="7">
        <v>5141.631156052335</v>
      </c>
      <c r="N472" s="7">
        <v>11290.1131674078</v>
      </c>
      <c r="O472" s="7">
        <v>0</v>
      </c>
    </row>
    <row r="473" spans="1:15">
      <c r="A473" s="2" t="s">
        <v>236</v>
      </c>
      <c r="B473" s="7">
        <v>1</v>
      </c>
      <c r="C473" s="2" t="s">
        <v>237</v>
      </c>
      <c r="D473" s="7">
        <v>1000</v>
      </c>
      <c r="E473" s="7">
        <v>1000</v>
      </c>
      <c r="F473" s="7">
        <v>0</v>
      </c>
      <c r="G473" s="7">
        <v>0</v>
      </c>
      <c r="H473" s="7">
        <v>0</v>
      </c>
      <c r="I473" s="7">
        <v>50</v>
      </c>
      <c r="J473" s="7">
        <v>950</v>
      </c>
      <c r="K473" s="7">
        <v>300</v>
      </c>
      <c r="L473" s="7">
        <v>4000</v>
      </c>
      <c r="M473" s="7">
        <v>-3350</v>
      </c>
      <c r="N473" s="7">
        <v>950</v>
      </c>
      <c r="O473" s="7">
        <v>1000</v>
      </c>
    </row>
    <row r="474" spans="1:15">
      <c r="A474" s="2" t="s">
        <v>236</v>
      </c>
      <c r="B474" s="7">
        <v>2</v>
      </c>
      <c r="C474" s="2" t="s">
        <v>237</v>
      </c>
      <c r="D474" s="7">
        <v>1000</v>
      </c>
      <c r="E474" s="7">
        <v>1000</v>
      </c>
      <c r="F474" s="7">
        <v>0</v>
      </c>
      <c r="G474" s="7">
        <v>0</v>
      </c>
      <c r="H474" s="7">
        <v>0</v>
      </c>
      <c r="I474" s="7">
        <v>50</v>
      </c>
      <c r="J474" s="7">
        <v>950</v>
      </c>
      <c r="K474" s="7">
        <v>300</v>
      </c>
      <c r="L474" s="7">
        <v>4000</v>
      </c>
      <c r="M474" s="7">
        <v>-3350</v>
      </c>
      <c r="N474" s="7">
        <v>950</v>
      </c>
      <c r="O474" s="7">
        <v>2000</v>
      </c>
    </row>
    <row r="475" spans="1:15">
      <c r="A475" s="2" t="s">
        <v>236</v>
      </c>
      <c r="B475" s="7">
        <v>3</v>
      </c>
      <c r="C475" s="2" t="s">
        <v>237</v>
      </c>
      <c r="D475" s="7">
        <v>1000</v>
      </c>
      <c r="E475" s="7">
        <v>1000</v>
      </c>
      <c r="F475" s="7">
        <v>0</v>
      </c>
      <c r="G475" s="7">
        <v>0</v>
      </c>
      <c r="H475" s="7">
        <v>0</v>
      </c>
      <c r="I475" s="7">
        <v>50</v>
      </c>
      <c r="J475" s="7">
        <v>950</v>
      </c>
      <c r="K475" s="7">
        <v>300</v>
      </c>
      <c r="L475" s="7">
        <v>4000</v>
      </c>
      <c r="M475" s="7">
        <v>-3350</v>
      </c>
      <c r="N475" s="7">
        <v>950</v>
      </c>
      <c r="O475" s="7">
        <v>3000</v>
      </c>
    </row>
    <row r="476" spans="1:15">
      <c r="A476" s="2" t="s">
        <v>236</v>
      </c>
      <c r="B476" s="7">
        <v>4</v>
      </c>
      <c r="C476" s="2" t="s">
        <v>237</v>
      </c>
      <c r="D476" s="7">
        <v>1000</v>
      </c>
      <c r="E476" s="7">
        <v>1000</v>
      </c>
      <c r="F476" s="7">
        <v>0</v>
      </c>
      <c r="G476" s="7">
        <v>0</v>
      </c>
      <c r="H476" s="7">
        <v>0</v>
      </c>
      <c r="I476" s="7">
        <v>50</v>
      </c>
      <c r="J476" s="7">
        <v>950</v>
      </c>
      <c r="K476" s="7">
        <v>300</v>
      </c>
      <c r="L476" s="7">
        <v>4000</v>
      </c>
      <c r="M476" s="7">
        <v>-3350</v>
      </c>
      <c r="N476" s="7">
        <v>950</v>
      </c>
      <c r="O476" s="7">
        <v>4000</v>
      </c>
    </row>
    <row r="477" spans="1:15">
      <c r="A477" s="2" t="s">
        <v>236</v>
      </c>
      <c r="B477" s="7">
        <v>5</v>
      </c>
      <c r="C477" s="2" t="s">
        <v>237</v>
      </c>
      <c r="D477" s="7">
        <v>1000</v>
      </c>
      <c r="E477" s="7">
        <v>1000</v>
      </c>
      <c r="F477" s="7">
        <v>0</v>
      </c>
      <c r="G477" s="7">
        <v>0</v>
      </c>
      <c r="H477" s="7">
        <v>0</v>
      </c>
      <c r="I477" s="7">
        <v>50</v>
      </c>
      <c r="J477" s="7">
        <v>950</v>
      </c>
      <c r="K477" s="7">
        <v>300</v>
      </c>
      <c r="L477" s="7">
        <v>4000</v>
      </c>
      <c r="M477" s="7">
        <v>-3350</v>
      </c>
      <c r="N477" s="7">
        <v>950</v>
      </c>
      <c r="O477" s="7">
        <v>5000</v>
      </c>
    </row>
    <row r="478" spans="1:15">
      <c r="A478" s="2" t="s">
        <v>236</v>
      </c>
      <c r="B478" s="7">
        <v>6</v>
      </c>
      <c r="C478" s="2" t="s">
        <v>237</v>
      </c>
      <c r="D478" s="7">
        <v>1000</v>
      </c>
      <c r="E478" s="7">
        <v>1000</v>
      </c>
      <c r="F478" s="7">
        <v>0</v>
      </c>
      <c r="G478" s="7">
        <v>0</v>
      </c>
      <c r="H478" s="7">
        <v>0</v>
      </c>
      <c r="I478" s="7">
        <v>50</v>
      </c>
      <c r="J478" s="7">
        <v>950</v>
      </c>
      <c r="K478" s="7">
        <v>300</v>
      </c>
      <c r="L478" s="7">
        <v>4000</v>
      </c>
      <c r="M478" s="7">
        <v>-3350</v>
      </c>
      <c r="N478" s="7">
        <v>950</v>
      </c>
      <c r="O478" s="7">
        <v>6000</v>
      </c>
    </row>
    <row r="479" spans="1:15">
      <c r="A479" s="2" t="s">
        <v>236</v>
      </c>
      <c r="B479" s="7">
        <v>7</v>
      </c>
      <c r="C479" s="2" t="s">
        <v>237</v>
      </c>
      <c r="D479" s="7">
        <v>1000</v>
      </c>
      <c r="E479" s="7">
        <v>1000</v>
      </c>
      <c r="F479" s="7">
        <v>0</v>
      </c>
      <c r="G479" s="7">
        <v>0</v>
      </c>
      <c r="H479" s="7">
        <v>0</v>
      </c>
      <c r="I479" s="7">
        <v>50</v>
      </c>
      <c r="J479" s="7">
        <v>950</v>
      </c>
      <c r="K479" s="7">
        <v>300</v>
      </c>
      <c r="L479" s="7">
        <v>4000</v>
      </c>
      <c r="M479" s="7">
        <v>-3350</v>
      </c>
      <c r="N479" s="7">
        <v>950</v>
      </c>
      <c r="O479" s="7">
        <v>7000</v>
      </c>
    </row>
    <row r="480" spans="1:15">
      <c r="A480" s="2" t="s">
        <v>236</v>
      </c>
      <c r="B480" s="7">
        <v>8</v>
      </c>
      <c r="C480" s="2" t="s">
        <v>237</v>
      </c>
      <c r="D480" s="7">
        <v>1000</v>
      </c>
      <c r="E480" s="7">
        <v>1000</v>
      </c>
      <c r="F480" s="7">
        <v>0</v>
      </c>
      <c r="G480" s="7">
        <v>0</v>
      </c>
      <c r="H480" s="7">
        <v>0</v>
      </c>
      <c r="I480" s="7">
        <v>50</v>
      </c>
      <c r="J480" s="7">
        <v>950</v>
      </c>
      <c r="K480" s="7">
        <v>300</v>
      </c>
      <c r="L480" s="7">
        <v>4000</v>
      </c>
      <c r="M480" s="7">
        <v>-3350</v>
      </c>
      <c r="N480" s="7">
        <v>950</v>
      </c>
      <c r="O480" s="7">
        <v>8000</v>
      </c>
    </row>
    <row r="481" spans="1:15">
      <c r="A481" s="2" t="s">
        <v>236</v>
      </c>
      <c r="B481" s="7">
        <v>9</v>
      </c>
      <c r="C481" s="2" t="s">
        <v>237</v>
      </c>
      <c r="D481" s="7">
        <v>1000</v>
      </c>
      <c r="E481" s="7">
        <v>1000</v>
      </c>
      <c r="F481" s="7">
        <v>0</v>
      </c>
      <c r="G481" s="7">
        <v>0</v>
      </c>
      <c r="H481" s="7">
        <v>0</v>
      </c>
      <c r="I481" s="7">
        <v>50</v>
      </c>
      <c r="J481" s="7">
        <v>950</v>
      </c>
      <c r="K481" s="7">
        <v>300</v>
      </c>
      <c r="L481" s="7">
        <v>4000</v>
      </c>
      <c r="M481" s="7">
        <v>-3350</v>
      </c>
      <c r="N481" s="7">
        <v>950</v>
      </c>
      <c r="O481" s="7">
        <v>9000</v>
      </c>
    </row>
    <row r="482" spans="1:15">
      <c r="A482" s="2" t="s">
        <v>236</v>
      </c>
      <c r="B482" s="7">
        <v>10</v>
      </c>
      <c r="C482" s="2" t="s">
        <v>237</v>
      </c>
      <c r="D482" s="7">
        <v>1000</v>
      </c>
      <c r="E482" s="7">
        <v>1000</v>
      </c>
      <c r="F482" s="7">
        <v>0</v>
      </c>
      <c r="G482" s="7">
        <v>0</v>
      </c>
      <c r="H482" s="7">
        <v>0</v>
      </c>
      <c r="I482" s="7">
        <v>50</v>
      </c>
      <c r="J482" s="7">
        <v>950</v>
      </c>
      <c r="K482" s="7">
        <v>300</v>
      </c>
      <c r="L482" s="7">
        <v>4000</v>
      </c>
      <c r="M482" s="7">
        <v>-3350</v>
      </c>
      <c r="N482" s="7">
        <v>950</v>
      </c>
      <c r="O482" s="7">
        <v>10000</v>
      </c>
    </row>
    <row r="483" spans="1:15">
      <c r="A483" s="2" t="s">
        <v>236</v>
      </c>
      <c r="B483" s="7">
        <v>11</v>
      </c>
      <c r="C483" s="2" t="s">
        <v>237</v>
      </c>
      <c r="D483" s="7">
        <v>1000</v>
      </c>
      <c r="E483" s="7">
        <v>1000</v>
      </c>
      <c r="F483" s="7">
        <v>0</v>
      </c>
      <c r="G483" s="7">
        <v>0</v>
      </c>
      <c r="H483" s="7">
        <v>0</v>
      </c>
      <c r="I483" s="7">
        <v>50</v>
      </c>
      <c r="J483" s="7">
        <v>950</v>
      </c>
      <c r="K483" s="7">
        <v>300</v>
      </c>
      <c r="L483" s="7">
        <v>4000</v>
      </c>
      <c r="M483" s="7">
        <v>-3350</v>
      </c>
      <c r="N483" s="7">
        <v>950</v>
      </c>
      <c r="O483" s="7">
        <v>11000</v>
      </c>
    </row>
    <row r="484" spans="1:15">
      <c r="A484" s="2" t="s">
        <v>236</v>
      </c>
      <c r="B484" s="7">
        <v>12</v>
      </c>
      <c r="C484" s="2" t="s">
        <v>237</v>
      </c>
      <c r="D484" s="7">
        <v>1000</v>
      </c>
      <c r="E484" s="7">
        <v>1000</v>
      </c>
      <c r="F484" s="7">
        <v>0</v>
      </c>
      <c r="G484" s="7">
        <v>0</v>
      </c>
      <c r="H484" s="7">
        <v>0</v>
      </c>
      <c r="I484" s="7">
        <v>50</v>
      </c>
      <c r="J484" s="7">
        <v>950</v>
      </c>
      <c r="K484" s="7">
        <v>300</v>
      </c>
      <c r="L484" s="7">
        <v>4000</v>
      </c>
      <c r="M484" s="7">
        <v>-3350</v>
      </c>
      <c r="N484" s="7">
        <v>950</v>
      </c>
      <c r="O484" s="7">
        <v>12000</v>
      </c>
    </row>
    <row r="485" spans="1:15">
      <c r="A485" s="2" t="s">
        <v>236</v>
      </c>
      <c r="B485" s="7">
        <v>13</v>
      </c>
      <c r="C485" s="2" t="s">
        <v>237</v>
      </c>
      <c r="D485" s="7">
        <v>1000</v>
      </c>
      <c r="E485" s="7">
        <v>1000</v>
      </c>
      <c r="F485" s="7">
        <v>0</v>
      </c>
      <c r="G485" s="7">
        <v>0</v>
      </c>
      <c r="H485" s="7">
        <v>0</v>
      </c>
      <c r="I485" s="7">
        <v>50</v>
      </c>
      <c r="J485" s="7">
        <v>950</v>
      </c>
      <c r="K485" s="7">
        <v>300</v>
      </c>
      <c r="L485" s="7">
        <v>4000</v>
      </c>
      <c r="M485" s="7">
        <v>-3350</v>
      </c>
      <c r="N485" s="7">
        <v>950</v>
      </c>
      <c r="O485" s="7">
        <v>13000</v>
      </c>
    </row>
    <row r="486" spans="1:15">
      <c r="A486" s="2" t="s">
        <v>236</v>
      </c>
      <c r="B486" s="7">
        <v>14</v>
      </c>
      <c r="C486" s="2" t="s">
        <v>237</v>
      </c>
      <c r="D486" s="7">
        <v>1000</v>
      </c>
      <c r="E486" s="7">
        <v>1000</v>
      </c>
      <c r="F486" s="7">
        <v>0</v>
      </c>
      <c r="G486" s="7">
        <v>0</v>
      </c>
      <c r="H486" s="7">
        <v>0</v>
      </c>
      <c r="I486" s="7">
        <v>50</v>
      </c>
      <c r="J486" s="7">
        <v>950</v>
      </c>
      <c r="K486" s="7">
        <v>300</v>
      </c>
      <c r="L486" s="7">
        <v>4000</v>
      </c>
      <c r="M486" s="7">
        <v>-3350</v>
      </c>
      <c r="N486" s="7">
        <v>950</v>
      </c>
      <c r="O486" s="7">
        <v>14000</v>
      </c>
    </row>
    <row r="487" spans="1:15">
      <c r="A487" s="2" t="s">
        <v>236</v>
      </c>
      <c r="B487" s="7">
        <v>15</v>
      </c>
      <c r="C487" s="2" t="s">
        <v>237</v>
      </c>
      <c r="D487" s="7">
        <v>1000</v>
      </c>
      <c r="E487" s="7">
        <v>1000</v>
      </c>
      <c r="F487" s="7">
        <v>0</v>
      </c>
      <c r="G487" s="7">
        <v>0</v>
      </c>
      <c r="H487" s="7">
        <v>0</v>
      </c>
      <c r="I487" s="7">
        <v>50</v>
      </c>
      <c r="J487" s="7">
        <v>950</v>
      </c>
      <c r="K487" s="7">
        <v>300</v>
      </c>
      <c r="L487" s="7">
        <v>4000</v>
      </c>
      <c r="M487" s="7">
        <v>-3350</v>
      </c>
      <c r="N487" s="7">
        <v>950</v>
      </c>
      <c r="O487" s="7">
        <v>15000</v>
      </c>
    </row>
    <row r="488" spans="1:15">
      <c r="A488" s="2" t="s">
        <v>236</v>
      </c>
      <c r="B488" s="7">
        <v>16</v>
      </c>
      <c r="C488" s="2" t="s">
        <v>237</v>
      </c>
      <c r="D488" s="7">
        <v>1000</v>
      </c>
      <c r="E488" s="7">
        <v>1000</v>
      </c>
      <c r="F488" s="7">
        <v>0</v>
      </c>
      <c r="G488" s="7">
        <v>0</v>
      </c>
      <c r="H488" s="7">
        <v>0</v>
      </c>
      <c r="I488" s="7">
        <v>50</v>
      </c>
      <c r="J488" s="7">
        <v>950</v>
      </c>
      <c r="K488" s="7">
        <v>300</v>
      </c>
      <c r="L488" s="7">
        <v>4000</v>
      </c>
      <c r="M488" s="7">
        <v>-3350</v>
      </c>
      <c r="N488" s="7">
        <v>950</v>
      </c>
      <c r="O488" s="7">
        <v>16000</v>
      </c>
    </row>
    <row r="489" spans="1:15">
      <c r="A489" s="2" t="s">
        <v>236</v>
      </c>
      <c r="B489" s="7">
        <v>17</v>
      </c>
      <c r="C489" s="2" t="s">
        <v>237</v>
      </c>
      <c r="D489" s="7">
        <v>1000</v>
      </c>
      <c r="E489" s="7">
        <v>1000</v>
      </c>
      <c r="F489" s="7">
        <v>0</v>
      </c>
      <c r="G489" s="7">
        <v>0</v>
      </c>
      <c r="H489" s="7">
        <v>0</v>
      </c>
      <c r="I489" s="7">
        <v>50</v>
      </c>
      <c r="J489" s="7">
        <v>950</v>
      </c>
      <c r="K489" s="7">
        <v>300</v>
      </c>
      <c r="L489" s="7">
        <v>4000</v>
      </c>
      <c r="M489" s="7">
        <v>-3350</v>
      </c>
      <c r="N489" s="7">
        <v>950</v>
      </c>
      <c r="O489" s="7">
        <v>17000</v>
      </c>
    </row>
    <row r="490" spans="1:15">
      <c r="A490" s="2" t="s">
        <v>236</v>
      </c>
      <c r="B490" s="7">
        <v>18</v>
      </c>
      <c r="C490" s="2" t="s">
        <v>237</v>
      </c>
      <c r="D490" s="7">
        <v>1000</v>
      </c>
      <c r="E490" s="7">
        <v>1000</v>
      </c>
      <c r="F490" s="7">
        <v>0</v>
      </c>
      <c r="G490" s="7">
        <v>0</v>
      </c>
      <c r="H490" s="7">
        <v>0</v>
      </c>
      <c r="I490" s="7">
        <v>50</v>
      </c>
      <c r="J490" s="7">
        <v>950</v>
      </c>
      <c r="K490" s="7">
        <v>300</v>
      </c>
      <c r="L490" s="7">
        <v>4000</v>
      </c>
      <c r="M490" s="7">
        <v>-3350</v>
      </c>
      <c r="N490" s="7">
        <v>950</v>
      </c>
      <c r="O490" s="7">
        <v>18000</v>
      </c>
    </row>
    <row r="491" spans="1:15">
      <c r="A491" s="2" t="s">
        <v>236</v>
      </c>
      <c r="B491" s="7">
        <v>19</v>
      </c>
      <c r="C491" s="2" t="s">
        <v>237</v>
      </c>
      <c r="D491" s="7">
        <v>1000</v>
      </c>
      <c r="E491" s="7">
        <v>1000</v>
      </c>
      <c r="F491" s="7">
        <v>0</v>
      </c>
      <c r="G491" s="7">
        <v>0</v>
      </c>
      <c r="H491" s="7">
        <v>0</v>
      </c>
      <c r="I491" s="7">
        <v>50</v>
      </c>
      <c r="J491" s="7">
        <v>950</v>
      </c>
      <c r="K491" s="7">
        <v>300</v>
      </c>
      <c r="L491" s="7">
        <v>4000</v>
      </c>
      <c r="M491" s="7">
        <v>-3350</v>
      </c>
      <c r="N491" s="7">
        <v>950</v>
      </c>
      <c r="O491" s="7">
        <v>19000</v>
      </c>
    </row>
    <row r="492" spans="1:15">
      <c r="A492" s="2" t="s">
        <v>236</v>
      </c>
      <c r="B492" s="7">
        <v>20</v>
      </c>
      <c r="C492" s="2" t="s">
        <v>237</v>
      </c>
      <c r="D492" s="7">
        <v>1000</v>
      </c>
      <c r="E492" s="7">
        <v>1000</v>
      </c>
      <c r="F492" s="7">
        <v>0</v>
      </c>
      <c r="G492" s="7">
        <v>0</v>
      </c>
      <c r="H492" s="7">
        <v>0</v>
      </c>
      <c r="I492" s="7">
        <v>50</v>
      </c>
      <c r="J492" s="7">
        <v>950</v>
      </c>
      <c r="K492" s="7">
        <v>300</v>
      </c>
      <c r="L492" s="7">
        <v>4000</v>
      </c>
      <c r="M492" s="7">
        <v>-3350</v>
      </c>
      <c r="N492" s="7">
        <v>950</v>
      </c>
      <c r="O492" s="7">
        <v>20000</v>
      </c>
    </row>
    <row r="493" spans="1:15">
      <c r="A493" s="2" t="s">
        <v>236</v>
      </c>
      <c r="B493" s="7">
        <v>21</v>
      </c>
      <c r="C493" s="2" t="s">
        <v>237</v>
      </c>
      <c r="D493" s="7">
        <v>1000</v>
      </c>
      <c r="E493" s="7">
        <v>1000</v>
      </c>
      <c r="F493" s="7">
        <v>0</v>
      </c>
      <c r="G493" s="7">
        <v>0</v>
      </c>
      <c r="H493" s="7">
        <v>0</v>
      </c>
      <c r="I493" s="7">
        <v>50</v>
      </c>
      <c r="J493" s="7">
        <v>950</v>
      </c>
      <c r="K493" s="7">
        <v>300</v>
      </c>
      <c r="L493" s="7">
        <v>4000</v>
      </c>
      <c r="M493" s="7">
        <v>-3350</v>
      </c>
      <c r="N493" s="7">
        <v>950</v>
      </c>
      <c r="O493" s="7">
        <v>21000</v>
      </c>
    </row>
    <row r="494" spans="1:15">
      <c r="A494" s="2" t="s">
        <v>236</v>
      </c>
      <c r="B494" s="7">
        <v>22</v>
      </c>
      <c r="C494" s="2" t="s">
        <v>237</v>
      </c>
      <c r="D494" s="7">
        <v>1000</v>
      </c>
      <c r="E494" s="7">
        <v>1000</v>
      </c>
      <c r="F494" s="7">
        <v>0</v>
      </c>
      <c r="G494" s="7">
        <v>0</v>
      </c>
      <c r="H494" s="7">
        <v>0</v>
      </c>
      <c r="I494" s="7">
        <v>50</v>
      </c>
      <c r="J494" s="7">
        <v>950</v>
      </c>
      <c r="K494" s="7">
        <v>300</v>
      </c>
      <c r="L494" s="7">
        <v>4000</v>
      </c>
      <c r="M494" s="7">
        <v>-3350</v>
      </c>
      <c r="N494" s="7">
        <v>950</v>
      </c>
      <c r="O494" s="7">
        <v>22000</v>
      </c>
    </row>
    <row r="495" spans="1:15">
      <c r="A495" s="2" t="s">
        <v>236</v>
      </c>
      <c r="B495" s="7">
        <v>23</v>
      </c>
      <c r="C495" s="2" t="s">
        <v>237</v>
      </c>
      <c r="D495" s="7">
        <v>1000</v>
      </c>
      <c r="E495" s="7">
        <v>1000</v>
      </c>
      <c r="F495" s="7">
        <v>0</v>
      </c>
      <c r="G495" s="7">
        <v>0</v>
      </c>
      <c r="H495" s="7">
        <v>0</v>
      </c>
      <c r="I495" s="7">
        <v>50</v>
      </c>
      <c r="J495" s="7">
        <v>950</v>
      </c>
      <c r="K495" s="7">
        <v>300</v>
      </c>
      <c r="L495" s="7">
        <v>4000</v>
      </c>
      <c r="M495" s="7">
        <v>-3350</v>
      </c>
      <c r="N495" s="7">
        <v>950</v>
      </c>
      <c r="O495" s="7">
        <v>23000</v>
      </c>
    </row>
    <row r="496" spans="1:15">
      <c r="A496" s="2" t="s">
        <v>236</v>
      </c>
      <c r="B496" s="7">
        <v>24</v>
      </c>
      <c r="C496" s="2" t="s">
        <v>237</v>
      </c>
      <c r="D496" s="7">
        <v>1000</v>
      </c>
      <c r="E496" s="7">
        <v>1000</v>
      </c>
      <c r="F496" s="7">
        <v>0</v>
      </c>
      <c r="G496" s="7">
        <v>0</v>
      </c>
      <c r="H496" s="7">
        <v>0</v>
      </c>
      <c r="I496" s="7">
        <v>50</v>
      </c>
      <c r="J496" s="7">
        <v>950</v>
      </c>
      <c r="K496" s="7">
        <v>300</v>
      </c>
      <c r="L496" s="7">
        <v>4000</v>
      </c>
      <c r="M496" s="7">
        <v>-3350</v>
      </c>
      <c r="N496" s="7">
        <v>950</v>
      </c>
      <c r="O496" s="7">
        <v>24000</v>
      </c>
    </row>
    <row r="497" spans="1:15">
      <c r="A497" s="2" t="s">
        <v>236</v>
      </c>
      <c r="B497" s="7">
        <v>25</v>
      </c>
      <c r="C497" s="2" t="s">
        <v>237</v>
      </c>
      <c r="D497" s="7">
        <v>1000</v>
      </c>
      <c r="E497" s="7">
        <v>1000</v>
      </c>
      <c r="F497" s="7">
        <v>0</v>
      </c>
      <c r="G497" s="7">
        <v>0</v>
      </c>
      <c r="H497" s="7">
        <v>0</v>
      </c>
      <c r="I497" s="7">
        <v>50</v>
      </c>
      <c r="J497" s="7">
        <v>950</v>
      </c>
      <c r="K497" s="7">
        <v>300</v>
      </c>
      <c r="L497" s="7">
        <v>4000</v>
      </c>
      <c r="M497" s="7">
        <v>-3350</v>
      </c>
      <c r="N497" s="7">
        <v>950</v>
      </c>
      <c r="O497" s="7">
        <v>25000</v>
      </c>
    </row>
    <row r="498" spans="1:15">
      <c r="A498" s="2" t="s">
        <v>236</v>
      </c>
      <c r="B498" s="7">
        <v>26</v>
      </c>
      <c r="C498" s="2" t="s">
        <v>237</v>
      </c>
      <c r="D498" s="7">
        <v>1000</v>
      </c>
      <c r="E498" s="7">
        <v>1000</v>
      </c>
      <c r="F498" s="7">
        <v>0</v>
      </c>
      <c r="G498" s="7">
        <v>0</v>
      </c>
      <c r="H498" s="7">
        <v>0</v>
      </c>
      <c r="I498" s="7">
        <v>50</v>
      </c>
      <c r="J498" s="7">
        <v>950</v>
      </c>
      <c r="K498" s="7">
        <v>300</v>
      </c>
      <c r="L498" s="7">
        <v>4000</v>
      </c>
      <c r="M498" s="7">
        <v>-3350</v>
      </c>
      <c r="N498" s="7">
        <v>950</v>
      </c>
      <c r="O498" s="7">
        <v>26000</v>
      </c>
    </row>
    <row r="499" spans="1:15">
      <c r="A499" s="2" t="s">
        <v>236</v>
      </c>
      <c r="B499" s="7">
        <v>27</v>
      </c>
      <c r="C499" s="2" t="s">
        <v>237</v>
      </c>
      <c r="D499" s="7">
        <v>1000</v>
      </c>
      <c r="E499" s="7">
        <v>1000</v>
      </c>
      <c r="F499" s="7">
        <v>0</v>
      </c>
      <c r="G499" s="7">
        <v>0</v>
      </c>
      <c r="H499" s="7">
        <v>0</v>
      </c>
      <c r="I499" s="7">
        <v>50</v>
      </c>
      <c r="J499" s="7">
        <v>950</v>
      </c>
      <c r="K499" s="7">
        <v>300</v>
      </c>
      <c r="L499" s="7">
        <v>4000</v>
      </c>
      <c r="M499" s="7">
        <v>-3350</v>
      </c>
      <c r="N499" s="7">
        <v>950</v>
      </c>
      <c r="O499" s="7">
        <v>27000</v>
      </c>
    </row>
    <row r="500" spans="1:15">
      <c r="A500" s="2" t="s">
        <v>236</v>
      </c>
      <c r="B500" s="7">
        <v>28</v>
      </c>
      <c r="C500" s="2" t="s">
        <v>237</v>
      </c>
      <c r="D500" s="7">
        <v>1000</v>
      </c>
      <c r="E500" s="7">
        <v>1000</v>
      </c>
      <c r="F500" s="7">
        <v>0</v>
      </c>
      <c r="G500" s="7">
        <v>0</v>
      </c>
      <c r="H500" s="7">
        <v>0</v>
      </c>
      <c r="I500" s="7">
        <v>50</v>
      </c>
      <c r="J500" s="7">
        <v>950</v>
      </c>
      <c r="K500" s="7">
        <v>300</v>
      </c>
      <c r="L500" s="7">
        <v>4000</v>
      </c>
      <c r="M500" s="7">
        <v>-3350</v>
      </c>
      <c r="N500" s="7">
        <v>950</v>
      </c>
      <c r="O500" s="7">
        <v>28000</v>
      </c>
    </row>
    <row r="501" spans="1:15">
      <c r="A501" s="2" t="s">
        <v>236</v>
      </c>
      <c r="B501" s="7">
        <v>29</v>
      </c>
      <c r="C501" s="2" t="s">
        <v>237</v>
      </c>
      <c r="D501" s="7">
        <v>1000</v>
      </c>
      <c r="E501" s="7">
        <v>1000</v>
      </c>
      <c r="F501" s="7">
        <v>0</v>
      </c>
      <c r="G501" s="7">
        <v>0</v>
      </c>
      <c r="H501" s="7">
        <v>0</v>
      </c>
      <c r="I501" s="7">
        <v>50</v>
      </c>
      <c r="J501" s="7">
        <v>950</v>
      </c>
      <c r="K501" s="7">
        <v>300</v>
      </c>
      <c r="L501" s="7">
        <v>4000</v>
      </c>
      <c r="M501" s="7">
        <v>-3350</v>
      </c>
      <c r="N501" s="7">
        <v>950</v>
      </c>
      <c r="O501" s="7">
        <v>29000</v>
      </c>
    </row>
    <row r="502" spans="1:15">
      <c r="A502" s="2" t="s">
        <v>236</v>
      </c>
      <c r="B502" s="7">
        <v>30</v>
      </c>
      <c r="C502" s="2" t="s">
        <v>237</v>
      </c>
      <c r="D502" s="7">
        <v>1000</v>
      </c>
      <c r="E502" s="7">
        <v>1000</v>
      </c>
      <c r="F502" s="7">
        <v>0</v>
      </c>
      <c r="G502" s="7">
        <v>0</v>
      </c>
      <c r="H502" s="7">
        <v>0</v>
      </c>
      <c r="I502" s="7">
        <v>50</v>
      </c>
      <c r="J502" s="7">
        <v>950</v>
      </c>
      <c r="K502" s="7">
        <v>300</v>
      </c>
      <c r="L502" s="7">
        <v>4000</v>
      </c>
      <c r="M502" s="7">
        <v>-3350</v>
      </c>
      <c r="N502" s="7">
        <v>950</v>
      </c>
      <c r="O502" s="7">
        <v>30000</v>
      </c>
    </row>
    <row r="503" spans="1:15">
      <c r="A503" s="2" t="s">
        <v>236</v>
      </c>
      <c r="B503" s="7">
        <v>31</v>
      </c>
      <c r="C503" s="2" t="s">
        <v>237</v>
      </c>
      <c r="D503" s="7">
        <v>1000</v>
      </c>
      <c r="E503" s="7">
        <v>1000</v>
      </c>
      <c r="F503" s="7">
        <v>0</v>
      </c>
      <c r="G503" s="7">
        <v>0</v>
      </c>
      <c r="H503" s="7">
        <v>0</v>
      </c>
      <c r="I503" s="7">
        <v>50</v>
      </c>
      <c r="J503" s="7">
        <v>950</v>
      </c>
      <c r="K503" s="7">
        <v>300</v>
      </c>
      <c r="L503" s="7">
        <v>4000</v>
      </c>
      <c r="M503" s="7">
        <v>-3350</v>
      </c>
      <c r="N503" s="7">
        <v>950</v>
      </c>
      <c r="O503" s="7">
        <v>31000</v>
      </c>
    </row>
    <row r="504" spans="1:15">
      <c r="A504" s="2" t="s">
        <v>236</v>
      </c>
      <c r="B504" s="7">
        <v>32</v>
      </c>
      <c r="C504" s="2" t="s">
        <v>237</v>
      </c>
      <c r="D504" s="7">
        <v>1000</v>
      </c>
      <c r="E504" s="7">
        <v>1000</v>
      </c>
      <c r="F504" s="7">
        <v>0</v>
      </c>
      <c r="G504" s="7">
        <v>0</v>
      </c>
      <c r="H504" s="7">
        <v>0</v>
      </c>
      <c r="I504" s="7">
        <v>50</v>
      </c>
      <c r="J504" s="7">
        <v>950</v>
      </c>
      <c r="K504" s="7">
        <v>300</v>
      </c>
      <c r="L504" s="7">
        <v>4000</v>
      </c>
      <c r="M504" s="7">
        <v>-3350</v>
      </c>
      <c r="N504" s="7">
        <v>950</v>
      </c>
      <c r="O504" s="7">
        <v>32000</v>
      </c>
    </row>
    <row r="505" spans="1:15">
      <c r="A505" s="2" t="s">
        <v>236</v>
      </c>
      <c r="B505" s="7">
        <v>33</v>
      </c>
      <c r="C505" s="2" t="s">
        <v>237</v>
      </c>
      <c r="D505" s="7">
        <v>1000</v>
      </c>
      <c r="E505" s="7">
        <v>1000</v>
      </c>
      <c r="F505" s="7">
        <v>0</v>
      </c>
      <c r="G505" s="7">
        <v>0</v>
      </c>
      <c r="H505" s="7">
        <v>0</v>
      </c>
      <c r="I505" s="7">
        <v>50</v>
      </c>
      <c r="J505" s="7">
        <v>950</v>
      </c>
      <c r="K505" s="7">
        <v>300</v>
      </c>
      <c r="L505" s="7">
        <v>4000</v>
      </c>
      <c r="M505" s="7">
        <v>-3350</v>
      </c>
      <c r="N505" s="7">
        <v>950</v>
      </c>
      <c r="O505" s="7">
        <v>33000</v>
      </c>
    </row>
    <row r="506" spans="1:15">
      <c r="A506" s="2" t="s">
        <v>236</v>
      </c>
      <c r="B506" s="7">
        <v>34</v>
      </c>
      <c r="C506" s="2" t="s">
        <v>237</v>
      </c>
      <c r="D506" s="7">
        <v>1000</v>
      </c>
      <c r="E506" s="7">
        <v>1000</v>
      </c>
      <c r="F506" s="7">
        <v>0</v>
      </c>
      <c r="G506" s="7">
        <v>0</v>
      </c>
      <c r="H506" s="7">
        <v>0</v>
      </c>
      <c r="I506" s="7">
        <v>50</v>
      </c>
      <c r="J506" s="7">
        <v>950</v>
      </c>
      <c r="K506" s="7">
        <v>300</v>
      </c>
      <c r="L506" s="7">
        <v>4000</v>
      </c>
      <c r="M506" s="7">
        <v>-3350</v>
      </c>
      <c r="N506" s="7">
        <v>950</v>
      </c>
      <c r="O506" s="7">
        <v>34000</v>
      </c>
    </row>
    <row r="507" spans="1:15">
      <c r="A507" s="2" t="s">
        <v>236</v>
      </c>
      <c r="B507" s="7">
        <v>35</v>
      </c>
      <c r="C507" s="2" t="s">
        <v>237</v>
      </c>
      <c r="D507" s="7">
        <v>1000</v>
      </c>
      <c r="E507" s="7">
        <v>1000</v>
      </c>
      <c r="F507" s="7">
        <v>0</v>
      </c>
      <c r="G507" s="7">
        <v>0</v>
      </c>
      <c r="H507" s="7">
        <v>0</v>
      </c>
      <c r="I507" s="7">
        <v>50</v>
      </c>
      <c r="J507" s="7">
        <v>950</v>
      </c>
      <c r="K507" s="7">
        <v>300</v>
      </c>
      <c r="L507" s="7">
        <v>4000</v>
      </c>
      <c r="M507" s="7">
        <v>-3350</v>
      </c>
      <c r="N507" s="7">
        <v>950</v>
      </c>
      <c r="O507" s="7">
        <v>35000</v>
      </c>
    </row>
    <row r="508" spans="1:15">
      <c r="A508" s="2" t="s">
        <v>236</v>
      </c>
      <c r="B508" s="7">
        <v>36</v>
      </c>
      <c r="C508" s="2" t="s">
        <v>237</v>
      </c>
      <c r="D508" s="7">
        <v>1000</v>
      </c>
      <c r="E508" s="7">
        <v>1000</v>
      </c>
      <c r="F508" s="7">
        <v>0</v>
      </c>
      <c r="G508" s="7">
        <v>0</v>
      </c>
      <c r="H508" s="7">
        <v>0</v>
      </c>
      <c r="I508" s="7">
        <v>50</v>
      </c>
      <c r="J508" s="7">
        <v>950</v>
      </c>
      <c r="K508" s="7">
        <v>300</v>
      </c>
      <c r="L508" s="7">
        <v>4000</v>
      </c>
      <c r="M508" s="7">
        <v>-3350</v>
      </c>
      <c r="N508" s="7">
        <v>950</v>
      </c>
      <c r="O508" s="7">
        <v>36000</v>
      </c>
    </row>
    <row r="509" spans="1:15">
      <c r="A509" s="2" t="s">
        <v>238</v>
      </c>
      <c r="B509" s="7">
        <v>1</v>
      </c>
      <c r="C509" s="2" t="s">
        <v>239</v>
      </c>
      <c r="D509" s="7">
        <v>618.0339887498948</v>
      </c>
      <c r="E509" s="7">
        <v>618.0339887498948</v>
      </c>
      <c r="F509" s="7">
        <v>0</v>
      </c>
      <c r="G509" s="7">
        <v>0</v>
      </c>
      <c r="H509" s="7">
        <v>0</v>
      </c>
      <c r="I509" s="7">
        <v>61.80339887498948</v>
      </c>
      <c r="J509" s="7">
        <v>1174.2645786248</v>
      </c>
      <c r="K509" s="7">
        <v>185.4101966249684</v>
      </c>
      <c r="L509" s="7">
        <v>4000</v>
      </c>
      <c r="M509" s="7">
        <v>-3011.145618000168</v>
      </c>
      <c r="N509" s="7">
        <v>1174.2645786248</v>
      </c>
      <c r="O509" s="7">
        <v>618.0339887498948</v>
      </c>
    </row>
    <row r="510" spans="1:15">
      <c r="A510" s="2" t="s">
        <v>238</v>
      </c>
      <c r="B510" s="7">
        <v>2</v>
      </c>
      <c r="C510" s="2" t="s">
        <v>239</v>
      </c>
      <c r="D510" s="7">
        <v>618.0339887498948</v>
      </c>
      <c r="E510" s="7">
        <v>618.0339887498948</v>
      </c>
      <c r="F510" s="7">
        <v>0</v>
      </c>
      <c r="G510" s="7">
        <v>0</v>
      </c>
      <c r="H510" s="7">
        <v>0</v>
      </c>
      <c r="I510" s="7">
        <v>61.80339887498948</v>
      </c>
      <c r="J510" s="7">
        <v>1174.2645786248</v>
      </c>
      <c r="K510" s="7">
        <v>185.4101966249684</v>
      </c>
      <c r="L510" s="7">
        <v>4000</v>
      </c>
      <c r="M510" s="7">
        <v>-3011.145618000168</v>
      </c>
      <c r="N510" s="7">
        <v>1174.2645786248</v>
      </c>
      <c r="O510" s="7">
        <v>1236.06797749979</v>
      </c>
    </row>
    <row r="511" spans="1:15">
      <c r="A511" s="2" t="s">
        <v>238</v>
      </c>
      <c r="B511" s="7">
        <v>3</v>
      </c>
      <c r="C511" s="2" t="s">
        <v>239</v>
      </c>
      <c r="D511" s="7">
        <v>618.0339887498948</v>
      </c>
      <c r="E511" s="7">
        <v>618.0339887498948</v>
      </c>
      <c r="F511" s="7">
        <v>0</v>
      </c>
      <c r="G511" s="7">
        <v>0</v>
      </c>
      <c r="H511" s="7">
        <v>0</v>
      </c>
      <c r="I511" s="7">
        <v>61.80339887498948</v>
      </c>
      <c r="J511" s="7">
        <v>1174.2645786248</v>
      </c>
      <c r="K511" s="7">
        <v>185.4101966249684</v>
      </c>
      <c r="L511" s="7">
        <v>4000</v>
      </c>
      <c r="M511" s="7">
        <v>-3011.145618000168</v>
      </c>
      <c r="N511" s="7">
        <v>1174.2645786248</v>
      </c>
      <c r="O511" s="7">
        <v>1854.101966249684</v>
      </c>
    </row>
    <row r="512" spans="1:15">
      <c r="A512" s="2" t="s">
        <v>238</v>
      </c>
      <c r="B512" s="7">
        <v>4</v>
      </c>
      <c r="C512" s="2" t="s">
        <v>239</v>
      </c>
      <c r="D512" s="7">
        <v>618.0339887498948</v>
      </c>
      <c r="E512" s="7">
        <v>618.0339887498948</v>
      </c>
      <c r="F512" s="7">
        <v>0</v>
      </c>
      <c r="G512" s="7">
        <v>0</v>
      </c>
      <c r="H512" s="7">
        <v>0</v>
      </c>
      <c r="I512" s="7">
        <v>61.80339887498948</v>
      </c>
      <c r="J512" s="7">
        <v>1174.2645786248</v>
      </c>
      <c r="K512" s="7">
        <v>185.4101966249684</v>
      </c>
      <c r="L512" s="7">
        <v>4000</v>
      </c>
      <c r="M512" s="7">
        <v>-3011.145618000168</v>
      </c>
      <c r="N512" s="7">
        <v>1174.2645786248</v>
      </c>
      <c r="O512" s="7">
        <v>2472.135954999579</v>
      </c>
    </row>
    <row r="513" spans="1:15">
      <c r="A513" s="2" t="s">
        <v>238</v>
      </c>
      <c r="B513" s="7">
        <v>5</v>
      </c>
      <c r="C513" s="2" t="s">
        <v>239</v>
      </c>
      <c r="D513" s="7">
        <v>618.0339887498948</v>
      </c>
      <c r="E513" s="7">
        <v>618.0339887498948</v>
      </c>
      <c r="F513" s="7">
        <v>0</v>
      </c>
      <c r="G513" s="7">
        <v>0</v>
      </c>
      <c r="H513" s="7">
        <v>0</v>
      </c>
      <c r="I513" s="7">
        <v>61.80339887498948</v>
      </c>
      <c r="J513" s="7">
        <v>1174.2645786248</v>
      </c>
      <c r="K513" s="7">
        <v>185.4101966249684</v>
      </c>
      <c r="L513" s="7">
        <v>4000</v>
      </c>
      <c r="M513" s="7">
        <v>-3011.145618000168</v>
      </c>
      <c r="N513" s="7">
        <v>1174.2645786248</v>
      </c>
      <c r="O513" s="7">
        <v>3090.169943749474</v>
      </c>
    </row>
    <row r="514" spans="1:15">
      <c r="A514" s="2" t="s">
        <v>238</v>
      </c>
      <c r="B514" s="7">
        <v>6</v>
      </c>
      <c r="C514" s="2" t="s">
        <v>239</v>
      </c>
      <c r="D514" s="7">
        <v>618.0339887498948</v>
      </c>
      <c r="E514" s="7">
        <v>618.0339887498948</v>
      </c>
      <c r="F514" s="7">
        <v>0</v>
      </c>
      <c r="G514" s="7">
        <v>0</v>
      </c>
      <c r="H514" s="7">
        <v>0</v>
      </c>
      <c r="I514" s="7">
        <v>61.80339887498948</v>
      </c>
      <c r="J514" s="7">
        <v>1174.2645786248</v>
      </c>
      <c r="K514" s="7">
        <v>185.4101966249684</v>
      </c>
      <c r="L514" s="7">
        <v>4000</v>
      </c>
      <c r="M514" s="7">
        <v>-3011.145618000168</v>
      </c>
      <c r="N514" s="7">
        <v>1174.2645786248</v>
      </c>
      <c r="O514" s="7">
        <v>3708.203932499369</v>
      </c>
    </row>
    <row r="515" spans="1:15">
      <c r="A515" s="2" t="s">
        <v>238</v>
      </c>
      <c r="B515" s="7">
        <v>7</v>
      </c>
      <c r="C515" s="2" t="s">
        <v>239</v>
      </c>
      <c r="D515" s="7">
        <v>618.0339887498948</v>
      </c>
      <c r="E515" s="7">
        <v>618.0339887498948</v>
      </c>
      <c r="F515" s="7">
        <v>0</v>
      </c>
      <c r="G515" s="7">
        <v>0</v>
      </c>
      <c r="H515" s="7">
        <v>0</v>
      </c>
      <c r="I515" s="7">
        <v>61.80339887498948</v>
      </c>
      <c r="J515" s="7">
        <v>1174.2645786248</v>
      </c>
      <c r="K515" s="7">
        <v>185.4101966249684</v>
      </c>
      <c r="L515" s="7">
        <v>4000</v>
      </c>
      <c r="M515" s="7">
        <v>-3011.145618000168</v>
      </c>
      <c r="N515" s="7">
        <v>1174.2645786248</v>
      </c>
      <c r="O515" s="7">
        <v>4326.237921249263</v>
      </c>
    </row>
    <row r="516" spans="1:15">
      <c r="A516" s="2" t="s">
        <v>238</v>
      </c>
      <c r="B516" s="7">
        <v>8</v>
      </c>
      <c r="C516" s="2" t="s">
        <v>239</v>
      </c>
      <c r="D516" s="7">
        <v>618.0339887498948</v>
      </c>
      <c r="E516" s="7">
        <v>618.0339887498948</v>
      </c>
      <c r="F516" s="7">
        <v>0</v>
      </c>
      <c r="G516" s="7">
        <v>0</v>
      </c>
      <c r="H516" s="7">
        <v>0</v>
      </c>
      <c r="I516" s="7">
        <v>61.80339887498948</v>
      </c>
      <c r="J516" s="7">
        <v>1174.2645786248</v>
      </c>
      <c r="K516" s="7">
        <v>185.4101966249684</v>
      </c>
      <c r="L516" s="7">
        <v>4000</v>
      </c>
      <c r="M516" s="7">
        <v>-3011.145618000168</v>
      </c>
      <c r="N516" s="7">
        <v>1174.2645786248</v>
      </c>
      <c r="O516" s="7">
        <v>4944.271909999158</v>
      </c>
    </row>
    <row r="517" spans="1:15">
      <c r="A517" s="2" t="s">
        <v>238</v>
      </c>
      <c r="B517" s="7">
        <v>9</v>
      </c>
      <c r="C517" s="2" t="s">
        <v>239</v>
      </c>
      <c r="D517" s="7">
        <v>618.0339887498948</v>
      </c>
      <c r="E517" s="7">
        <v>618.0339887498948</v>
      </c>
      <c r="F517" s="7">
        <v>0</v>
      </c>
      <c r="G517" s="7">
        <v>0</v>
      </c>
      <c r="H517" s="7">
        <v>0</v>
      </c>
      <c r="I517" s="7">
        <v>61.80339887498948</v>
      </c>
      <c r="J517" s="7">
        <v>1174.2645786248</v>
      </c>
      <c r="K517" s="7">
        <v>185.4101966249684</v>
      </c>
      <c r="L517" s="7">
        <v>4000</v>
      </c>
      <c r="M517" s="7">
        <v>-3011.145618000168</v>
      </c>
      <c r="N517" s="7">
        <v>1174.2645786248</v>
      </c>
      <c r="O517" s="7">
        <v>5562.305898749053</v>
      </c>
    </row>
    <row r="518" spans="1:15">
      <c r="A518" s="2" t="s">
        <v>238</v>
      </c>
      <c r="B518" s="7">
        <v>10</v>
      </c>
      <c r="C518" s="2" t="s">
        <v>239</v>
      </c>
      <c r="D518" s="7">
        <v>618.0339887498948</v>
      </c>
      <c r="E518" s="7">
        <v>618.0339887498948</v>
      </c>
      <c r="F518" s="7">
        <v>0</v>
      </c>
      <c r="G518" s="7">
        <v>0</v>
      </c>
      <c r="H518" s="7">
        <v>0</v>
      </c>
      <c r="I518" s="7">
        <v>61.80339887498948</v>
      </c>
      <c r="J518" s="7">
        <v>1174.2645786248</v>
      </c>
      <c r="K518" s="7">
        <v>185.4101966249684</v>
      </c>
      <c r="L518" s="7">
        <v>4000</v>
      </c>
      <c r="M518" s="7">
        <v>-3011.145618000168</v>
      </c>
      <c r="N518" s="7">
        <v>1174.2645786248</v>
      </c>
      <c r="O518" s="7">
        <v>6180.339887498948</v>
      </c>
    </row>
    <row r="519" spans="1:15">
      <c r="A519" s="2" t="s">
        <v>238</v>
      </c>
      <c r="B519" s="7">
        <v>11</v>
      </c>
      <c r="C519" s="2" t="s">
        <v>239</v>
      </c>
      <c r="D519" s="7">
        <v>618.0339887498948</v>
      </c>
      <c r="E519" s="7">
        <v>618.0339887498948</v>
      </c>
      <c r="F519" s="7">
        <v>0</v>
      </c>
      <c r="G519" s="7">
        <v>0</v>
      </c>
      <c r="H519" s="7">
        <v>0</v>
      </c>
      <c r="I519" s="7">
        <v>61.80339887498948</v>
      </c>
      <c r="J519" s="7">
        <v>1174.2645786248</v>
      </c>
      <c r="K519" s="7">
        <v>185.4101966249684</v>
      </c>
      <c r="L519" s="7">
        <v>4000</v>
      </c>
      <c r="M519" s="7">
        <v>-3011.145618000168</v>
      </c>
      <c r="N519" s="7">
        <v>1174.2645786248</v>
      </c>
      <c r="O519" s="7">
        <v>6798.373876248843</v>
      </c>
    </row>
    <row r="520" spans="1:15">
      <c r="A520" s="2" t="s">
        <v>238</v>
      </c>
      <c r="B520" s="7">
        <v>12</v>
      </c>
      <c r="C520" s="2" t="s">
        <v>239</v>
      </c>
      <c r="D520" s="7">
        <v>618.0339887498948</v>
      </c>
      <c r="E520" s="7">
        <v>618.0339887498948</v>
      </c>
      <c r="F520" s="7">
        <v>0</v>
      </c>
      <c r="G520" s="7">
        <v>0</v>
      </c>
      <c r="H520" s="7">
        <v>0</v>
      </c>
      <c r="I520" s="7">
        <v>61.80339887498948</v>
      </c>
      <c r="J520" s="7">
        <v>1174.2645786248</v>
      </c>
      <c r="K520" s="7">
        <v>185.4101966249684</v>
      </c>
      <c r="L520" s="7">
        <v>4000</v>
      </c>
      <c r="M520" s="7">
        <v>-3011.145618000168</v>
      </c>
      <c r="N520" s="7">
        <v>1174.2645786248</v>
      </c>
      <c r="O520" s="7">
        <v>7416.407864998738</v>
      </c>
    </row>
    <row r="521" spans="1:15">
      <c r="A521" s="2" t="s">
        <v>238</v>
      </c>
      <c r="B521" s="7">
        <v>13</v>
      </c>
      <c r="C521" s="2" t="s">
        <v>239</v>
      </c>
      <c r="D521" s="7">
        <v>618.0339887498948</v>
      </c>
      <c r="E521" s="7">
        <v>618.0339887498948</v>
      </c>
      <c r="F521" s="7">
        <v>0</v>
      </c>
      <c r="G521" s="7">
        <v>0</v>
      </c>
      <c r="H521" s="7">
        <v>0</v>
      </c>
      <c r="I521" s="7">
        <v>61.80339887498948</v>
      </c>
      <c r="J521" s="7">
        <v>1174.2645786248</v>
      </c>
      <c r="K521" s="7">
        <v>185.4101966249684</v>
      </c>
      <c r="L521" s="7">
        <v>4000</v>
      </c>
      <c r="M521" s="7">
        <v>-3011.145618000168</v>
      </c>
      <c r="N521" s="7">
        <v>1174.2645786248</v>
      </c>
      <c r="O521" s="7">
        <v>8034.441853748633</v>
      </c>
    </row>
    <row r="522" spans="1:15">
      <c r="A522" s="2" t="s">
        <v>238</v>
      </c>
      <c r="B522" s="7">
        <v>14</v>
      </c>
      <c r="C522" s="2" t="s">
        <v>239</v>
      </c>
      <c r="D522" s="7">
        <v>618.0339887498948</v>
      </c>
      <c r="E522" s="7">
        <v>618.0339887498948</v>
      </c>
      <c r="F522" s="7">
        <v>0</v>
      </c>
      <c r="G522" s="7">
        <v>0</v>
      </c>
      <c r="H522" s="7">
        <v>0</v>
      </c>
      <c r="I522" s="7">
        <v>61.80339887498948</v>
      </c>
      <c r="J522" s="7">
        <v>1174.2645786248</v>
      </c>
      <c r="K522" s="7">
        <v>185.4101966249684</v>
      </c>
      <c r="L522" s="7">
        <v>4000</v>
      </c>
      <c r="M522" s="7">
        <v>-3011.145618000168</v>
      </c>
      <c r="N522" s="7">
        <v>1174.2645786248</v>
      </c>
      <c r="O522" s="7">
        <v>8652.475842498527</v>
      </c>
    </row>
    <row r="523" spans="1:15">
      <c r="A523" s="2" t="s">
        <v>238</v>
      </c>
      <c r="B523" s="7">
        <v>15</v>
      </c>
      <c r="C523" s="2" t="s">
        <v>239</v>
      </c>
      <c r="D523" s="7">
        <v>618.0339887498948</v>
      </c>
      <c r="E523" s="7">
        <v>618.0339887498948</v>
      </c>
      <c r="F523" s="7">
        <v>0</v>
      </c>
      <c r="G523" s="7">
        <v>0</v>
      </c>
      <c r="H523" s="7">
        <v>0</v>
      </c>
      <c r="I523" s="7">
        <v>61.80339887498948</v>
      </c>
      <c r="J523" s="7">
        <v>1174.2645786248</v>
      </c>
      <c r="K523" s="7">
        <v>185.4101966249684</v>
      </c>
      <c r="L523" s="7">
        <v>4000</v>
      </c>
      <c r="M523" s="7">
        <v>-3011.145618000168</v>
      </c>
      <c r="N523" s="7">
        <v>1174.2645786248</v>
      </c>
      <c r="O523" s="7">
        <v>9270.509831248421</v>
      </c>
    </row>
    <row r="524" spans="1:15">
      <c r="A524" s="2" t="s">
        <v>238</v>
      </c>
      <c r="B524" s="7">
        <v>16</v>
      </c>
      <c r="C524" s="2" t="s">
        <v>239</v>
      </c>
      <c r="D524" s="7">
        <v>618.0339887498948</v>
      </c>
      <c r="E524" s="7">
        <v>618.0339887498948</v>
      </c>
      <c r="F524" s="7">
        <v>0</v>
      </c>
      <c r="G524" s="7">
        <v>0</v>
      </c>
      <c r="H524" s="7">
        <v>0</v>
      </c>
      <c r="I524" s="7">
        <v>61.80339887498948</v>
      </c>
      <c r="J524" s="7">
        <v>1174.2645786248</v>
      </c>
      <c r="K524" s="7">
        <v>185.4101966249684</v>
      </c>
      <c r="L524" s="7">
        <v>4000</v>
      </c>
      <c r="M524" s="7">
        <v>-3011.145618000168</v>
      </c>
      <c r="N524" s="7">
        <v>1174.2645786248</v>
      </c>
      <c r="O524" s="7">
        <v>9888.543819998315</v>
      </c>
    </row>
    <row r="525" spans="1:15">
      <c r="A525" s="2" t="s">
        <v>238</v>
      </c>
      <c r="B525" s="7">
        <v>17</v>
      </c>
      <c r="C525" s="2" t="s">
        <v>239</v>
      </c>
      <c r="D525" s="7">
        <v>618.0339887498948</v>
      </c>
      <c r="E525" s="7">
        <v>618.0339887498948</v>
      </c>
      <c r="F525" s="7">
        <v>0</v>
      </c>
      <c r="G525" s="7">
        <v>0</v>
      </c>
      <c r="H525" s="7">
        <v>0</v>
      </c>
      <c r="I525" s="7">
        <v>61.80339887498948</v>
      </c>
      <c r="J525" s="7">
        <v>1174.2645786248</v>
      </c>
      <c r="K525" s="7">
        <v>185.4101966249684</v>
      </c>
      <c r="L525" s="7">
        <v>4000</v>
      </c>
      <c r="M525" s="7">
        <v>-3011.145618000168</v>
      </c>
      <c r="N525" s="7">
        <v>1174.2645786248</v>
      </c>
      <c r="O525" s="7">
        <v>10506.57780874821</v>
      </c>
    </row>
    <row r="526" spans="1:15">
      <c r="A526" s="2" t="s">
        <v>238</v>
      </c>
      <c r="B526" s="7">
        <v>18</v>
      </c>
      <c r="C526" s="2" t="s">
        <v>239</v>
      </c>
      <c r="D526" s="7">
        <v>618.0339887498948</v>
      </c>
      <c r="E526" s="7">
        <v>618.0339887498948</v>
      </c>
      <c r="F526" s="7">
        <v>0</v>
      </c>
      <c r="G526" s="7">
        <v>0</v>
      </c>
      <c r="H526" s="7">
        <v>0</v>
      </c>
      <c r="I526" s="7">
        <v>61.80339887498948</v>
      </c>
      <c r="J526" s="7">
        <v>1174.2645786248</v>
      </c>
      <c r="K526" s="7">
        <v>185.4101966249684</v>
      </c>
      <c r="L526" s="7">
        <v>4000</v>
      </c>
      <c r="M526" s="7">
        <v>-3011.145618000168</v>
      </c>
      <c r="N526" s="7">
        <v>1174.2645786248</v>
      </c>
      <c r="O526" s="7">
        <v>11124.6117974981</v>
      </c>
    </row>
    <row r="527" spans="1:15">
      <c r="A527" s="2" t="s">
        <v>238</v>
      </c>
      <c r="B527" s="7">
        <v>19</v>
      </c>
      <c r="C527" s="2" t="s">
        <v>239</v>
      </c>
      <c r="D527" s="7">
        <v>618.0339887498948</v>
      </c>
      <c r="E527" s="7">
        <v>618.0339887498948</v>
      </c>
      <c r="F527" s="7">
        <v>0</v>
      </c>
      <c r="G527" s="7">
        <v>0</v>
      </c>
      <c r="H527" s="7">
        <v>0</v>
      </c>
      <c r="I527" s="7">
        <v>61.80339887498948</v>
      </c>
      <c r="J527" s="7">
        <v>1174.2645786248</v>
      </c>
      <c r="K527" s="7">
        <v>185.4101966249684</v>
      </c>
      <c r="L527" s="7">
        <v>4000</v>
      </c>
      <c r="M527" s="7">
        <v>-3011.145618000168</v>
      </c>
      <c r="N527" s="7">
        <v>1174.2645786248</v>
      </c>
      <c r="O527" s="7">
        <v>11742.645786248</v>
      </c>
    </row>
    <row r="528" spans="1:15">
      <c r="A528" s="2" t="s">
        <v>238</v>
      </c>
      <c r="B528" s="7">
        <v>20</v>
      </c>
      <c r="C528" s="2" t="s">
        <v>239</v>
      </c>
      <c r="D528" s="7">
        <v>618.0339887498948</v>
      </c>
      <c r="E528" s="7">
        <v>618.0339887498948</v>
      </c>
      <c r="F528" s="7">
        <v>0</v>
      </c>
      <c r="G528" s="7">
        <v>0</v>
      </c>
      <c r="H528" s="7">
        <v>0</v>
      </c>
      <c r="I528" s="7">
        <v>61.80339887498948</v>
      </c>
      <c r="J528" s="7">
        <v>1174.2645786248</v>
      </c>
      <c r="K528" s="7">
        <v>185.4101966249684</v>
      </c>
      <c r="L528" s="7">
        <v>4000</v>
      </c>
      <c r="M528" s="7">
        <v>-3011.145618000168</v>
      </c>
      <c r="N528" s="7">
        <v>1174.2645786248</v>
      </c>
      <c r="O528" s="7">
        <v>12360.67977499789</v>
      </c>
    </row>
    <row r="529" spans="1:15">
      <c r="A529" s="2" t="s">
        <v>238</v>
      </c>
      <c r="B529" s="7">
        <v>21</v>
      </c>
      <c r="C529" s="2" t="s">
        <v>239</v>
      </c>
      <c r="D529" s="7">
        <v>618.0339887498948</v>
      </c>
      <c r="E529" s="7">
        <v>618.0339887498948</v>
      </c>
      <c r="F529" s="7">
        <v>0</v>
      </c>
      <c r="G529" s="7">
        <v>0</v>
      </c>
      <c r="H529" s="7">
        <v>0</v>
      </c>
      <c r="I529" s="7">
        <v>61.80339887498948</v>
      </c>
      <c r="J529" s="7">
        <v>1174.2645786248</v>
      </c>
      <c r="K529" s="7">
        <v>185.4101966249684</v>
      </c>
      <c r="L529" s="7">
        <v>4000</v>
      </c>
      <c r="M529" s="7">
        <v>-3011.145618000168</v>
      </c>
      <c r="N529" s="7">
        <v>1174.2645786248</v>
      </c>
      <c r="O529" s="7">
        <v>12978.71376374778</v>
      </c>
    </row>
    <row r="530" spans="1:15">
      <c r="A530" s="2" t="s">
        <v>238</v>
      </c>
      <c r="B530" s="7">
        <v>22</v>
      </c>
      <c r="C530" s="2" t="s">
        <v>239</v>
      </c>
      <c r="D530" s="7">
        <v>618.0339887498948</v>
      </c>
      <c r="E530" s="7">
        <v>618.0339887498948</v>
      </c>
      <c r="F530" s="7">
        <v>0</v>
      </c>
      <c r="G530" s="7">
        <v>0</v>
      </c>
      <c r="H530" s="7">
        <v>0</v>
      </c>
      <c r="I530" s="7">
        <v>61.80339887498948</v>
      </c>
      <c r="J530" s="7">
        <v>1174.2645786248</v>
      </c>
      <c r="K530" s="7">
        <v>185.4101966249684</v>
      </c>
      <c r="L530" s="7">
        <v>4000</v>
      </c>
      <c r="M530" s="7">
        <v>-3011.145618000168</v>
      </c>
      <c r="N530" s="7">
        <v>1174.2645786248</v>
      </c>
      <c r="O530" s="7">
        <v>13596.74775249768</v>
      </c>
    </row>
    <row r="531" spans="1:15">
      <c r="A531" s="2" t="s">
        <v>238</v>
      </c>
      <c r="B531" s="7">
        <v>23</v>
      </c>
      <c r="C531" s="2" t="s">
        <v>239</v>
      </c>
      <c r="D531" s="7">
        <v>618.0339887498948</v>
      </c>
      <c r="E531" s="7">
        <v>618.0339887498948</v>
      </c>
      <c r="F531" s="7">
        <v>0</v>
      </c>
      <c r="G531" s="7">
        <v>0</v>
      </c>
      <c r="H531" s="7">
        <v>0</v>
      </c>
      <c r="I531" s="7">
        <v>61.80339887498948</v>
      </c>
      <c r="J531" s="7">
        <v>1174.2645786248</v>
      </c>
      <c r="K531" s="7">
        <v>185.4101966249684</v>
      </c>
      <c r="L531" s="7">
        <v>4000</v>
      </c>
      <c r="M531" s="7">
        <v>-3011.145618000168</v>
      </c>
      <c r="N531" s="7">
        <v>1174.2645786248</v>
      </c>
      <c r="O531" s="7">
        <v>14214.78174124757</v>
      </c>
    </row>
    <row r="532" spans="1:15">
      <c r="A532" s="2" t="s">
        <v>238</v>
      </c>
      <c r="B532" s="7">
        <v>24</v>
      </c>
      <c r="C532" s="2" t="s">
        <v>239</v>
      </c>
      <c r="D532" s="7">
        <v>618.0339887498948</v>
      </c>
      <c r="E532" s="7">
        <v>618.0339887498948</v>
      </c>
      <c r="F532" s="7">
        <v>0</v>
      </c>
      <c r="G532" s="7">
        <v>0</v>
      </c>
      <c r="H532" s="7">
        <v>0</v>
      </c>
      <c r="I532" s="7">
        <v>61.80339887498948</v>
      </c>
      <c r="J532" s="7">
        <v>1174.2645786248</v>
      </c>
      <c r="K532" s="7">
        <v>185.4101966249684</v>
      </c>
      <c r="L532" s="7">
        <v>4000</v>
      </c>
      <c r="M532" s="7">
        <v>-3011.145618000168</v>
      </c>
      <c r="N532" s="7">
        <v>1174.2645786248</v>
      </c>
      <c r="O532" s="7">
        <v>14832.81572999747</v>
      </c>
    </row>
    <row r="533" spans="1:15">
      <c r="A533" s="2" t="s">
        <v>238</v>
      </c>
      <c r="B533" s="7">
        <v>25</v>
      </c>
      <c r="C533" s="2" t="s">
        <v>239</v>
      </c>
      <c r="D533" s="7">
        <v>618.0339887498948</v>
      </c>
      <c r="E533" s="7">
        <v>618.0339887498948</v>
      </c>
      <c r="F533" s="7">
        <v>0</v>
      </c>
      <c r="G533" s="7">
        <v>0</v>
      </c>
      <c r="H533" s="7">
        <v>0</v>
      </c>
      <c r="I533" s="7">
        <v>61.80339887498948</v>
      </c>
      <c r="J533" s="7">
        <v>1174.2645786248</v>
      </c>
      <c r="K533" s="7">
        <v>185.4101966249684</v>
      </c>
      <c r="L533" s="7">
        <v>4000</v>
      </c>
      <c r="M533" s="7">
        <v>-3011.145618000168</v>
      </c>
      <c r="N533" s="7">
        <v>1174.2645786248</v>
      </c>
      <c r="O533" s="7">
        <v>15450.84971874736</v>
      </c>
    </row>
    <row r="534" spans="1:15">
      <c r="A534" s="2" t="s">
        <v>238</v>
      </c>
      <c r="B534" s="7">
        <v>26</v>
      </c>
      <c r="C534" s="2" t="s">
        <v>239</v>
      </c>
      <c r="D534" s="7">
        <v>618.0339887498948</v>
      </c>
      <c r="E534" s="7">
        <v>618.0339887498948</v>
      </c>
      <c r="F534" s="7">
        <v>0</v>
      </c>
      <c r="G534" s="7">
        <v>0</v>
      </c>
      <c r="H534" s="7">
        <v>0</v>
      </c>
      <c r="I534" s="7">
        <v>61.80339887498948</v>
      </c>
      <c r="J534" s="7">
        <v>1174.2645786248</v>
      </c>
      <c r="K534" s="7">
        <v>185.4101966249684</v>
      </c>
      <c r="L534" s="7">
        <v>4000</v>
      </c>
      <c r="M534" s="7">
        <v>-3011.145618000168</v>
      </c>
      <c r="N534" s="7">
        <v>1174.2645786248</v>
      </c>
      <c r="O534" s="7">
        <v>16068.88370749725</v>
      </c>
    </row>
    <row r="535" spans="1:15">
      <c r="A535" s="2" t="s">
        <v>238</v>
      </c>
      <c r="B535" s="7">
        <v>27</v>
      </c>
      <c r="C535" s="2" t="s">
        <v>239</v>
      </c>
      <c r="D535" s="7">
        <v>618.0339887498948</v>
      </c>
      <c r="E535" s="7">
        <v>618.0339887498948</v>
      </c>
      <c r="F535" s="7">
        <v>0</v>
      </c>
      <c r="G535" s="7">
        <v>0</v>
      </c>
      <c r="H535" s="7">
        <v>0</v>
      </c>
      <c r="I535" s="7">
        <v>61.80339887498948</v>
      </c>
      <c r="J535" s="7">
        <v>1174.2645786248</v>
      </c>
      <c r="K535" s="7">
        <v>185.4101966249684</v>
      </c>
      <c r="L535" s="7">
        <v>4000</v>
      </c>
      <c r="M535" s="7">
        <v>-3011.145618000168</v>
      </c>
      <c r="N535" s="7">
        <v>1174.2645786248</v>
      </c>
      <c r="O535" s="7">
        <v>16686.91769624715</v>
      </c>
    </row>
    <row r="536" spans="1:15">
      <c r="A536" s="2" t="s">
        <v>238</v>
      </c>
      <c r="B536" s="7">
        <v>28</v>
      </c>
      <c r="C536" s="2" t="s">
        <v>239</v>
      </c>
      <c r="D536" s="7">
        <v>618.0339887498948</v>
      </c>
      <c r="E536" s="7">
        <v>618.0339887498948</v>
      </c>
      <c r="F536" s="7">
        <v>0</v>
      </c>
      <c r="G536" s="7">
        <v>0</v>
      </c>
      <c r="H536" s="7">
        <v>0</v>
      </c>
      <c r="I536" s="7">
        <v>61.80339887498948</v>
      </c>
      <c r="J536" s="7">
        <v>1174.2645786248</v>
      </c>
      <c r="K536" s="7">
        <v>185.4101966249684</v>
      </c>
      <c r="L536" s="7">
        <v>4000</v>
      </c>
      <c r="M536" s="7">
        <v>-3011.145618000168</v>
      </c>
      <c r="N536" s="7">
        <v>1174.2645786248</v>
      </c>
      <c r="O536" s="7">
        <v>17304.95168499705</v>
      </c>
    </row>
    <row r="537" spans="1:15">
      <c r="A537" s="2" t="s">
        <v>238</v>
      </c>
      <c r="B537" s="7">
        <v>29</v>
      </c>
      <c r="C537" s="2" t="s">
        <v>239</v>
      </c>
      <c r="D537" s="7">
        <v>618.0339887498948</v>
      </c>
      <c r="E537" s="7">
        <v>618.0339887498948</v>
      </c>
      <c r="F537" s="7">
        <v>0</v>
      </c>
      <c r="G537" s="7">
        <v>0</v>
      </c>
      <c r="H537" s="7">
        <v>0</v>
      </c>
      <c r="I537" s="7">
        <v>61.80339887498948</v>
      </c>
      <c r="J537" s="7">
        <v>1174.2645786248</v>
      </c>
      <c r="K537" s="7">
        <v>185.4101966249684</v>
      </c>
      <c r="L537" s="7">
        <v>4000</v>
      </c>
      <c r="M537" s="7">
        <v>-3011.145618000168</v>
      </c>
      <c r="N537" s="7">
        <v>1174.2645786248</v>
      </c>
      <c r="O537" s="7">
        <v>17922.98567374694</v>
      </c>
    </row>
    <row r="538" spans="1:15">
      <c r="A538" s="2" t="s">
        <v>238</v>
      </c>
      <c r="B538" s="7">
        <v>30</v>
      </c>
      <c r="C538" s="2" t="s">
        <v>239</v>
      </c>
      <c r="D538" s="7">
        <v>618.0339887498948</v>
      </c>
      <c r="E538" s="7">
        <v>618.0339887498948</v>
      </c>
      <c r="F538" s="7">
        <v>0</v>
      </c>
      <c r="G538" s="7">
        <v>0</v>
      </c>
      <c r="H538" s="7">
        <v>0</v>
      </c>
      <c r="I538" s="7">
        <v>61.80339887498948</v>
      </c>
      <c r="J538" s="7">
        <v>1174.2645786248</v>
      </c>
      <c r="K538" s="7">
        <v>185.4101966249684</v>
      </c>
      <c r="L538" s="7">
        <v>4000</v>
      </c>
      <c r="M538" s="7">
        <v>-3011.145618000168</v>
      </c>
      <c r="N538" s="7">
        <v>1174.2645786248</v>
      </c>
      <c r="O538" s="7">
        <v>18541.01966249684</v>
      </c>
    </row>
    <row r="539" spans="1:15">
      <c r="A539" s="2" t="s">
        <v>238</v>
      </c>
      <c r="B539" s="7">
        <v>31</v>
      </c>
      <c r="C539" s="2" t="s">
        <v>239</v>
      </c>
      <c r="D539" s="7">
        <v>618.0339887498948</v>
      </c>
      <c r="E539" s="7">
        <v>618.0339887498948</v>
      </c>
      <c r="F539" s="7">
        <v>0</v>
      </c>
      <c r="G539" s="7">
        <v>0</v>
      </c>
      <c r="H539" s="7">
        <v>0</v>
      </c>
      <c r="I539" s="7">
        <v>61.80339887498948</v>
      </c>
      <c r="J539" s="7">
        <v>1174.2645786248</v>
      </c>
      <c r="K539" s="7">
        <v>185.4101966249684</v>
      </c>
      <c r="L539" s="7">
        <v>4000</v>
      </c>
      <c r="M539" s="7">
        <v>-3011.145618000168</v>
      </c>
      <c r="N539" s="7">
        <v>1174.2645786248</v>
      </c>
      <c r="O539" s="7">
        <v>19159.05365124673</v>
      </c>
    </row>
    <row r="540" spans="1:15">
      <c r="A540" s="2" t="s">
        <v>238</v>
      </c>
      <c r="B540" s="7">
        <v>32</v>
      </c>
      <c r="C540" s="2" t="s">
        <v>239</v>
      </c>
      <c r="D540" s="7">
        <v>618.0339887498948</v>
      </c>
      <c r="E540" s="7">
        <v>618.0339887498948</v>
      </c>
      <c r="F540" s="7">
        <v>0</v>
      </c>
      <c r="G540" s="7">
        <v>0</v>
      </c>
      <c r="H540" s="7">
        <v>0</v>
      </c>
      <c r="I540" s="7">
        <v>61.80339887498948</v>
      </c>
      <c r="J540" s="7">
        <v>1174.2645786248</v>
      </c>
      <c r="K540" s="7">
        <v>185.4101966249684</v>
      </c>
      <c r="L540" s="7">
        <v>4000</v>
      </c>
      <c r="M540" s="7">
        <v>-3011.145618000168</v>
      </c>
      <c r="N540" s="7">
        <v>1174.2645786248</v>
      </c>
      <c r="O540" s="7">
        <v>19777.08763999663</v>
      </c>
    </row>
    <row r="541" spans="1:15">
      <c r="A541" s="2" t="s">
        <v>238</v>
      </c>
      <c r="B541" s="7">
        <v>33</v>
      </c>
      <c r="C541" s="2" t="s">
        <v>239</v>
      </c>
      <c r="D541" s="7">
        <v>618.0339887498948</v>
      </c>
      <c r="E541" s="7">
        <v>618.0339887498948</v>
      </c>
      <c r="F541" s="7">
        <v>0</v>
      </c>
      <c r="G541" s="7">
        <v>0</v>
      </c>
      <c r="H541" s="7">
        <v>0</v>
      </c>
      <c r="I541" s="7">
        <v>61.80339887498948</v>
      </c>
      <c r="J541" s="7">
        <v>1174.2645786248</v>
      </c>
      <c r="K541" s="7">
        <v>185.4101966249684</v>
      </c>
      <c r="L541" s="7">
        <v>4000</v>
      </c>
      <c r="M541" s="7">
        <v>-3011.145618000168</v>
      </c>
      <c r="N541" s="7">
        <v>1174.2645786248</v>
      </c>
      <c r="O541" s="7">
        <v>20395.12162874652</v>
      </c>
    </row>
    <row r="542" spans="1:15">
      <c r="A542" s="2" t="s">
        <v>238</v>
      </c>
      <c r="B542" s="7">
        <v>34</v>
      </c>
      <c r="C542" s="2" t="s">
        <v>239</v>
      </c>
      <c r="D542" s="7">
        <v>618.0339887498948</v>
      </c>
      <c r="E542" s="7">
        <v>618.0339887498948</v>
      </c>
      <c r="F542" s="7">
        <v>0</v>
      </c>
      <c r="G542" s="7">
        <v>0</v>
      </c>
      <c r="H542" s="7">
        <v>0</v>
      </c>
      <c r="I542" s="7">
        <v>61.80339887498948</v>
      </c>
      <c r="J542" s="7">
        <v>1174.2645786248</v>
      </c>
      <c r="K542" s="7">
        <v>185.4101966249684</v>
      </c>
      <c r="L542" s="7">
        <v>4000</v>
      </c>
      <c r="M542" s="7">
        <v>-3011.145618000168</v>
      </c>
      <c r="N542" s="7">
        <v>1174.2645786248</v>
      </c>
      <c r="O542" s="7">
        <v>21013.15561749642</v>
      </c>
    </row>
    <row r="543" spans="1:15">
      <c r="A543" s="2" t="s">
        <v>238</v>
      </c>
      <c r="B543" s="7">
        <v>35</v>
      </c>
      <c r="C543" s="2" t="s">
        <v>239</v>
      </c>
      <c r="D543" s="7">
        <v>618.0339887498948</v>
      </c>
      <c r="E543" s="7">
        <v>618.0339887498948</v>
      </c>
      <c r="F543" s="7">
        <v>0</v>
      </c>
      <c r="G543" s="7">
        <v>0</v>
      </c>
      <c r="H543" s="7">
        <v>0</v>
      </c>
      <c r="I543" s="7">
        <v>61.80339887498948</v>
      </c>
      <c r="J543" s="7">
        <v>1174.2645786248</v>
      </c>
      <c r="K543" s="7">
        <v>185.4101966249684</v>
      </c>
      <c r="L543" s="7">
        <v>4000</v>
      </c>
      <c r="M543" s="7">
        <v>-3011.145618000168</v>
      </c>
      <c r="N543" s="7">
        <v>1174.2645786248</v>
      </c>
      <c r="O543" s="7">
        <v>21631.18960624632</v>
      </c>
    </row>
    <row r="544" spans="1:15">
      <c r="A544" s="2" t="s">
        <v>238</v>
      </c>
      <c r="B544" s="7">
        <v>36</v>
      </c>
      <c r="C544" s="2" t="s">
        <v>239</v>
      </c>
      <c r="D544" s="7">
        <v>618.0339887498948</v>
      </c>
      <c r="E544" s="7">
        <v>618.0339887498948</v>
      </c>
      <c r="F544" s="7">
        <v>0</v>
      </c>
      <c r="G544" s="7">
        <v>0</v>
      </c>
      <c r="H544" s="7">
        <v>0</v>
      </c>
      <c r="I544" s="7">
        <v>61.80339887498948</v>
      </c>
      <c r="J544" s="7">
        <v>1174.2645786248</v>
      </c>
      <c r="K544" s="7">
        <v>185.4101966249684</v>
      </c>
      <c r="L544" s="7">
        <v>4000</v>
      </c>
      <c r="M544" s="7">
        <v>-3011.145618000168</v>
      </c>
      <c r="N544" s="7">
        <v>1174.2645786248</v>
      </c>
      <c r="O544" s="7">
        <v>22249.22359499621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/>
  </sheetViews>
  <sheetFormatPr defaultRowHeight="15"/>
  <cols>
    <col min="1" max="1" width="34.7109375" customWidth="1"/>
    <col min="2" max="7" width="22.7109375" customWidth="1"/>
  </cols>
  <sheetData>
    <row r="1" spans="1:7">
      <c r="A1" s="1" t="s">
        <v>381</v>
      </c>
      <c r="B1" s="1"/>
      <c r="C1" s="1"/>
      <c r="D1" s="1"/>
      <c r="E1" s="1"/>
      <c r="F1" s="1"/>
      <c r="G1" s="1"/>
    </row>
    <row r="2" spans="1:7">
      <c r="A2" s="3" t="s">
        <v>382</v>
      </c>
      <c r="B2" s="3"/>
      <c r="C2" s="3"/>
      <c r="D2" s="3"/>
      <c r="E2" s="3"/>
      <c r="F2" s="3"/>
      <c r="G2" s="3"/>
    </row>
    <row r="5" spans="1:7">
      <c r="A5" s="2" t="s">
        <v>383</v>
      </c>
      <c r="B5" s="5">
        <v>1</v>
      </c>
    </row>
    <row r="6" spans="1:7">
      <c r="A6" s="2" t="s">
        <v>384</v>
      </c>
      <c r="B6" s="5">
        <v>1</v>
      </c>
    </row>
    <row r="7" spans="1:7">
      <c r="A7" s="2" t="s">
        <v>385</v>
      </c>
      <c r="B7" s="5">
        <v>0.5</v>
      </c>
    </row>
    <row r="8" spans="1:7">
      <c r="A8" s="2" t="s">
        <v>386</v>
      </c>
      <c r="B8" s="5">
        <v>1000</v>
      </c>
    </row>
    <row r="9" spans="1:7">
      <c r="A9" s="2" t="s">
        <v>387</v>
      </c>
      <c r="B9" s="5">
        <v>1</v>
      </c>
    </row>
    <row r="10" spans="1:7">
      <c r="A10" s="2" t="s">
        <v>388</v>
      </c>
      <c r="B10" s="5">
        <v>0</v>
      </c>
    </row>
    <row r="11" spans="1:7">
      <c r="A11" s="2" t="s">
        <v>389</v>
      </c>
      <c r="B11" s="5">
        <v>0.1</v>
      </c>
    </row>
    <row r="12" spans="1:7">
      <c r="A12" s="2" t="s">
        <v>390</v>
      </c>
      <c r="B12" s="5">
        <v>20</v>
      </c>
    </row>
    <row r="13" spans="1:7">
      <c r="A13" s="2" t="s">
        <v>391</v>
      </c>
      <c r="B13" s="5">
        <v>0.05</v>
      </c>
    </row>
    <row r="14" spans="1:7">
      <c r="A14" s="2" t="s">
        <v>392</v>
      </c>
      <c r="B14" s="5">
        <v>1</v>
      </c>
    </row>
    <row r="15" spans="1:7">
      <c r="A15" s="2" t="s">
        <v>393</v>
      </c>
      <c r="B15" s="5">
        <v>0.2</v>
      </c>
    </row>
    <row r="18" spans="1:7">
      <c r="A18" s="4" t="s">
        <v>394</v>
      </c>
      <c r="B18" s="4" t="s">
        <v>395</v>
      </c>
      <c r="C18" s="4" t="s">
        <v>396</v>
      </c>
      <c r="D18" s="4" t="s">
        <v>397</v>
      </c>
      <c r="E18" s="4" t="s">
        <v>398</v>
      </c>
      <c r="F18" s="4" t="s">
        <v>174</v>
      </c>
      <c r="G18" s="4" t="s">
        <v>399</v>
      </c>
    </row>
    <row r="19" spans="1:7">
      <c r="A19" s="5">
        <v>500</v>
      </c>
      <c r="B19" s="7">
        <f>A19*$B$9</f>
        <v>500</v>
      </c>
      <c r="C19" s="7">
        <f>$B$5*$B$6*A19*(1+$B$7*A19/$B$8)+$B$10*B19</f>
        <v>625.0</v>
      </c>
      <c r="D19" s="7">
        <f>IF(B19&gt;0,C19/B19,"UNDEFINED")</f>
        <v>1.25</v>
      </c>
      <c r="E19" s="7">
        <f>B19*$B$11</f>
        <v>50.0</v>
      </c>
      <c r="F19" s="7">
        <f>E19*($B$12*(1-$B$13)-$B$14)-B19*$B$15-C19</f>
        <v>175.0</v>
      </c>
      <c r="G19" s="7">
        <f>IF(B19&gt;0,F19/B19,"UNDEFINED")</f>
        <v>0.35</v>
      </c>
    </row>
    <row r="20" spans="1:7">
      <c r="A20" s="5">
        <v>1000</v>
      </c>
      <c r="B20" s="7">
        <f>A20*$B$9</f>
        <v>1000</v>
      </c>
      <c r="C20" s="7">
        <f>$B$5*$B$6*A20*(1+$B$7*A20/$B$8)+$B$10*B20</f>
        <v>1500.0</v>
      </c>
      <c r="D20" s="7">
        <f>IF(B20&gt;0,C20/B20,"UNDEFINED")</f>
        <v>1.5</v>
      </c>
      <c r="E20" s="7">
        <f>B20*$B$11</f>
        <v>100.0</v>
      </c>
      <c r="F20" s="7">
        <f>E20*($B$12*(1-$B$13)-$B$14)-B20*$B$15-C20</f>
        <v>100.0</v>
      </c>
      <c r="G20" s="7">
        <f>IF(B20&gt;0,F20/B20,"UNDEFINED")</f>
        <v>0.1</v>
      </c>
    </row>
    <row r="21" spans="1:7">
      <c r="A21" s="5">
        <v>2000</v>
      </c>
      <c r="B21" s="7">
        <f>A21*$B$9</f>
        <v>2000</v>
      </c>
      <c r="C21" s="7">
        <f>$B$5*$B$6*A21*(1+$B$7*A21/$B$8)+$B$10*B21</f>
        <v>4000.0</v>
      </c>
      <c r="D21" s="7">
        <f>IF(B21&gt;0,C21/B21,"UNDEFINED")</f>
        <v>2.0</v>
      </c>
      <c r="E21" s="7">
        <f>B21*$B$11</f>
        <v>200.0</v>
      </c>
      <c r="F21" s="7">
        <f>E21*($B$12*(1-$B$13)-$B$14)-B21*$B$15-C21</f>
        <v>-800.0</v>
      </c>
      <c r="G21" s="7">
        <f>IF(B21&gt;0,F21/B21,"UNDEFINED")</f>
        <v>-0.4</v>
      </c>
    </row>
    <row r="22" spans="1:7">
      <c r="A22" s="5">
        <v>4000</v>
      </c>
      <c r="B22" s="7">
        <f>A22*$B$9</f>
        <v>4000</v>
      </c>
      <c r="C22" s="7">
        <f>$B$5*$B$6*A22*(1+$B$7*A22/$B$8)+$B$10*B22</f>
        <v>12000.0</v>
      </c>
      <c r="D22" s="7">
        <f>IF(B22&gt;0,C22/B22,"UNDEFINED")</f>
        <v>3.0</v>
      </c>
      <c r="E22" s="7">
        <f>B22*$B$11</f>
        <v>400.0</v>
      </c>
      <c r="F22" s="7">
        <f>E22*($B$12*(1-$B$13)-$B$14)-B22*$B$15-C22</f>
        <v>-5600.0</v>
      </c>
      <c r="G22" s="7">
        <f>IF(B22&gt;0,F22/B22,"UNDEFINED")</f>
        <v>-1.4</v>
      </c>
    </row>
  </sheetData>
  <mergeCells count="2">
    <mergeCell ref="A1:G1"/>
    <mergeCell ref="A2:G2"/>
  </mergeCells>
  <dataValidations count="11">
    <dataValidation type="decimal" operator="greaterThanOrEqual" allowBlank="1" showInputMessage="1" showErrorMessage="1" sqref="B5">
      <formula1>0</formula1>
    </dataValidation>
    <dataValidation type="decimal" operator="greaterThanOrEqual" allowBlank="1" showInputMessage="1" showErrorMessage="1" sqref="B6">
      <formula1>0</formula1>
    </dataValidation>
    <dataValidation type="decimal" operator="greaterThanOrEqual" allowBlank="1" showInputMessage="1" showErrorMessage="1" sqref="B7">
      <formula1>0</formula1>
    </dataValidation>
    <dataValidation type="decimal" operator="greaterThan" allowBlank="1" showInputMessage="1" showErrorMessage="1" sqref="B8">
      <formula1>0</formula1>
    </dataValidation>
    <dataValidation type="decimal" allowBlank="1" showInputMessage="1" showErrorMessage="1" sqref="B9">
      <formula1>0</formula1>
      <formula2>1</formula2>
    </dataValidation>
    <dataValidation type="decimal" operator="greaterThanOrEqual" allowBlank="1" showInputMessage="1" showErrorMessage="1" sqref="B10">
      <formula1>0</formula1>
    </dataValidation>
    <dataValidation type="decimal" allowBlank="1" showInputMessage="1" showErrorMessage="1" sqref="B11">
      <formula1>0</formula1>
      <formula2>1</formula2>
    </dataValidation>
    <dataValidation type="decimal" operator="greaterThanOrEqual" allowBlank="1" showInputMessage="1" showErrorMessage="1" sqref="B12">
      <formula1>0</formula1>
    </dataValidation>
    <dataValidation type="decimal" allowBlank="1" showInputMessage="1" showErrorMessage="1" sqref="B13">
      <formula1>0</formula1>
      <formula2>1</formula2>
    </dataValidation>
    <dataValidation type="decimal" operator="greaterThanOrEqual" allowBlank="1" showInputMessage="1" showErrorMessage="1" sqref="B14">
      <formula1>0</formula1>
    </dataValidation>
    <dataValidation type="decimal" operator="greaterThanOrEqual" allowBlank="1" showInputMessage="1" showErrorMessage="1" sqref="B15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Parameters</vt:lpstr>
      <vt:lpstr>Summary</vt:lpstr>
      <vt:lpstr>S1</vt:lpstr>
      <vt:lpstr>S2</vt:lpstr>
      <vt:lpstr>S3</vt:lpstr>
      <vt:lpstr>S4</vt:lpstr>
      <vt:lpstr>S5</vt:lpstr>
      <vt:lpstr>S6</vt:lpstr>
      <vt:lpstr>Sensitivity</vt:lpstr>
      <vt:lpstr>Advanced Results</vt:lpstr>
      <vt:lpstr>Advanced Inputs</vt:lpstr>
      <vt:lpstr>Advanced Monthly</vt:lpstr>
      <vt:lpstr>Acquisition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2026-10-14T00:52:29Z</dcterms:created>
  <dcterms:modified xsi:type="dcterms:W3CDTF">2026-10-14T00:52:29Z</dcterms:modified>
</cp:coreProperties>
</file>